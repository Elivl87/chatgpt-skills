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sheetId="1" state="visible" r:id="rId3"/>
    <sheet name="Gráficas" sheetId="2" state="visible" r:id="rId4"/>
    <sheet name="Simulador" sheetId="3" state="visible" r:id="rId5"/>
    <sheet name="Método" sheetId="4" state="visible" r:id="rId6"/>
    <sheet name="Real 2024" sheetId="5" state="visible" r:id="rId7"/>
    <sheet name="Real 2025" sheetId="6" state="visible" r:id="rId8"/>
    <sheet name="Reconciliación" sheetId="7" state="visible" r:id="rId9"/>
    <sheet name="Medido y supuesto" sheetId="8" state="visible" r:id="rId10"/>
    <sheet name="Sensibilidad" sheetId="9" state="visible" r:id="rId11"/>
    <sheet name="Pendientes" sheetId="10" state="visible" r:id="rId12"/>
    <sheet name="Verificación Excel"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<sst xmlns="http://schemas.openxmlformats.org/spreadsheetml/2006/main" count="1839" uniqueCount="978">
  <si>
    <t xml:space="preserve">Movilización del taladro GRS 110 en La Cira Infantas: Work Order frente a modelo tercerizado</t>
  </si>
  <si>
    <t xml:space="preserve">Evaluación para decidir si se mantiene el Work Order o se contrata directamente al transportador. No es un proceso de adjudicación.</t>
  </si>
  <si>
    <t xml:space="preserve">1. QUÉ SE EVALUÓ</t>
  </si>
  <si>
    <t xml:space="preserve">Dos formas de pagar las movilizaciones del taladro GRS 110. Work Order (modelo directo): el contratista del taladro cobra una suma global por movilización según la distancia, con tarifa tope, y no se pagan horas de taladro. Modelo tercerizado: SierraCol contrata al transportador y paga además el taladro por cada hora que dura la movilización y un coordinador de transporte (Truck Manager).</t>
  </si>
  <si>
    <t xml:space="preserve">Ofertas evaluadas: Petro Star tarifa normal, Petro Star Lump Sum (precio cerrado) y Ecotransur. MTI y Transtecol quedan por fuera porque sus tarifas no se actualizaron a julio de 2026.</t>
  </si>
  <si>
    <t xml:space="preserve">2. ARCHIVO DE TRABAJO Y FUENTES</t>
  </si>
  <si>
    <t xml:space="preserve">Este libro es el archivo de trabajo del ejercicio. Las hojas Simulador, Real 2024 y Real 2025 calculan con fórmulas; las demás documentan y verifican.</t>
  </si>
  <si>
    <t xml:space="preserve">Fuente</t>
  </si>
  <si>
    <t xml:space="preserve">Qué se tomó de ella</t>
  </si>
  <si>
    <t xml:space="preserve">Tarifas con evaluaciones minimas.xlsx</t>
  </si>
  <si>
    <t xml:space="preserve">Tarifas de las tres ofertas (filas amarillas 'Costo Suma Global'), TRM, tarifa del taladro, horas por rango y Truck Manager.</t>
  </si>
  <si>
    <t xml:space="preserve">Cotización 1255 de Petro Star (17-jul-2026)</t>
  </si>
  <si>
    <t xml:space="preserve">Tiempos por rango, descuento desde la 6ª, cargo fijo de 0 a 5 movilizaciones, tarifas por hora de equipos y señalizadores, condición 7 sobre demoras.</t>
  </si>
  <si>
    <t xml:space="preserve">Ajuste de tarifas de Ecotransur (27-jul-2026)</t>
  </si>
  <si>
    <t xml:space="preserve">Nómina y stand-by de 0 a 4 movilizaciones, sin cargo fijo desde la 5ª, solo equipos desde la 6ª.</t>
  </si>
  <si>
    <t xml:space="preserve">Movilizaciones 2024 y 2025 (GRS 110)</t>
  </si>
  <si>
    <t xml:space="preserve">Frecuencia mensual, mezcla por distancia y horas reales de cada movilización.</t>
  </si>
  <si>
    <t xml:space="preserve">Evaluación SierraCol v5, hoja NPT Social 2025</t>
  </si>
  <si>
    <t xml:space="preserve">Bloqueos registrados en OpenWells durante la fase de movilización (01MIRU).</t>
  </si>
  <si>
    <t xml:space="preserve">Premisas de SierraCol</t>
  </si>
  <si>
    <t xml:space="preserve">Tarifas WO y sus 12 señalizadoras, campaña de 35 pozos, 5 a 6 movilizaciones por mes, TRM 3.700, costo de pozo 600 k.</t>
  </si>
  <si>
    <t xml:space="preserve">3. CONSIDERACIONES DEL EJERCICIO</t>
  </si>
  <si>
    <t xml:space="preserve">1. Campaña proyectada: 35 pozos, 15 en la misma localización y 20 entre 0,1 y 5 km. Frecuencia esperada de 5 a 6 movilizaciones por mes; se analiza de 4 a 8.</t>
  </si>
  <si>
    <t xml:space="preserve">2. Las movilizaciones se asignan a meses enteros. El número de la movilización dentro del mes define si hay cargo fijo (hasta la 5ª en Petro Star, hasta la 4ª en Ecotransur) y si hay descuento (desde la 6ª).</t>
  </si>
  <si>
    <t xml:space="preserve">3. Work Order: tarifa del Excel por rango más 8 señalizadoras que faltan (4 por turno a 375.000 COP). Esa tarifa es el tope: si la movilización tarda más, el WO paga una tarifa menor. Se compara contra el WO más caro posible.</t>
  </si>
  <si>
    <t xml:space="preserve">4. Tercerizado: tarifa del transportador + taladro a 1.456 USD/h por las horas de cada rango (12/18/24/28 h) + Truck Manager de 60 M COP por mes de campaña.</t>
  </si>
  <si>
    <t xml:space="preserve">5. Si una movilización supera el tiempo cotizado (12/24/36/36 h) se paga el taladro por esas horas y además equipos y señalizadores por hora: unos 2.813 USD por hora en total. El WO no paga nada extra.</t>
  </si>
  <si>
    <t xml:space="preserve">6. Bloqueos sociales y escolares durante movilizaciones: 22,25 h en 45 movilizaciones de 2025 (OpenWells, fase de movilización), es decir 22,25 × 35/45 = 17,3 h en una campaña de 35 pozos. En el tercerizado los paga SierraCol (condición 7 de la cotización 1255); en el WO no.</t>
  </si>
  <si>
    <t xml:space="preserve">7. Petro Star normal: 50 % de descuento sobre su tarifa desde la 6ª movilización del mes. Lump Sum: sin descuento en la evaluación principal. Ecotransur: desde la 6ª solo cobra equipos.</t>
  </si>
  <si>
    <t xml:space="preserve">8. Un mes sin poder mover con el contrato vigente paga el cargo fijo completo más el Truck Manager (Petro Star 177 k, Ecotransur 243 k). El fin de la campaña termina el contrato y no genera cobro.</t>
  </si>
  <si>
    <t xml:space="preserve">9. Imprevistos y cobros adicionales: 0 % en ambos modelos (se asume que se compensan). TRM fija en 3.700. Sin IVA.</t>
  </si>
  <si>
    <t xml:space="preserve">10. Las campañas reales de 2024 y 2025 se repiten movilización por movilización con las tarifas de julio de 2026 y las horas reales del log.</t>
  </si>
  <si>
    <t xml:space="preserve">4. RESULTADOS (USD; ahorro = costo WO − costo tercerizado; positivo = el tercerizado cuesta menos)</t>
  </si>
  <si>
    <t xml:space="preserve">Escenario</t>
  </si>
  <si>
    <t xml:space="preserve">Petro Star tarifa normal (USD)</t>
  </si>
  <si>
    <t xml:space="preserve">Ecotransur (USD)</t>
  </si>
  <si>
    <t xml:space="preserve">Petro Star Lump Sum (USD)</t>
  </si>
  <si>
    <t xml:space="preserve">Nota</t>
  </si>
  <si>
    <t xml:space="preserve">Campaña proyectada, 5 movs/mes</t>
  </si>
  <si>
    <t xml:space="preserve">Valor fijo (no cambia al editar el Simulador). Ver Sensibilidad, sección 1.</t>
  </si>
  <si>
    <t xml:space="preserve">Campaña proyectada, 6 movs/mes</t>
  </si>
  <si>
    <t xml:space="preserve">Valor fijo (no cambia al editar el Simulador).</t>
  </si>
  <si>
    <t xml:space="preserve">Escenario cargado hoy en el Simulador</t>
  </si>
  <si>
    <t xml:space="preserve">Enlace vivo: cambia al editar el Simulador.</t>
  </si>
  <si>
    <t xml:space="preserve">Campaña real 2025, horas reales</t>
  </si>
  <si>
    <t xml:space="preserve">Enlace vivo. Incluye equipos por horas excedidas.</t>
  </si>
  <si>
    <t xml:space="preserve">Campaña real 2024, horas reales</t>
  </si>
  <si>
    <t xml:space="preserve">Enlace vivo.</t>
  </si>
  <si>
    <t xml:space="preserve">En una campaña de 35 pozos (≈ 21 M USD a 600 k por pozo) el ahorro posible va de +0,13 M a +0,58 M: entre 4 k y 17 k por pozo, menos del 3 % del costo del pozo.</t>
  </si>
  <si>
    <t xml:space="preserve">5. VENTAJAS Y DESVENTAJAS DE CADA MODELO</t>
  </si>
  <si>
    <t xml:space="preserve">Aspecto</t>
  </si>
  <si>
    <t xml:space="preserve">Work Order (directo)</t>
  </si>
  <si>
    <t xml:space="preserve">Tercerizado</t>
  </si>
  <si>
    <t xml:space="preserve">Costo por movilización</t>
  </si>
  <si>
    <t xml:space="preserve">Más alto por movilización.</t>
  </si>
  <si>
    <t xml:space="preserve">Más bajo por movilización, solo si se cumplen los tiempos y el mes llega a 5–6 movilizaciones.</t>
  </si>
  <si>
    <t xml:space="preserve">Demoras en la movilización</t>
  </si>
  <si>
    <t xml:space="preserve">Las absorbe el contratista: la tarifa tiene tope.</t>
  </si>
  <si>
    <t xml:space="preserve">Las paga SierraCol: taladro + equipos ≈ 2.813 USD por hora.</t>
  </si>
  <si>
    <t xml:space="preserve">Meses con pocas movilizaciones</t>
  </si>
  <si>
    <t xml:space="preserve">Sin costo fijo: se paga solo lo que se mueve.</t>
  </si>
  <si>
    <t xml:space="preserve">Cargo fijo de nómina y equipos hasta la 5ª movilización (Petro Star) o la 4ª (Ecotransur); descuento desde la 6ª.</t>
  </si>
  <si>
    <t xml:space="preserve">Bloqueos sociales o problemas operativos</t>
  </si>
  <si>
    <t xml:space="preserve">Sin costo adicional.</t>
  </si>
  <si>
    <t xml:space="preserve">Los paga SierraCol (condición 7); un mes sin mover cuesta 177 k (Petro Star) o 243 k (Ecotransur), con el Truck Manager.</t>
  </si>
  <si>
    <t xml:space="preserve">Gestión</t>
  </si>
  <si>
    <t xml:space="preserve">Un solo contratista responde por todo.</t>
  </si>
  <si>
    <t xml:space="preserve">Dos contratistas más el Truck Manager: la coordinación, la seguridad (HSE), las pólizas y la disponibilidad quedan a cargo de SierraCol.</t>
  </si>
  <si>
    <t xml:space="preserve">Control y flexibilidad</t>
  </si>
  <si>
    <t xml:space="preserve">Menos control directo sobre el transportador.</t>
  </si>
  <si>
    <t xml:space="preserve">Control directo de la flota y de los tiempos; se pueden negociar topes y penalidades.</t>
  </si>
  <si>
    <t xml:space="preserve">Previsibilidad del presupuesto</t>
  </si>
  <si>
    <t xml:space="preserve">Alta: costo cerrado por movilización.</t>
  </si>
  <si>
    <t xml:space="preserve">Baja: depende de las movilizaciones de cada mes y de las horas reales.</t>
  </si>
  <si>
    <t xml:space="preserve">6. CONCLUSIÓN</t>
  </si>
  <si>
    <t xml:space="preserve">• El tercerizado solo ahorra si la campaña sostiene 5 a 6 movilizaciones todos los meses y cada movilización cumple el tiempo cotizado. En ese caso el ahorro de la campaña es de +0,13 M a +0,52 M con Petro Star normal y de +0,49 M a +0,58 M con Ecotransur.</t>
  </si>
  <si>
    <t xml:space="preserve">• El margen es delgado. Con 5 movilizaciones por mes, Petro Star pierde la ventaja con 1,3 h de más por movilización sobre el tiempo cotizado o con un mes bloqueado; Ecotransur aguanta 5,0 h o 2,0 meses bloqueados.</t>
  </si>
  <si>
    <t xml:space="preserve">• La campaña real de 2025 (45 movilizaciones, 3 meses por debajo de 5) habría costado más con el tercerizado: Petro Star −71 k, Ecotransur −79 k. En 2024, con 9 de 11 meses en 6 o más y movilizaciones más rápidas, habría ahorrado +1,14 M y +1,00 M.</t>
  </si>
  <si>
    <t xml:space="preserve">• El Lump Sum de Petro Star pierde en todos los escenarios con los precios del Excel.</t>
  </si>
  <si>
    <t xml:space="preserve">• La diferencia de fondo es el riesgo: el Work Order tiene tarifa tope y absorbe demoras, bloqueos y meses lentos; el tercerizado traslada todo eso a SierraCol.</t>
  </si>
  <si>
    <t xml:space="preserve">7. RECOMENDACIÓN</t>
  </si>
  <si>
    <t xml:space="preserve">Mantener el Work Order.</t>
  </si>
  <si>
    <t xml:space="preserve">Volver a evaluar el tercerizado solo si se cumplen tres condiciones: (1) un plan de pozos que asegure 6 o más movilizaciones todos los meses; (2) un contrato con tope de horas o penalidad al transportador por exceder el tiempo cotizado; (3) una cláusula que suspenda el cargo fijo en meses con bloqueos o problemas operativos.</t>
  </si>
  <si>
    <t xml:space="preserve">Antes de cualquier negociación: Compras (SCM) debe aclarar los precios del Lump Sum, porque los del Excel están por encima de la cotización 1255, y Petro Star debe confirmar si cobra cargo fijo con 5 movilizaciones (si no lo cobra, su ahorro sube unos 0,29 M con 5 movs/mes).</t>
  </si>
  <si>
    <t xml:space="preserve">8. HOJAS DE ESTE LIBRO</t>
  </si>
  <si>
    <t xml:space="preserve">Hoja</t>
  </si>
  <si>
    <t xml:space="preserve">Contenido</t>
  </si>
  <si>
    <t xml:space="preserve">Resumen</t>
  </si>
  <si>
    <t xml:space="preserve">Esta hoja.</t>
  </si>
  <si>
    <t xml:space="preserve">Gráficas</t>
  </si>
  <si>
    <t xml:space="preserve">Gráficos del ejercicio, con sus datos.</t>
  </si>
  <si>
    <t xml:space="preserve">Simulador</t>
  </si>
  <si>
    <t xml:space="preserve">Modelo editable: parámetros, costo por movilización, cargos fijos, frontera y campaña mes a mes.</t>
  </si>
  <si>
    <t xml:space="preserve">Método</t>
  </si>
  <si>
    <t xml:space="preserve">Cómo se clasifica cada costo, qué se cancela entre modelos y cómo entra el NPT.</t>
  </si>
  <si>
    <t xml:space="preserve">Real 2024 / Real 2025</t>
  </si>
  <si>
    <t xml:space="preserve">Las campañas reales repetidas con cada modelo.</t>
  </si>
  <si>
    <t xml:space="preserve">Reconciliación</t>
  </si>
  <si>
    <t xml:space="preserve">De dónde sale cada parámetro y control contra la fuente.</t>
  </si>
  <si>
    <t xml:space="preserve">Medido y supuesto</t>
  </si>
  <si>
    <t xml:space="preserve">Qué es dato y qué es supuesto.</t>
  </si>
  <si>
    <t xml:space="preserve">Sensibilidad</t>
  </si>
  <si>
    <t xml:space="preserve">Frecuencia de 4 a 8, puntos de quiebre, horas reales y tornado.</t>
  </si>
  <si>
    <t xml:space="preserve">Pendientes</t>
  </si>
  <si>
    <t xml:space="preserve">Lo que falta confirmar y cuánto está en juego.</t>
  </si>
  <si>
    <t xml:space="preserve">Verificación Excel</t>
  </si>
  <si>
    <t xml:space="preserve">Revisión línea por línea del archivo de tarifas.</t>
  </si>
  <si>
    <t xml:space="preserve">Gráficas del ejercicio</t>
  </si>
  <si>
    <t xml:space="preserve">Cada gráfico se alimenta de la tabla que tiene al lado. Las tablas en verde están enlazadas al Simulador o a las hojas Real; la de frecuencias es fija (motor de cálculo).</t>
  </si>
  <si>
    <t xml:space="preserve">1. AHORRO DE LA CAMPAÑA DE 35 POZOS SEGÚN MOVILIZACIONES POR MES</t>
  </si>
  <si>
    <t xml:space="preserve">Movs/mes</t>
  </si>
  <si>
    <t xml:space="preserve">Petro Star tarifa normal</t>
  </si>
  <si>
    <t xml:space="preserve">Ecotransur</t>
  </si>
  <si>
    <t xml:space="preserve">Petro Star Lump Sum</t>
  </si>
  <si>
    <t xml:space="preserve">4</t>
  </si>
  <si>
    <t xml:space="preserve">4,5</t>
  </si>
  <si>
    <t xml:space="preserve">5</t>
  </si>
  <si>
    <t xml:space="preserve">5,5</t>
  </si>
  <si>
    <t xml:space="preserve">6</t>
  </si>
  <si>
    <t xml:space="preserve">6,5</t>
  </si>
  <si>
    <t xml:space="preserve">7</t>
  </si>
  <si>
    <t xml:space="preserve">8</t>
  </si>
  <si>
    <t xml:space="preserve">Con frecuencias no enteras se alternan meses; el último mes de la campaña puede quedar corto y pagar cargo fijo.</t>
  </si>
  <si>
    <t xml:space="preserve">2. COSTO DE UNA MOVILIZACIÓN DE 0,1–5 km (USD, enlazado al Simulador)</t>
  </si>
  <si>
    <t xml:space="preserve">Concepto</t>
  </si>
  <si>
    <t xml:space="preserve">Tarifa</t>
  </si>
  <si>
    <t xml:space="preserve">Señalizadoras (WO)</t>
  </si>
  <si>
    <t xml:space="preserve">Taladro</t>
  </si>
  <si>
    <t xml:space="preserve">Truck Manager por movilización (60 M COP / movs del mes)</t>
  </si>
  <si>
    <t xml:space="preserve">Work Order</t>
  </si>
  <si>
    <t xml:space="preserve">Petro Star 1ª–5ª</t>
  </si>
  <si>
    <t xml:space="preserve">Petro Star 6ª+</t>
  </si>
  <si>
    <t xml:space="preserve">Ecotransur 1ª–5ª</t>
  </si>
  <si>
    <t xml:space="preserve">Ecotransur 6ª+</t>
  </si>
  <si>
    <t xml:space="preserve">Lump Sum</t>
  </si>
  <si>
    <t xml:space="preserve">3. CAMPAÑA REAL 2025: AHORRO MES A MES CON HORAS REALES (USD, enlazado a Real 2025)</t>
  </si>
  <si>
    <t xml:space="preserve">Mes</t>
  </si>
  <si>
    <t xml:space="preserve">Movilizaciones</t>
  </si>
  <si>
    <t xml:space="preserve">Ahorro Petro Star tarifa normal (USD)</t>
  </si>
  <si>
    <t xml:space="preserve">Ahorro Ecotransur (USD)</t>
  </si>
  <si>
    <t xml:space="preserve">4. CAMPAÑA REAL 2024: AHORRO MES A MES CON HORAS REALES (USD, enlazado a Real 2024)</t>
  </si>
  <si>
    <t xml:space="preserve">5. MESES SEGÚN CUÁNTAS MOVILIZACIONES TUVIERON (logs)</t>
  </si>
  <si>
    <t xml:space="preserve">Movilizaciones en el mes</t>
  </si>
  <si>
    <t xml:space="preserve">Meses 2024</t>
  </si>
  <si>
    <t xml:space="preserve">Meses 2025</t>
  </si>
  <si>
    <t xml:space="preserve">1 a 3</t>
  </si>
  <si>
    <t xml:space="preserve">6 o más</t>
  </si>
  <si>
    <t xml:space="preserve">Petro Star cobra cargo fijo hasta la 5ª movilización del mes y Ecotransur hasta la 4ª; desde la 6ª Petro Star descuenta el 50 % y Ecotransur cobra solo equipos.</t>
  </si>
  <si>
    <t xml:space="preserve">Simulador de movilización del taladro GRS 110 · La Cira Infantas</t>
  </si>
  <si>
    <t xml:space="preserve">Work Order (suma global por movilización) frente a modelo tercerizado (transportador + taladro por hora + Truck Manager). Todo en USD salvo donde dice COP.</t>
  </si>
  <si>
    <t xml:space="preserve">Cómo leerlo: azul = dato editable · fondo amarillo = supuesto clave a confirmar · verde = viene de otra hoja · negro = cálculo. Ahorro positivo = el tercerizado cuesta menos que el Work Order.</t>
  </si>
  <si>
    <t xml:space="preserve">1. PARÁMETROS GENERALES</t>
  </si>
  <si>
    <t xml:space="preserve">1b. HORAS EXCEDIDAS, BLOQUEOS, TOPE DEL WO Y COSTO DEL POZO</t>
  </si>
  <si>
    <t xml:space="preserve">Variable</t>
  </si>
  <si>
    <t xml:space="preserve">Valor</t>
  </si>
  <si>
    <t xml:space="preserve">Unidad</t>
  </si>
  <si>
    <t xml:space="preserve">Clase</t>
  </si>
  <si>
    <t xml:space="preserve">TRM</t>
  </si>
  <si>
    <t xml:space="preserve">COP/USD</t>
  </si>
  <si>
    <t xml:space="preserve">Premisa SierraCol</t>
  </si>
  <si>
    <t xml:space="preserve">Tarifas.xlsx · E3 (fija para el ejercicio)</t>
  </si>
  <si>
    <t xml:space="preserve">¿Se cobran equipos y señalizadores por hora por encima del tiempo estipulado? (Cot. 1255 p. 5)</t>
  </si>
  <si>
    <t xml:space="preserve">Sí</t>
  </si>
  <si>
    <t xml:space="preserve">Tarifa del taladro (24 h)</t>
  </si>
  <si>
    <t xml:space="preserve">USD/día</t>
  </si>
  <si>
    <t xml:space="preserve">Medido</t>
  </si>
  <si>
    <t xml:space="preserve">Tarifas.xlsx · E5</t>
  </si>
  <si>
    <t xml:space="preserve">Señalizadores por hora excedida: 20 × 54.375 COP (Cot. 1255 p. 5)</t>
  </si>
  <si>
    <t xml:space="preserve">Tarifa del taladro por hora</t>
  </si>
  <si>
    <t xml:space="preserve">USD/h</t>
  </si>
  <si>
    <t xml:space="preserve">Cálculo</t>
  </si>
  <si>
    <t xml:space="preserve">Tarifas.xlsx · E6 (= E5/24)</t>
  </si>
  <si>
    <t xml:space="preserve">Meses bloqueados en la campaña (no se puede mover; contrato vigente)</t>
  </si>
  <si>
    <t xml:space="preserve">Oferta que se muestra en la fila 88 (solo detalle)</t>
  </si>
  <si>
    <t xml:space="preserve">Selección</t>
  </si>
  <si>
    <t xml:space="preserve">Lista: las 3 ofertas (Lump Sum con y sin descuento)</t>
  </si>
  <si>
    <t xml:space="preserve">Ajuste a la tarifa WO (%) · las del Excel son el TOPE (movilización rápida); si tarda más paga una tarifa fija menor: solo 0 o negativo</t>
  </si>
  <si>
    <t xml:space="preserve">Adicionales sobre tarifa base (Petro Star normal y Ecotransur)</t>
  </si>
  <si>
    <t xml:space="preserve">%</t>
  </si>
  <si>
    <t xml:space="preserve">Tarifas.xlsx · E7. Se cancela con el WO; ver Pendientes</t>
  </si>
  <si>
    <t xml:space="preserve">Costo de un pozo en La Cira Infantas, solo perforación (USD) · SierraCol: 550–650 k</t>
  </si>
  <si>
    <t xml:space="preserve">Adicionales sobre Lump Sum</t>
  </si>
  <si>
    <t xml:space="preserve">Tarifas.xlsx · E8</t>
  </si>
  <si>
    <t xml:space="preserve">Horas de bloqueo social o escolar durante movilizaciones en la campaña (OpenWells 2025: 22,25 h en 45 movilizaciones; se escala al número de pozos: 22,25 × pozos / 45)</t>
  </si>
  <si>
    <t xml:space="preserve">Adicionales sobre Work Order</t>
  </si>
  <si>
    <t xml:space="preserve">Simetría: los imprevistos también se pagan en el WO</t>
  </si>
  <si>
    <t xml:space="preserve">Truck Manager: valor mensual</t>
  </si>
  <si>
    <t xml:space="preserve">COP/mes</t>
  </si>
  <si>
    <t xml:space="preserve">Tarifas.xlsx · C29 = (60.000.000/E3)/6</t>
  </si>
  <si>
    <t xml:space="preserve">Truck Manager: movilizaciones/mes con que se prorratea</t>
  </si>
  <si>
    <t xml:space="preserve">movs/mes</t>
  </si>
  <si>
    <t xml:space="preserve">Medido (fórmula Excel)</t>
  </si>
  <si>
    <t xml:space="preserve">Tarifas.xlsx · C29</t>
  </si>
  <si>
    <t xml:space="preserve">Truck Manager: forma de cobro</t>
  </si>
  <si>
    <t xml:space="preserve">Mensual fijo</t>
  </si>
  <si>
    <t xml:space="preserve">Mensual fijo = 60 M COP por cada mes de campaña (criterio de la evaluación SierraCol v5). Por movilización = 2.702,70 USD (Excel C29)</t>
  </si>
  <si>
    <t xml:space="preserve">Descuento Petro Star tarifa normal desde la 6ª del mes</t>
  </si>
  <si>
    <t xml:space="preserve">Cot. 1255 p. 2: '50% de cada escenario'</t>
  </si>
  <si>
    <t xml:space="preserve">Descuento Lump Sum (solo para la columna de referencia)</t>
  </si>
  <si>
    <t xml:space="preserve">Referencia aparte</t>
  </si>
  <si>
    <t xml:space="preserve">Evaluación principal: Lump Sum SIN descuento (SierraCol). Esta columna se muestra aparte</t>
  </si>
  <si>
    <t xml:space="preserve">Movilización del mes desde la que aplica el descuento</t>
  </si>
  <si>
    <t xml:space="preserve">nº</t>
  </si>
  <si>
    <t xml:space="preserve">Cot. 1255 p. 2 · Ecotransur p. 3–4</t>
  </si>
  <si>
    <t xml:space="preserve">Señalizadoras que faltan en el WO, por turno</t>
  </si>
  <si>
    <t xml:space="preserve">personas</t>
  </si>
  <si>
    <t xml:space="preserve">Ofertas: 10 por turno · WO: 6 por turno (dato SierraCol)</t>
  </si>
  <si>
    <t xml:space="preserve">Tarifa señalizador vial, turno 12 h</t>
  </si>
  <si>
    <t xml:space="preserve">COP/persona</t>
  </si>
  <si>
    <t xml:space="preserve">Cot. 1255 p. 5, fila Señalizador vial, columna Turno 12 horas</t>
  </si>
  <si>
    <t xml:space="preserve">¿Cargar el recargo de señalizadoras al Work Order?</t>
  </si>
  <si>
    <t xml:space="preserve">Decisión de modelo</t>
  </si>
  <si>
    <t xml:space="preserve">Aplica a toda movilización: misma loc. 1 turno, demás rangos 2 turnos</t>
  </si>
  <si>
    <t xml:space="preserve">Reducción de la frecuencia por tiempo no productivo (NPT) de perforación</t>
  </si>
  <si>
    <t xml:space="preserve">Supuesto (sin dato)</t>
  </si>
  <si>
    <t xml:space="preserve">No hay plan de pozos ni NPT operativo en los archivos: se deja en 0 y se sensibiliza</t>
  </si>
  <si>
    <t xml:space="preserve">2. CAMPAÑA A EVALUAR</t>
  </si>
  <si>
    <t xml:space="preserve">Pozos en la misma localización</t>
  </si>
  <si>
    <t xml:space="preserve">pozos</t>
  </si>
  <si>
    <t xml:space="preserve">Proyección de campaña entregada por SierraCol</t>
  </si>
  <si>
    <t xml:space="preserve">Pozos en otra localización</t>
  </si>
  <si>
    <t xml:space="preserve">Rango de los pozos en otra localización (2 = 0,1–5 km · 3 = 5–10 km · 4 = más de 10 km)</t>
  </si>
  <si>
    <t xml:space="preserve">Confirmado por SierraCol: 0,1–5 km</t>
  </si>
  <si>
    <t xml:space="preserve">Total de pozos (movilizaciones)</t>
  </si>
  <si>
    <t xml:space="preserve">Máximo 60 en la tabla de detalle</t>
  </si>
  <si>
    <t xml:space="preserve">Frecuencia mensual</t>
  </si>
  <si>
    <t xml:space="preserve">Constante</t>
  </si>
  <si>
    <t xml:space="preserve">Esperado: 5 a 6 movs/mes (SierraCol). Perfil 2024 / Perfil 2025 = meses reales de los logs</t>
  </si>
  <si>
    <t xml:space="preserve">Movilizaciones por mes si la frecuencia es constante</t>
  </si>
  <si>
    <t xml:space="preserve">Rango esperado 5–6; ver Sensibilidad (4 a 8)</t>
  </si>
  <si>
    <t xml:space="preserve">Perfil 2024: movilizaciones por mes (ene–nov, log)</t>
  </si>
  <si>
    <t xml:space="preserve">Perfil 2025: movilizaciones por mes (feb–oct, log)</t>
  </si>
  <si>
    <t xml:space="preserve">Los perfiles salen de Movilizaciones_2024.xlsx (C11:C21) y Movilizaciones_2025.xlsx (C11:C19). Los meses sin registro se tratan como campaña parada (premisa SierraCol) y no entran.</t>
  </si>
  <si>
    <t xml:space="preserve">3. TARIFAS Y COSTO POR MOVILIZACIÓN, POR RANGO DE DISTANCIA</t>
  </si>
  <si>
    <t xml:space="preserve">Misma localización</t>
  </si>
  <si>
    <t xml:space="preserve">0,1–5 km</t>
  </si>
  <si>
    <t xml:space="preserve">5–10 km</t>
  </si>
  <si>
    <t xml:space="preserve">Más de 10 km</t>
  </si>
  <si>
    <t xml:space="preserve">Horas de movilización que se le pagan al taladro (tercerizado)</t>
  </si>
  <si>
    <t xml:space="preserve">Dato del Excel</t>
  </si>
  <si>
    <t xml:space="preserve">Tarifas.xlsx · C26, C52, C78, C104</t>
  </si>
  <si>
    <t xml:space="preserve">Horas extra por movilización (NPT de movilización)</t>
  </si>
  <si>
    <t xml:space="preserve">Supuesto</t>
  </si>
  <si>
    <t xml:space="preserve">Logs: ver hojas Real 2024 / Real 2025</t>
  </si>
  <si>
    <t xml:space="preserve">Tiempo estipulado por el transportador (h): por encima se cobran equipos y señalizadores por hora</t>
  </si>
  <si>
    <t xml:space="preserve">Medido · Ecotransur = supuesto</t>
  </si>
  <si>
    <t xml:space="preserve">Cot. 1255 p. 1–2 'Tiempo total' y p. 5 (Ecotransur no declara tiempos)</t>
  </si>
  <si>
    <t xml:space="preserve">Turnos de señalizadoras por movilización</t>
  </si>
  <si>
    <t xml:space="preserve">12 h = 1 turno; 18/24/28 h = 2 turnos</t>
  </si>
  <si>
    <t xml:space="preserve">Work Order base (USD por movilización)</t>
  </si>
  <si>
    <t xml:space="preserve">Tarifas.xlsx · K4:K7 (dato SierraCol)</t>
  </si>
  <si>
    <t xml:space="preserve">Tarifa Petro Star normal (COP)</t>
  </si>
  <si>
    <t xml:space="preserve">Tarifas.xlsx · E25, E51, E77, E103</t>
  </si>
  <si>
    <t xml:space="preserve">Tarifa Petro Star Lump Sum (COP)</t>
  </si>
  <si>
    <t xml:space="preserve">Tarifas.xlsx · F25, F51, F77, F103 (≠ Cot. 1255: ver Pendientes)</t>
  </si>
  <si>
    <t xml:space="preserve">Tarifa Ecotransur (COP)</t>
  </si>
  <si>
    <t xml:space="preserve">Tarifas.xlsx · G25, G51, G77, G103</t>
  </si>
  <si>
    <t xml:space="preserve">Ecotransur desde la 6ª: solo equipos (COP)</t>
  </si>
  <si>
    <t xml:space="preserve">Medido · misma loc. = supuesto</t>
  </si>
  <si>
    <t xml:space="preserve">Ecotransur p. 3–4 (no trae valor para misma localización)</t>
  </si>
  <si>
    <t xml:space="preserve">Work Order (USD por movilización)</t>
  </si>
  <si>
    <t xml:space="preserve">Recargo de señalizadoras faltantes</t>
  </si>
  <si>
    <t xml:space="preserve">Personas por turno × tarifa turno × turnos / TRM</t>
  </si>
  <si>
    <t xml:space="preserve">Work Order total por movilización</t>
  </si>
  <si>
    <t xml:space="preserve">Tercerizado (USD por movilización)</t>
  </si>
  <si>
    <t xml:space="preserve">Taladro durante la movilización</t>
  </si>
  <si>
    <t xml:space="preserve">(Horas + horas extra) × tarifa por hora</t>
  </si>
  <si>
    <t xml:space="preserve">Truck Manager por movilización</t>
  </si>
  <si>
    <t xml:space="preserve">Si es mensual fijo vale 0 aquí y se suma por mes (sección 7)</t>
  </si>
  <si>
    <t xml:space="preserve">Petro Star normal: tarifa, 1ª a 5ª del mes</t>
  </si>
  <si>
    <t xml:space="preserve">Petro Star normal: tarifa, 6ª en adelante</t>
  </si>
  <si>
    <t xml:space="preserve">Lump Sum: tarifa (sin descuento)</t>
  </si>
  <si>
    <t xml:space="preserve">Lump Sum: tarifa 6ª en adelante (columna con descuento)</t>
  </si>
  <si>
    <t xml:space="preserve">Ecotransur: tarifa, 1ª a 5ª del mes</t>
  </si>
  <si>
    <t xml:space="preserve">Ecotransur: 6ª en adelante (solo equipos)</t>
  </si>
  <si>
    <t xml:space="preserve">Costo total por movilización tercerizada = tarifa + taladro + Truck Manager (si es por movilización) + horas excedidas</t>
  </si>
  <si>
    <t xml:space="preserve">Petro Star normal, 1ª a 5ª (fila amarilla del Excel sin el TM)</t>
  </si>
  <si>
    <t xml:space="preserve">Petro Star normal, 6ª en adelante</t>
  </si>
  <si>
    <t xml:space="preserve">Lump Sum sin descuento (fila amarilla del Excel sin el TM)</t>
  </si>
  <si>
    <t xml:space="preserve">Lump Sum con descuento, 6ª en adelante</t>
  </si>
  <si>
    <t xml:space="preserve">Ecotransur, 1ª a 5ª (fila amarilla del Excel sin el TM)</t>
  </si>
  <si>
    <t xml:space="preserve">Ecotransur, 6ª en adelante</t>
  </si>
  <si>
    <t xml:space="preserve">Equipos de la flota mínima por hora excedida (COP/h)</t>
  </si>
  <si>
    <t xml:space="preserve">Estimado</t>
  </si>
  <si>
    <t xml:space="preserve">Flota mínima Cot. 1255 p. 1–2 a tarifa por hora p. 5 (Ecotransur: mismas tarifas, supuesto)</t>
  </si>
  <si>
    <t xml:space="preserve">Cobro por horas excedidas (equipos + señalizadores), por movilización</t>
  </si>
  <si>
    <t xml:space="preserve">Cero con las horas del Excel; aparece si las horas superan el tiempo estipulado</t>
  </si>
  <si>
    <t xml:space="preserve">4. CARGO FIJO MENSUAL DEL TRANSPORTADOR (nómina + disponibilidad o stand-by), según movilizaciones del mes</t>
  </si>
  <si>
    <t xml:space="preserve">Petro Star (COP)</t>
  </si>
  <si>
    <t xml:space="preserve">Ecotransur (COP)</t>
  </si>
  <si>
    <t xml:space="preserve">Petro Star (USD)</t>
  </si>
  <si>
    <t xml:space="preserve">Cot. 1255 p. 4 · Ecotransur p. 2–3. La fila 0 se cobra en cada mes bloqueado con contrato vigente (N9); los meses sin campaña no se cobran</t>
  </si>
  <si>
    <t xml:space="preserve">Nómina + disponibilidad (PS) · nómina 80% + stand-by 80% (EC)</t>
  </si>
  <si>
    <t xml:space="preserve">PS: la tabla de 5 movs aún cobra (amarillo). EC: desde la 5ª no cobra</t>
  </si>
  <si>
    <t xml:space="preserve">Sin cargo fijo</t>
  </si>
  <si>
    <t xml:space="preserve">El cargo de Petro Star aplica igual a la tarifa normal y al Lump Sum (la tabla de la p. 4 es condición general de la oferta). Los meses bloqueados con contrato vigente pagan la fila 0 más el Truck Manager (parámetro N9); al terminar la campaña termina el contrato y no hay cobro.</t>
  </si>
  <si>
    <t xml:space="preserve">5. COSTO DE LA CAMPAÑA CON LOS PARÁMETROS CARGADOS</t>
  </si>
  <si>
    <t xml:space="preserve">Modelo</t>
  </si>
  <si>
    <t xml:space="preserve">Costo de la campaña (USD)</t>
  </si>
  <si>
    <t xml:space="preserve">Ahorro frente al WO (USD)</t>
  </si>
  <si>
    <t xml:space="preserve">Ahorro %</t>
  </si>
  <si>
    <t xml:space="preserve">Movilizaciones con descuento</t>
  </si>
  <si>
    <t xml:space="preserve">Cargo fijo pagado (USD)</t>
  </si>
  <si>
    <t xml:space="preserve">Meses de campaña</t>
  </si>
  <si>
    <t xml:space="preserve">Control</t>
  </si>
  <si>
    <t xml:space="preserve">Ahorro por pozo (USD)</t>
  </si>
  <si>
    <t xml:space="preserve">Ahorro como % del costo de un pozo</t>
  </si>
  <si>
    <t xml:space="preserve">Work Order (modelo directo)</t>
  </si>
  <si>
    <t xml:space="preserve">Petro Star Lump Sum (sin descuento)</t>
  </si>
  <si>
    <t xml:space="preserve">Lump Sum con descuento (solo referencia)</t>
  </si>
  <si>
    <t xml:space="preserve">Oferta elegida en C10 (detalle)</t>
  </si>
  <si>
    <t xml:space="preserve">La fila 'Lump Sum con descuento' es solo referencia; la evaluación principal usa el Lump Sum sin descuento. Esta cifra depende de la frecuencia, de la mezcla por rango y del orden de los pozos dentro del mes. La sección 6 muestra desde cuántas movilizaciones por mes conviene cada oferta.</t>
  </si>
  <si>
    <t xml:space="preserve">6. FRONTERA DE DECISIÓN · ahorro del mes si en él hay n movilizaciones, todas del mismo rango (USD)</t>
  </si>
  <si>
    <t xml:space="preserve">Oferta · rango   /   movilizaciones en el mes →</t>
  </si>
  <si>
    <t xml:space="preserve">Equilibrio (movs/mes)</t>
  </si>
  <si>
    <t xml:space="preserve">Petro Star tarifa normal · Misma localización</t>
  </si>
  <si>
    <t xml:space="preserve">Petro Star tarifa normal · 0,1–5 km</t>
  </si>
  <si>
    <t xml:space="preserve">Petro Star tarifa normal · 5–10 km</t>
  </si>
  <si>
    <t xml:space="preserve">Petro Star tarifa normal · Más de 10 km</t>
  </si>
  <si>
    <t xml:space="preserve">Petro Star Lump Sum (sin descuento) · Misma localización</t>
  </si>
  <si>
    <t xml:space="preserve">Petro Star Lump Sum (sin descuento) · 0,1–5 km</t>
  </si>
  <si>
    <t xml:space="preserve">Petro Star Lump Sum (sin descuento) · 5–10 km</t>
  </si>
  <si>
    <t xml:space="preserve">Petro Star Lump Sum (sin descuento) · Más de 10 km</t>
  </si>
  <si>
    <t xml:space="preserve">Lump Sum con descuento (solo referencia) · Misma localización</t>
  </si>
  <si>
    <t xml:space="preserve">Lump Sum con descuento (solo referencia) · 0,1–5 km</t>
  </si>
  <si>
    <t xml:space="preserve">Lump Sum con descuento (solo referencia) · 5–10 km</t>
  </si>
  <si>
    <t xml:space="preserve">Lump Sum con descuento (solo referencia) · Más de 10 km</t>
  </si>
  <si>
    <t xml:space="preserve">Ecotransur · Misma localización</t>
  </si>
  <si>
    <t xml:space="preserve">Ecotransur · 0,1–5 km</t>
  </si>
  <si>
    <t xml:space="preserve">Ecotransur · 5–10 km</t>
  </si>
  <si>
    <t xml:space="preserve">Ecotransur · Más de 10 km</t>
  </si>
  <si>
    <t xml:space="preserve">Verde = el tercerizado cuesta menos ese mes; rojo = cuesta más. Equilibrio = primera frecuencia mensual en que el tercerizado deja de perder. Los saltos entre columnas son los umbrales (cargo fijo hasta la 4ª/5ª, descuento desde la 6ª).</t>
  </si>
  <si>
    <t xml:space="preserve">7. DETALLE DE LA CAMPAÑA · meses (asignación de movilizaciones según la frecuencia)</t>
  </si>
  <si>
    <t xml:space="preserve">Cada mes recibe las movilizaciones del perfil elegido (C31), reducidas por el NPT de perforación (C23). Con NPT la campaña se alarga; un mes que queda sin movilizaciones dentro de la campaña paga el cargo fijo de 0 movilizaciones (contrato vigente).</t>
  </si>
  <si>
    <t xml:space="preserve">Mes de campaña</t>
  </si>
  <si>
    <t xml:space="preserve">Movs/mes del perfil (movs)</t>
  </si>
  <si>
    <t xml:space="preserve">Capacidad con NPT (movs)</t>
  </si>
  <si>
    <t xml:space="preserve">Capacidad acumulada (movs)</t>
  </si>
  <si>
    <t xml:space="preserve">Movilizaciones del mes</t>
  </si>
  <si>
    <t xml:space="preserve">Cargo fijo Petro Star (USD)</t>
  </si>
  <si>
    <t xml:space="preserve">Cargo fijo Ecotransur (USD)</t>
  </si>
  <si>
    <t xml:space="preserve">Truck Manager mensual (USD)</t>
  </si>
  <si>
    <t xml:space="preserve">Total</t>
  </si>
  <si>
    <t xml:space="preserve">8. DETALLE DE LA CAMPAÑA · movilización por movilización (USD)</t>
  </si>
  <si>
    <t xml:space="preserve">Tipo de pozo: los pozos en la misma localización se intercalan en proporción a lo largo de la campaña (supuesto de orden). Puede escribir encima de Rango o Mes para modelar cualquier campaña.</t>
  </si>
  <si>
    <t xml:space="preserve">Pozo nº</t>
  </si>
  <si>
    <t xml:space="preserve">Tipo de pozo</t>
  </si>
  <si>
    <t xml:space="preserve">Rango (1–4)</t>
  </si>
  <si>
    <t xml:space="preserve">Nº de la movilización en el mes</t>
  </si>
  <si>
    <t xml:space="preserve">Total movilizaciones (sin cargo fijo ni TM mensual)</t>
  </si>
  <si>
    <t xml:space="preserve">Método: cómo está armado el costo de cada modelo y qué se cancela</t>
  </si>
  <si>
    <t xml:space="preserve">Se lee antes del Simulador. Lo que decide el resultado es cuántas movilizaciones caen en cada mes, no el promedio.</t>
  </si>
  <si>
    <t xml:space="preserve">1. CLASIFICACIÓN DE CADA RENGLÓN DE COSTO</t>
  </si>
  <si>
    <t xml:space="preserve">Renglón</t>
  </si>
  <si>
    <t xml:space="preserve">Tipo</t>
  </si>
  <si>
    <t xml:space="preserve">Umbral</t>
  </si>
  <si>
    <t xml:space="preserve">Tarifa por movilización (Work Order)</t>
  </si>
  <si>
    <t xml:space="preserve">Variable por movilización; escalón por rango</t>
  </si>
  <si>
    <t xml:space="preserve">Límites de rango 0,2 / 5 / 10 km</t>
  </si>
  <si>
    <t xml:space="preserve">No es monótona: 5–10 km (95.374) cuesta menos que 0,1–5 km (98.663).</t>
  </si>
  <si>
    <t xml:space="preserve">Tarifa con tope</t>
  </si>
  <si>
    <t xml:space="preserve">Acotada arriba y abajo</t>
  </si>
  <si>
    <t xml:space="preserve">Tope superior = tarifa del Excel (movilización rápida); si tarda más, tarifa fija menor</t>
  </si>
  <si>
    <t xml:space="preserve">El WO nunca paga más que la tarifa del Excel, tarde lo que tarde. Comparar contra el tope es el escenario más caro del WO, es decir, el más favorable al tercerizado.</t>
  </si>
  <si>
    <t xml:space="preserve">Variable; escalón 1 o 2 turnos</t>
  </si>
  <si>
    <t xml:space="preserve">12 h = 1 turno; más de 12 h = 2 turnos</t>
  </si>
  <si>
    <t xml:space="preserve">4 personas por turno × 375.000 COP (Cot. 1255 p. 5).</t>
  </si>
  <si>
    <t xml:space="preserve">Tarifa del transportador</t>
  </si>
  <si>
    <t xml:space="preserve">Variable; escalón por rango</t>
  </si>
  <si>
    <t xml:space="preserve">Misma localización / 5 / 10 / 20 km</t>
  </si>
  <si>
    <t xml:space="preserve">Petro Star no cotiza más de 20 km: no hay tarifa por encima de ese límite.</t>
  </si>
  <si>
    <t xml:space="preserve">Descuento desde la 6ª del mes</t>
  </si>
  <si>
    <t xml:space="preserve">Salto según el número de la movilización en el mes</t>
  </si>
  <si>
    <t xml:space="preserve">6ª movilización del mes</t>
  </si>
  <si>
    <t xml:space="preserve">Petro Star: 50 % de la tarifa. Ecotransur: solo equipos. Lump Sum: sin descuento (evaluación principal).</t>
  </si>
  <si>
    <t xml:space="preserve">Cargo fijo mensual (nómina + disponibilidad)</t>
  </si>
  <si>
    <t xml:space="preserve">Escalón decreciente; fijo mensual</t>
  </si>
  <si>
    <t xml:space="preserve">Petro Star 0–5 movs; Ecotransur 0–4 movs</t>
  </si>
  <si>
    <t xml:space="preserve">Petro Star todavía cobra con 5 movs (p. 4); Ecotransur no cobra desde la 5ª.</t>
  </si>
  <si>
    <t xml:space="preserve">Variable por hora</t>
  </si>
  <si>
    <t xml:space="preserve">Horas por rango (12/18/24/28)</t>
  </si>
  <si>
    <t xml:space="preserve">34.944 USD/día. Bajo el WO no se paga (premisa SierraCol).</t>
  </si>
  <si>
    <t xml:space="preserve">Mes bloqueado (no se puede mover)</t>
  </si>
  <si>
    <t xml:space="preserve">Fijo mensual</t>
  </si>
  <si>
    <t xml:space="preserve">Mes con 0 movilizaciones y contrato vigente</t>
  </si>
  <si>
    <t xml:space="preserve">Petro Star 176.968 · Ecotransur 242.534 USD por mes (cargo de 0 movilizaciones + Truck Manager). Con el WO, 0.</t>
  </si>
  <si>
    <t xml:space="preserve">Truck Manager</t>
  </si>
  <si>
    <t xml:space="preserve">Fijo mensual (así se modela)</t>
  </si>
  <si>
    <t xml:space="preserve">60 M COP por cada mes de campaña</t>
  </si>
  <si>
    <t xml:space="preserve">El Excel lo prorratea a 6 movs/mes (2.702,70 USD); con menos de 6 movs/mes ese prorrateo lo subestima. Por encima lo sobreestima.</t>
  </si>
  <si>
    <t xml:space="preserve">Horas excedidas sobre el tiempo estipulado</t>
  </si>
  <si>
    <t xml:space="preserve">Salto al pasar el tiempo cotizado</t>
  </si>
  <si>
    <t xml:space="preserve">Tiempo total 12/24/36/36 h</t>
  </si>
  <si>
    <t xml:space="preserve">Se paga el taladro por hora (1.456 USD) y además equipos y señalizadores por hora (~1.357 USD; Cot. 1255 p. 5). Con el WO, 0.</t>
  </si>
  <si>
    <t xml:space="preserve">Bandas de horas por ítem (Opción A/B)</t>
  </si>
  <si>
    <t xml:space="preserve">Tercerizado (Ecotransur)</t>
  </si>
  <si>
    <t xml:space="preserve">Salto por banda de horas</t>
  </si>
  <si>
    <t xml:space="preserve">8–12 / ≤14 / 14–18 / 18–24 / ≤22 h</t>
  </si>
  <si>
    <t xml:space="preserve">El formato del Ítem 1 no viene adjunto: el Excel usa ítems 'más de X horas'.</t>
  </si>
  <si>
    <t xml:space="preserve">Personal, turnos o equipos fuera del mínimo</t>
  </si>
  <si>
    <t xml:space="preserve">Ambos</t>
  </si>
  <si>
    <t xml:space="preserve">Lo que exceda el equipo mínimo</t>
  </si>
  <si>
    <t xml:space="preserve">Premisa: se cancela entre modelos (adicionales 0 %). Ver Pendientes.</t>
  </si>
  <si>
    <t xml:space="preserve">2. ¿QUÉ VARIABLE AFECTA A LOS DOS MODELOS Y QUÉ SE CANCELA?</t>
  </si>
  <si>
    <t xml:space="preserve">¿A quién afecta?</t>
  </si>
  <si>
    <t xml:space="preserve">¿Se cancela?</t>
  </si>
  <si>
    <t xml:space="preserve">Por qué</t>
  </si>
  <si>
    <t xml:space="preserve">Número de pozos de la campaña</t>
  </si>
  <si>
    <t xml:space="preserve">No</t>
  </si>
  <si>
    <t xml:space="preserve">El WO crece lineal; el tercerizado tiene umbrales mensuales. Entra completo al diferencial.</t>
  </si>
  <si>
    <t xml:space="preserve">Frecuencia mensual de movilizaciones</t>
  </si>
  <si>
    <t xml:space="preserve">Solo tercerizado</t>
  </si>
  <si>
    <t xml:space="preserve">El WO cobra por movilización, no por mes. Es la variable que define la frontera.</t>
  </si>
  <si>
    <t xml:space="preserve">Rango de distancia</t>
  </si>
  <si>
    <t xml:space="preserve">Ambos, distinto</t>
  </si>
  <si>
    <t xml:space="preserve">Las tarifas no se mueven igual: pasar de 0,1–5 a 5–10 km abarata el WO y encarece el tercerizado.</t>
  </si>
  <si>
    <t xml:space="preserve">Adicionales / imprevistos</t>
  </si>
  <si>
    <t xml:space="preserve">Sí (premisa)</t>
  </si>
  <si>
    <t xml:space="preserve">Se pone 0 % en ambos. Si no se cancelan, el residuo cae sobre el tercerizado (ver Sensibilidad).</t>
  </si>
  <si>
    <t xml:space="preserve">Taladro parado por NPT de perforación</t>
  </si>
  <si>
    <t xml:space="preserve">La tarifa del taladro durante la perforación la rige su contrato en los dos modelos.</t>
  </si>
  <si>
    <t xml:space="preserve">Demoras dentro de la movilización</t>
  </si>
  <si>
    <t xml:space="preserve">El WO es suma cerrada. En el tercerizado se paga el taladro por hora y, con Petro Star, equipos y nómina (cláusula 7).</t>
  </si>
  <si>
    <t xml:space="preserve">Las ofertas están en COP; el WO en USD. TRM alta favorece al tercerizado.</t>
  </si>
  <si>
    <t xml:space="preserve">Tarifa del taladro</t>
  </si>
  <si>
    <t xml:space="preserve">Bajo el WO no se pagan horas de taladro.</t>
  </si>
  <si>
    <t xml:space="preserve">Señalizadoras</t>
  </si>
  <si>
    <t xml:space="preserve">Solo WO (recargo)</t>
  </si>
  <si>
    <t xml:space="preserve">Las ofertas ya incluyen 20; el WO tiene 12.</t>
  </si>
  <si>
    <t xml:space="preserve">Premisa SierraCol.</t>
  </si>
  <si>
    <t xml:space="preserve">3. NPT: POR QUÉ CANAL AFECTA A CADA MODELO</t>
  </si>
  <si>
    <t xml:space="preserve">NPT de perforación (pozo): el taladro está parado o perforando más días. Su tarifa diaria se paga igual en los dos modelos, así que ese costo se cancela. Lo que NO se cancela es el efecto sobre la frecuencia: menos movilizaciones por mes. Al WO no le pasa nada (paga por movilización). Al tercerizado le cambia la factura: si el mes cae por debajo de 5 (Ecotransur) o de 6 (Petro Star), aparece el cargo fijo y se pierde el descuento. Canal: frecuencia, no horas.</t>
  </si>
  <si>
    <t xml:space="preserve">NPT de movilización (demora en el traslado): en el WO lo absorbe el contratista del taladro (suma global cerrada). En el tercerizado carga horas de taladro (1.456 USD/h) y, con Petro Star, si la demora no es atribuible al transportador, también equipos y nómina (Cot. 1255 p. 5, cláusula 7; a tarifas horarias de la p. 5 la flota mínima más 20 señalizadores suma unos 1.357 USD/h). Ecotransur no trae esa cláusula, pero factura aparte turnos extra. Canal: horas, residuo completo sobre el tercerizado.</t>
  </si>
  <si>
    <t xml:space="preserve">Lo único medido en los archivos es el sobretiempo de movilización de los logs (hojas Real 2024 / Real 2025): misma localización excede las 12 h del Excel en 10 de 23 movs (2024) y 10 de 11 (2025); 0,1–5 km excede las 18 h en 11 de 28 y 10 de 17; 5–10 km y más de 10 km en 2024 quedaron por debajo de lo supuesto. No hay NPT de perforación ni plan de pozos: se deja editable en 0 % (Simulador C23) y se muestra su sensibilidad.</t>
  </si>
  <si>
    <t xml:space="preserve">4. VERIFICACIONES OBLIGATORIAS</t>
  </si>
  <si>
    <t xml:space="preserve">Verificación</t>
  </si>
  <si>
    <t xml:space="preserve">Resultado</t>
  </si>
  <si>
    <t xml:space="preserve">Detalle</t>
  </si>
  <si>
    <t xml:space="preserve">Recalcular fórmulas heredadas</t>
  </si>
  <si>
    <t xml:space="preserve">Hecho</t>
  </si>
  <si>
    <t xml:space="preserve">Las filas amarillas 'Costo Suma Global' (31, 57, 83, 109) se reproducen al centavo (hoja Reconciliación). El recargo de señalizadoras da 405,41 / 810,81 USD. El total WO de la campaña es 3.130.187 USD (= M18); la nota J55 cita 3.107.890.</t>
  </si>
  <si>
    <t xml:space="preserve">Monotonía de tarifas con la distancia</t>
  </si>
  <si>
    <t xml:space="preserve">Hallazgo</t>
  </si>
  <si>
    <t xml:space="preserve">Petro Star, Lump Sum y Ecotransur crecen con la distancia. El WO no: 5–10 km &lt; 0,1–5 km. Si los 20 pozos fueran de 5–10 km, el ahorro de Petro Star cae unos 324.000 USD y el de Ecotransur unos 430.000 USD.</t>
  </si>
  <si>
    <t xml:space="preserve">Cobertura de más de 20 km</t>
  </si>
  <si>
    <t xml:space="preserve">Brecha</t>
  </si>
  <si>
    <t xml:space="preserve">Petro Star cotiza 10–20 km. El log 2024 tiene 1 movimiento de 22,1 km (pozo 5681); 2025 ninguno (máx. 14,6 km). Se valoró con la tarifa de 10–20 km y queda marcado.</t>
  </si>
  <si>
    <t xml:space="preserve">Horas de Petro Star vs Excel</t>
  </si>
  <si>
    <t xml:space="preserve">Diferencia</t>
  </si>
  <si>
    <t xml:space="preserve">Cotización: 12 / 24 / 36 / 36 h. Excel: 12 / 18 / 24 / 28 h. Por movilización: 0 / 8.736 / 17.472 / 11.648 USD de taladro. En la campaña base (20 pozos en 0,1–5 km): 174.720 USD. Editable en Simulador fila 39.</t>
  </si>
  <si>
    <t xml:space="preserve">IVA del Lump Sum</t>
  </si>
  <si>
    <t xml:space="preserve">Fuera de alcance</t>
  </si>
  <si>
    <t xml:space="preserve">Por instrucción de SierraCol se trabaja sin IVA. Si el IVA del 50 % de alquiler no fuera descontable, el Lump Sum costaría unos 225.000 USD más en la campaña base.</t>
  </si>
  <si>
    <t xml:space="preserve">Celdas sueltas F155 y F156</t>
  </si>
  <si>
    <t xml:space="preserve">No usadas</t>
  </si>
  <si>
    <t xml:space="preserve">Valores 8 y 15 sin rótulo, dentro del bloque 5.6. No entran en ningún cálculo de este simulador.</t>
  </si>
  <si>
    <t xml:space="preserve">Campaña real 2024 · taladro GRS 110 · cómo habría funcionado cada modelo</t>
  </si>
  <si>
    <t xml:space="preserve">Movimientos de Movilizaciones_2024.xlsx (detalle, columnas D, C, F, G, H), en orden de fecha. Los meses sin registro no se cuentan (campaña parada). Parámetros y tarifas vienen de la hoja Simulador (verde). Columnas M–P usan las horas del Excel; Q–T, las horas reales del log. Ahorro positivo = el tercerizado cuesta menos.</t>
  </si>
  <si>
    <t xml:space="preserve">Costo con horas Excel (USD)</t>
  </si>
  <si>
    <t xml:space="preserve">Ahorro con horas Excel (USD)</t>
  </si>
  <si>
    <t xml:space="preserve">Costo con horas reales (USD)</t>
  </si>
  <si>
    <t xml:space="preserve">Ahorro con horas reales (USD)</t>
  </si>
  <si>
    <t xml:space="preserve">Fecha</t>
  </si>
  <si>
    <t xml:space="preserve">Pozo</t>
  </si>
  <si>
    <t xml:space="preserve">Km</t>
  </si>
  <si>
    <t xml:space="preserve">Rango (log)</t>
  </si>
  <si>
    <t xml:space="preserve">Rango nº</t>
  </si>
  <si>
    <t xml:space="preserve">Nº en el mes</t>
  </si>
  <si>
    <t xml:space="preserve">Horas reales</t>
  </si>
  <si>
    <t xml:space="preserve">Horas Excel</t>
  </si>
  <si>
    <t xml:space="preserve">Sobretiempo (h)</t>
  </si>
  <si>
    <t xml:space="preserve">Work Order (USD)</t>
  </si>
  <si>
    <t xml:space="preserve">Petro Star tarifa normal, horas Excel (USD)</t>
  </si>
  <si>
    <t xml:space="preserve">Petro Star Lump Sum, horas Excel (USD)</t>
  </si>
  <si>
    <t xml:space="preserve">Lump Sum con descuento (referencia), horas Excel (USD)</t>
  </si>
  <si>
    <t xml:space="preserve">Ecotransur, horas Excel (USD)</t>
  </si>
  <si>
    <t xml:space="preserve">Petro Star tarifa normal, horas reales (USD)</t>
  </si>
  <si>
    <t xml:space="preserve">Petro Star Lump Sum, horas reales (USD)</t>
  </si>
  <si>
    <t xml:space="preserve">Lump Sum con descuento (referencia), horas reales (USD)</t>
  </si>
  <si>
    <t xml:space="preserve">Ecotransur, horas reales (USD)</t>
  </si>
  <si>
    <t xml:space="preserve">Lump Sum con descuento (ref.)</t>
  </si>
  <si>
    <t xml:space="preserve">5681</t>
  </si>
  <si>
    <t xml:space="preserve">10+ km</t>
  </si>
  <si>
    <t xml:space="preserve">Más de 20 km: Petro Star no tiene tarifa (se usa la de 10–20 km)</t>
  </si>
  <si>
    <t xml:space="preserve">5270</t>
  </si>
  <si>
    <t xml:space="preserve">0.15 - 5 km</t>
  </si>
  <si>
    <t xml:space="preserve">5077</t>
  </si>
  <si>
    <t xml:space="preserve">Meses con movilizaciones</t>
  </si>
  <si>
    <t xml:space="preserve">5136</t>
  </si>
  <si>
    <t xml:space="preserve">Sin horas en el log: se usan las del Excel</t>
  </si>
  <si>
    <t xml:space="preserve">Promedio movs/mes (meses activos)</t>
  </si>
  <si>
    <t xml:space="preserve">5106</t>
  </si>
  <si>
    <t xml:space="preserve">Meses con 6 o más movilizaciones</t>
  </si>
  <si>
    <t xml:space="preserve">5067</t>
  </si>
  <si>
    <t xml:space="preserve">Meses con menos de 5 movilizaciones</t>
  </si>
  <si>
    <t xml:space="preserve">5023</t>
  </si>
  <si>
    <t xml:space="preserve">5 - 10 km</t>
  </si>
  <si>
    <t xml:space="preserve">5002</t>
  </si>
  <si>
    <t xml:space="preserve">Misma locación</t>
  </si>
  <si>
    <t xml:space="preserve">5009</t>
  </si>
  <si>
    <t xml:space="preserve">5200</t>
  </si>
  <si>
    <t xml:space="preserve">5013</t>
  </si>
  <si>
    <t xml:space="preserve">5675</t>
  </si>
  <si>
    <t xml:space="preserve">5141</t>
  </si>
  <si>
    <t xml:space="preserve">5032</t>
  </si>
  <si>
    <t xml:space="preserve">5856</t>
  </si>
  <si>
    <t xml:space="preserve">5083</t>
  </si>
  <si>
    <t xml:space="preserve">5078</t>
  </si>
  <si>
    <t xml:space="preserve">5027</t>
  </si>
  <si>
    <t xml:space="preserve">5187</t>
  </si>
  <si>
    <t xml:space="preserve">5079</t>
  </si>
  <si>
    <t xml:space="preserve">5265</t>
  </si>
  <si>
    <t xml:space="preserve">5268</t>
  </si>
  <si>
    <t xml:space="preserve">5089</t>
  </si>
  <si>
    <t xml:space="preserve">5111</t>
  </si>
  <si>
    <t xml:space="preserve">5205</t>
  </si>
  <si>
    <t xml:space="preserve">5198</t>
  </si>
  <si>
    <t xml:space="preserve">5044</t>
  </si>
  <si>
    <t xml:space="preserve">5019</t>
  </si>
  <si>
    <t xml:space="preserve">5033</t>
  </si>
  <si>
    <t xml:space="preserve">5239</t>
  </si>
  <si>
    <t xml:space="preserve">5193</t>
  </si>
  <si>
    <t xml:space="preserve">5029</t>
  </si>
  <si>
    <t xml:space="preserve">5231</t>
  </si>
  <si>
    <t xml:space="preserve">5118</t>
  </si>
  <si>
    <t xml:space="preserve">5117</t>
  </si>
  <si>
    <t xml:space="preserve">5204</t>
  </si>
  <si>
    <t xml:space="preserve">5194</t>
  </si>
  <si>
    <t xml:space="preserve">5022</t>
  </si>
  <si>
    <t xml:space="preserve">5191</t>
  </si>
  <si>
    <t xml:space="preserve">5273</t>
  </si>
  <si>
    <t xml:space="preserve">5203</t>
  </si>
  <si>
    <t xml:space="preserve">5113</t>
  </si>
  <si>
    <t xml:space="preserve">5226</t>
  </si>
  <si>
    <t xml:space="preserve">5112</t>
  </si>
  <si>
    <t xml:space="preserve">5130</t>
  </si>
  <si>
    <t xml:space="preserve">4690</t>
  </si>
  <si>
    <t xml:space="preserve">5223</t>
  </si>
  <si>
    <t xml:space="preserve">5224</t>
  </si>
  <si>
    <t xml:space="preserve">5094</t>
  </si>
  <si>
    <t xml:space="preserve">5068</t>
  </si>
  <si>
    <t xml:space="preserve">5069</t>
  </si>
  <si>
    <t xml:space="preserve">4626</t>
  </si>
  <si>
    <t xml:space="preserve">5093</t>
  </si>
  <si>
    <t xml:space="preserve">5043</t>
  </si>
  <si>
    <t xml:space="preserve">3771</t>
  </si>
  <si>
    <t xml:space="preserve">5225</t>
  </si>
  <si>
    <t xml:space="preserve">4686</t>
  </si>
  <si>
    <t xml:space="preserve">3423</t>
  </si>
  <si>
    <t xml:space="preserve">4024</t>
  </si>
  <si>
    <t xml:space="preserve">4665</t>
  </si>
  <si>
    <t xml:space="preserve">3479</t>
  </si>
  <si>
    <t xml:space="preserve">5227</t>
  </si>
  <si>
    <t xml:space="preserve">5233</t>
  </si>
  <si>
    <t xml:space="preserve">5071</t>
  </si>
  <si>
    <t xml:space="preserve">5115</t>
  </si>
  <si>
    <t xml:space="preserve">3598</t>
  </si>
  <si>
    <t xml:space="preserve">5797</t>
  </si>
  <si>
    <t xml:space="preserve">2780</t>
  </si>
  <si>
    <t xml:space="preserve">4019</t>
  </si>
  <si>
    <t xml:space="preserve">3932</t>
  </si>
  <si>
    <t xml:space="preserve">Totales por movimiento (sin cargo fijo)</t>
  </si>
  <si>
    <t xml:space="preserve">Ahorro Petro Star Lump Sum (USD)</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</si>
  <si>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</si>
  <si>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</si>
  <si>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</si>
  <si>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</si>
  <si>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</si>
  <si>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</si>
  <si>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</si>
  <si>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</si>
  <si>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</si>
  <si>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</si>
  <si>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</si>
  <si>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Campaña real 2025 · taladro GRS 110 · cómo habría funcionado cada modelo</t>
  </si>
  <si>
    <t xml:space="preserve">Movimientos de Movilizaciones_2025.xlsx (detalle, columnas D, C, F, G, H), en orden de fecha. Los meses sin registro no se cuentan (campaña parada). Parámetros y tarifas vienen de la hoja Simulador (verde). Columnas M–P usan las horas del Excel; Q–T, las horas reales del log. Ahorro positivo = el tercerizado cuesta menos.</t>
  </si>
  <si>
    <t xml:space="preserve">INFA4562</t>
  </si>
  <si>
    <t xml:space="preserve">CIRA5216</t>
  </si>
  <si>
    <t xml:space="preserve">CIRA5260</t>
  </si>
  <si>
    <t xml:space="preserve">CIRA5131</t>
  </si>
  <si>
    <t xml:space="preserve">CIRA5087</t>
  </si>
  <si>
    <t xml:space="preserve">CIRA5116</t>
  </si>
  <si>
    <t xml:space="preserve">CIRA5822</t>
  </si>
  <si>
    <t xml:space="preserve">CIRA5297</t>
  </si>
  <si>
    <t xml:space="preserve">CIRA5293</t>
  </si>
  <si>
    <t xml:space="preserve">CIRA5107</t>
  </si>
  <si>
    <t xml:space="preserve">CIRA5885</t>
  </si>
  <si>
    <t xml:space="preserve">CIRA5234</t>
  </si>
  <si>
    <t xml:space="preserve">CIRA5139</t>
  </si>
  <si>
    <t xml:space="preserve">CIRA5038</t>
  </si>
  <si>
    <t xml:space="preserve">CIRA2715</t>
  </si>
  <si>
    <t xml:space="preserve">CIRA3921</t>
  </si>
  <si>
    <t xml:space="preserve">CIRA 5844</t>
  </si>
  <si>
    <t xml:space="preserve">CIRA 5665</t>
  </si>
  <si>
    <t xml:space="preserve">CIRA 6277</t>
  </si>
  <si>
    <t xml:space="preserve">CIRA 6096</t>
  </si>
  <si>
    <t xml:space="preserve">CIRA 4810</t>
  </si>
  <si>
    <t xml:space="preserve">CIRA 5138</t>
  </si>
  <si>
    <t xml:space="preserve">CIRA 4661</t>
  </si>
  <si>
    <t xml:space="preserve">CIRA 5288</t>
  </si>
  <si>
    <t xml:space="preserve">CIRA 5057</t>
  </si>
  <si>
    <t xml:space="preserve">CIRA 5088</t>
  </si>
  <si>
    <t xml:space="preserve">CIRA 5056</t>
  </si>
  <si>
    <t xml:space="preserve">CIRA 5282</t>
  </si>
  <si>
    <t xml:space="preserve">CIRA 6252</t>
  </si>
  <si>
    <t xml:space="preserve">CIRA 5238</t>
  </si>
  <si>
    <t xml:space="preserve">CIRA 5080</t>
  </si>
  <si>
    <t xml:space="preserve">CIRA 5402</t>
  </si>
  <si>
    <t xml:space="preserve">CIRA 5417</t>
  </si>
  <si>
    <t xml:space="preserve">CIRA 5401</t>
  </si>
  <si>
    <t xml:space="preserve">CIRA 5418</t>
  </si>
  <si>
    <t xml:space="preserve">CIRA 3499</t>
  </si>
  <si>
    <t xml:space="preserve">CIRA 4648</t>
  </si>
  <si>
    <t xml:space="preserve">CIRA 5612</t>
  </si>
  <si>
    <t xml:space="preserve">CIRA 5065</t>
  </si>
  <si>
    <t xml:space="preserve">CIRA 5192</t>
  </si>
  <si>
    <t xml:space="preserve">CIRA 5290</t>
  </si>
  <si>
    <t xml:space="preserve">CIRA 5296</t>
  </si>
  <si>
    <t xml:space="preserve">CIRA 5276</t>
  </si>
  <si>
    <t xml:space="preserve">CIRA 3477</t>
  </si>
  <si>
    <t xml:space="preserve">INFA 3340</t>
  </si>
  <si>
    <t xml:space="preserve">Reconciliación: de dónde sale cada parámetro</t>
  </si>
  <si>
    <t xml:space="preserve">Valor en simulador = enlace vivo (verde). Valor en fuente = copiado del archivo original. Control = OK si coinciden; el control solo es válido con los valores por defecto del simulador.</t>
  </si>
  <si>
    <t xml:space="preserve">Parámetro</t>
  </si>
  <si>
    <t xml:space="preserve">Valor en simulador</t>
  </si>
  <si>
    <t xml:space="preserve">Valor en fuente</t>
  </si>
  <si>
    <t xml:space="preserve">Fuente (archivo · celda o página)</t>
  </si>
  <si>
    <t xml:space="preserve">TRM (COP/USD)</t>
  </si>
  <si>
    <t xml:space="preserve">Tarifas.xlsx · E3</t>
  </si>
  <si>
    <t xml:space="preserve">Taladro (USD/día)</t>
  </si>
  <si>
    <t xml:space="preserve">Taladro (USD/h)</t>
  </si>
  <si>
    <t xml:space="preserve">Tarifas.xlsx · E6</t>
  </si>
  <si>
    <t xml:space="preserve">Adicionales base (%)</t>
  </si>
  <si>
    <t xml:space="preserve">Tarifas.xlsx · E7</t>
  </si>
  <si>
    <t xml:space="preserve">Premisa</t>
  </si>
  <si>
    <t xml:space="preserve">Adicionales Lump Sum (%)</t>
  </si>
  <si>
    <t xml:space="preserve">Truck Manager prorrateado a 6 movs (USD) = 60 M COP / TRM / 6</t>
  </si>
  <si>
    <t xml:space="preserve">Horas rango 1</t>
  </si>
  <si>
    <t xml:space="preserve">Tarifas.xlsx · C26</t>
  </si>
  <si>
    <t xml:space="preserve">Dato Excel</t>
  </si>
  <si>
    <t xml:space="preserve">Horas rango 2</t>
  </si>
  <si>
    <t xml:space="preserve">Tarifas.xlsx · C52</t>
  </si>
  <si>
    <t xml:space="preserve">Horas rango 3</t>
  </si>
  <si>
    <t xml:space="preserve">Tarifas.xlsx · C78</t>
  </si>
  <si>
    <t xml:space="preserve">Horas rango 4</t>
  </si>
  <si>
    <t xml:space="preserve">Tarifas.xlsx · C104</t>
  </si>
  <si>
    <t xml:space="preserve">WO base rango 1 (USD)</t>
  </si>
  <si>
    <t xml:space="preserve">Tarifas.xlsx · K4 (dato SierraCol)</t>
  </si>
  <si>
    <t xml:space="preserve">WO base rango 2 (USD)</t>
  </si>
  <si>
    <t xml:space="preserve">Tarifas.xlsx · K5 (dato SierraCol)</t>
  </si>
  <si>
    <t xml:space="preserve">WO base rango 3 (USD)</t>
  </si>
  <si>
    <t xml:space="preserve">Tarifas.xlsx · K6 (dato SierraCol)</t>
  </si>
  <si>
    <t xml:space="preserve">WO base rango 4 (USD)</t>
  </si>
  <si>
    <t xml:space="preserve">Tarifas.xlsx · K7 (dato SierraCol)</t>
  </si>
  <si>
    <t xml:space="preserve">Petro Star normal rango 1 (COP)</t>
  </si>
  <si>
    <t xml:space="preserve">Tarifas.xlsx · E25</t>
  </si>
  <si>
    <t xml:space="preserve">Lump Sum rango 1 (COP)</t>
  </si>
  <si>
    <t xml:space="preserve">Tarifas.xlsx · F25 (≠ Cot. 1255 p.1–2)</t>
  </si>
  <si>
    <t xml:space="preserve">Ecotransur rango 1 (COP)</t>
  </si>
  <si>
    <t xml:space="preserve">Tarifas.xlsx · G25</t>
  </si>
  <si>
    <t xml:space="preserve">Petro Star normal rango 2 (COP)</t>
  </si>
  <si>
    <t xml:space="preserve">Tarifas.xlsx · E51</t>
  </si>
  <si>
    <t xml:space="preserve">Lump Sum rango 2 (COP)</t>
  </si>
  <si>
    <t xml:space="preserve">Tarifas.xlsx · F51 (≠ Cot. 1255 p.1–2)</t>
  </si>
  <si>
    <t xml:space="preserve">Ecotransur rango 2 (COP)</t>
  </si>
  <si>
    <t xml:space="preserve">Tarifas.xlsx · G51</t>
  </si>
  <si>
    <t xml:space="preserve">Petro Star normal rango 3 (COP)</t>
  </si>
  <si>
    <t xml:space="preserve">Tarifas.xlsx · E77</t>
  </si>
  <si>
    <t xml:space="preserve">Lump Sum rango 3 (COP)</t>
  </si>
  <si>
    <t xml:space="preserve">Tarifas.xlsx · F77 (≠ Cot. 1255 p.1–2)</t>
  </si>
  <si>
    <t xml:space="preserve">Ecotransur rango 3 (COP)</t>
  </si>
  <si>
    <t xml:space="preserve">Tarifas.xlsx · G77</t>
  </si>
  <si>
    <t xml:space="preserve">Petro Star normal rango 4 (COP)</t>
  </si>
  <si>
    <t xml:space="preserve">Tarifas.xlsx · E103</t>
  </si>
  <si>
    <t xml:space="preserve">Lump Sum rango 4 (COP)</t>
  </si>
  <si>
    <t xml:space="preserve">Tarifas.xlsx · F103 (≠ Cot. 1255 p.1–2)</t>
  </si>
  <si>
    <t xml:space="preserve">Ecotransur rango 4 (COP)</t>
  </si>
  <si>
    <t xml:space="preserve">Tarifas.xlsx · G103</t>
  </si>
  <si>
    <t xml:space="preserve">Señalizador turno 12 h (COP)</t>
  </si>
  <si>
    <t xml:space="preserve">Cot. 1255 p. 5</t>
  </si>
  <si>
    <t xml:space="preserve">Recargo señalizadoras misma loc. (USD)</t>
  </si>
  <si>
    <t xml:space="preserve">Tarifas.xlsx · K11 (verificado)</t>
  </si>
  <si>
    <t xml:space="preserve">Recargo señalizadoras otros rangos (USD)</t>
  </si>
  <si>
    <t xml:space="preserve">Tarifas.xlsx · L11 (verificado)</t>
  </si>
  <si>
    <t xml:space="preserve">Costo Suma Global PS rango 1 (USD)</t>
  </si>
  <si>
    <t xml:space="preserve">Tarifas.xlsx · E31 (fila amarilla; se suma el TM prorrateado si es mensual)</t>
  </si>
  <si>
    <t xml:space="preserve">Costo Suma Global PS rango 2 (USD)</t>
  </si>
  <si>
    <t xml:space="preserve">Tarifas.xlsx · E57 (fila amarilla; se suma el TM prorrateado si es mensual)</t>
  </si>
  <si>
    <t xml:space="preserve">Costo Suma Global PS rango 3 (USD)</t>
  </si>
  <si>
    <t xml:space="preserve">Tarifas.xlsx · E83 (fila amarilla; se suma el TM prorrateado si es mensual)</t>
  </si>
  <si>
    <t xml:space="preserve">Costo Suma Global PS rango 4 (USD)</t>
  </si>
  <si>
    <t xml:space="preserve">Tarifas.xlsx · E109 (fila amarilla; se suma el TM prorrateado si es mensual)</t>
  </si>
  <si>
    <t xml:space="preserve">Costo Suma Global LS rango 1 (USD)</t>
  </si>
  <si>
    <t xml:space="preserve">Tarifas.xlsx · F31 (fila amarilla; se suma el TM prorrateado si es mensual)</t>
  </si>
  <si>
    <t xml:space="preserve">Costo Suma Global LS rango 2 (USD)</t>
  </si>
  <si>
    <t xml:space="preserve">Tarifas.xlsx · F57 (fila amarilla; se suma el TM prorrateado si es mensual)</t>
  </si>
  <si>
    <t xml:space="preserve">Costo Suma Global LS rango 3 (USD)</t>
  </si>
  <si>
    <t xml:space="preserve">Tarifas.xlsx · F83 (fila amarilla; se suma el TM prorrateado si es mensual)</t>
  </si>
  <si>
    <t xml:space="preserve">Costo Suma Global LS rango 4 (USD)</t>
  </si>
  <si>
    <t xml:space="preserve">Tarifas.xlsx · F109 (fila amarilla; se suma el TM prorrateado si es mensual)</t>
  </si>
  <si>
    <t xml:space="preserve">Costo Suma Global EC rango 1 (USD)</t>
  </si>
  <si>
    <t xml:space="preserve">Tarifas.xlsx · G31 (fila amarilla; se suma el TM prorrateado si es mensual)</t>
  </si>
  <si>
    <t xml:space="preserve">Costo Suma Global EC rango 2 (USD)</t>
  </si>
  <si>
    <t xml:space="preserve">Tarifas.xlsx · G57 (fila amarilla; se suma el TM prorrateado si es mensual)</t>
  </si>
  <si>
    <t xml:space="preserve">Costo Suma Global EC rango 3 (USD)</t>
  </si>
  <si>
    <t xml:space="preserve">Tarifas.xlsx · G83 (fila amarilla; se suma el TM prorrateado si es mensual)</t>
  </si>
  <si>
    <t xml:space="preserve">Costo Suma Global EC rango 4 (USD)</t>
  </si>
  <si>
    <t xml:space="preserve">Tarifas.xlsx · G109 (fila amarilla; se suma el TM prorrateado si es mensual)</t>
  </si>
  <si>
    <t xml:space="preserve">WO de la campaña 15+20 (USD)</t>
  </si>
  <si>
    <t xml:space="preserve">Tarifas.xlsx · M18 (la nota J55 dice 3.107.890)</t>
  </si>
  <si>
    <t xml:space="preserve">Cargos fijos mensuales: Simulador C72:D78 transcritos de Cot. 1255 p. 4 (nómina + disponibilidad) y Ecotransur p. 2–3 (nómina + stand-by). Equipos Ecotransur 6ª+: p. 3–4. Perfiles de frecuencia: logs C11:C21 (2024) y C11:C19 (2025).</t>
  </si>
  <si>
    <t xml:space="preserve">Lo medido y lo supuesto, separados</t>
  </si>
  <si>
    <t xml:space="preserve">Los supuestos van en amarillo en el Simulador y se tratan aparte de los datos medidos.</t>
  </si>
  <si>
    <t xml:space="preserve">MEDIDO</t>
  </si>
  <si>
    <t xml:space="preserve">Bloqueos durante movilización 2025: 22,25 h social/escolar en fase 01MIRU (4 movs con paro, 3 con restricción escolar)</t>
  </si>
  <si>
    <t xml:space="preserve">Evaluacion_Drilling_IM_Jul_2026_v5.xlsx · NPT Social 2025 (OpenWells)</t>
  </si>
  <si>
    <t xml:space="preserve">Los bloqueos largos (17–72 h) cayeron en perforación: ambos modelos pagan igual.</t>
  </si>
  <si>
    <t xml:space="preserve">Tarifas de las tres ofertas por rango</t>
  </si>
  <si>
    <t xml:space="preserve">Tarifas.xlsx E/F/G</t>
  </si>
  <si>
    <t xml:space="preserve">Precios tal cual SCM los pasó (F no coincide con la Cot. 1255).</t>
  </si>
  <si>
    <t xml:space="preserve">TRM y tarifa del taladro</t>
  </si>
  <si>
    <t xml:space="preserve">Tarifas.xlsx E3, E5</t>
  </si>
  <si>
    <t xml:space="preserve">Cargo fijo mensual por número de movilizaciones</t>
  </si>
  <si>
    <t xml:space="preserve">Cot. 1255 p. 4 · Ecotransur p. 2–3</t>
  </si>
  <si>
    <t xml:space="preserve">Descuento desde la 6ª (Petro Star 50 %; Ecotransur solo equipos)</t>
  </si>
  <si>
    <t xml:space="preserve">Tarifa del señalizador (375.000 COP/turno)</t>
  </si>
  <si>
    <t xml:space="preserve">Frecuencia mensual 2024 y 2025</t>
  </si>
  <si>
    <t xml:space="preserve">Logs, tabla por mes</t>
  </si>
  <si>
    <t xml:space="preserve">Dos observaciones independientes; no se promedian.</t>
  </si>
  <si>
    <t xml:space="preserve">Mezcla por rango 2024 (23/29/14/4) y 2025 (11/17/10/7)</t>
  </si>
  <si>
    <t xml:space="preserve">Logs, resumen por rango</t>
  </si>
  <si>
    <t xml:space="preserve">Horas reales por movilización</t>
  </si>
  <si>
    <t xml:space="preserve">Logs, columna Tiempo mov hr</t>
  </si>
  <si>
    <t xml:space="preserve">Pozo 5136 sin horas.</t>
  </si>
  <si>
    <t xml:space="preserve">Horas totales declaradas por Petro Star (12/24/36/36)</t>
  </si>
  <si>
    <t xml:space="preserve">Cot. 1255 p. 1–2</t>
  </si>
  <si>
    <t xml:space="preserve">Referencia; el simulador usa las del Excel.</t>
  </si>
  <si>
    <t xml:space="preserve">Cláusula de demoras no atribuibles (Petro Star)</t>
  </si>
  <si>
    <t xml:space="preserve">Cot. 1255 p. 5, condición 7</t>
  </si>
  <si>
    <t xml:space="preserve">Ecotransur no la trae.</t>
  </si>
  <si>
    <t xml:space="preserve">SUPUESTO O PREMISA</t>
  </si>
  <si>
    <t xml:space="preserve">Origen</t>
  </si>
  <si>
    <t xml:space="preserve">Work Order base y 12 señalizadoras</t>
  </si>
  <si>
    <t xml:space="preserve">No está en los archivos.</t>
  </si>
  <si>
    <t xml:space="preserve">Adicionales 0 % en ambos modelos</t>
  </si>
  <si>
    <t xml:space="preserve">Sensibilidad: +5 % solo en tercerizado.</t>
  </si>
  <si>
    <t xml:space="preserve">Truck Manager mensual: 60 M COP por mes de campaña</t>
  </si>
  <si>
    <t xml:space="preserve">Premisa SierraCol (evaluación v5)</t>
  </si>
  <si>
    <t xml:space="preserve">El prorrateo del Excel (2.702,70 USD por movilización) queda solo como sensibilidad.</t>
  </si>
  <si>
    <t xml:space="preserve">Campaña 15 misma loc. + 20 otra loc.</t>
  </si>
  <si>
    <t xml:space="preserve">No sale de los logs.</t>
  </si>
  <si>
    <t xml:space="preserve">Rango de los 20 pozos: 0,1–5 km</t>
  </si>
  <si>
    <t xml:space="preserve">Confirmado por SierraCol.</t>
  </si>
  <si>
    <t xml:space="preserve">Frecuencia esperada 5–6 movs/mes</t>
  </si>
  <si>
    <t xml:space="preserve">Sensibilidad de 4 a 8 movs/mes.</t>
  </si>
  <si>
    <t xml:space="preserve">TRM 3.700</t>
  </si>
  <si>
    <t xml:space="preserve">Fija para el ejercicio.</t>
  </si>
  <si>
    <t xml:space="preserve">Tiempo estipulado de Ecotransur = el de Petro Star (12/24/36/36 h) y mismas tarifas por hora</t>
  </si>
  <si>
    <t xml:space="preserve">Su carta no declara tiempos ni tarifas horarias.</t>
  </si>
  <si>
    <t xml:space="preserve">WO a su tarifa tope en todas las movilizaciones</t>
  </si>
  <si>
    <t xml:space="preserve">Es el WO más caro posible: favorece al tercerizado. Si alguna tarda más, el WO paga menos.</t>
  </si>
  <si>
    <t xml:space="preserve">Meses bloqueados = 0</t>
  </si>
  <si>
    <t xml:space="preserve">Riesgo operativo</t>
  </si>
  <si>
    <t xml:space="preserve">Cada mes bloqueado paga el cargo fijo de 0 movilizaciones.</t>
  </si>
  <si>
    <t xml:space="preserve">Bloqueo social/escolar en movilización: 17,3 h por campaña, pagadas con taladro + equipos (condición 7); el WO no paga</t>
  </si>
  <si>
    <t xml:space="preserve">Medido (OpenWells 2025) escalado</t>
  </si>
  <si>
    <t xml:space="preserve">22,25 h en 45 movs de 2025 → 35/45. Si el contrato WO cobrara stand-by por bloqueos, el efecto se cancela en parte.</t>
  </si>
  <si>
    <t xml:space="preserve">Lump Sum sin descuento (principal)</t>
  </si>
  <si>
    <t xml:space="preserve">Con descuento: solo referencia.</t>
  </si>
  <si>
    <t xml:space="preserve">Ecotransur 6ª+ en misma loc. = equipos 0–5 km</t>
  </si>
  <si>
    <t xml:space="preserve">El PDF no trae valor.</t>
  </si>
  <si>
    <t xml:space="preserve">Orden de los pozos dentro del mes: intercalado</t>
  </si>
  <si>
    <t xml:space="preserve">Sensibilidad: misma loc. primero / otra primero.</t>
  </si>
  <si>
    <t xml:space="preserve">Horas pagadas al taladro = horas del Excel</t>
  </si>
  <si>
    <t xml:space="preserve">Los logs muestran más horas en misma loc. y 0,1–5 km (2025).</t>
  </si>
  <si>
    <t xml:space="preserve">NPT de perforación 0 %</t>
  </si>
  <si>
    <t xml:space="preserve">Barrido 0–20 % en Sensibilidad.</t>
  </si>
  <si>
    <t xml:space="preserve">Fin de campaña = fin del contrato (no se cobra)</t>
  </si>
  <si>
    <t xml:space="preserve">Solo los bloqueos con contrato vigente pagan cargo fijo.</t>
  </si>
  <si>
    <t xml:space="preserve">Más de 20 km se paga con la tarifa de 10–20 km</t>
  </si>
  <si>
    <t xml:space="preserve">1 movimiento en 2024.</t>
  </si>
  <si>
    <t xml:space="preserve">IVA fuera del análisis</t>
  </si>
  <si>
    <t xml:space="preserve">Sensibilidad: de qué depende que haya o no ahorro</t>
  </si>
  <si>
    <t xml:space="preserve">Ahorro = costo WO − costo tercerizado (USD); positivo = el tercerizado cuesta menos. Campaña 15 misma loc. + 20 en 0,1–5 km, TRM 3.700, 17,3 h de bloqueo social en movilización (OpenWells 2025). Valores fijos calculados con el mismo modelo del Simulador; no cambian al editar el Simulador.</t>
  </si>
  <si>
    <t xml:space="preserve">1. FRECUENCIA: AHORRO DE LA CAMPAÑA SEGÚN MOVILIZACIONES POR MES (esperado 5–6)</t>
  </si>
  <si>
    <t xml:space="preserve">Petro Star tarifa normal · horas Excel</t>
  </si>
  <si>
    <t xml:space="preserve">Petro Star Lump Sum · horas Excel</t>
  </si>
  <si>
    <t xml:space="preserve">Ecotransur · horas Excel</t>
  </si>
  <si>
    <t xml:space="preserve">Petro Star tarifa normal · horas cotizadas</t>
  </si>
  <si>
    <t xml:space="preserve">Petro Star Lump Sum · horas cotizadas</t>
  </si>
  <si>
    <t xml:space="preserve">Ecotransur · horas cotizadas</t>
  </si>
  <si>
    <t xml:space="preserve">Horas cotizadas = 12/24/36/36 h (Cot. 1255). Con frecuencias no enteras se alternan meses (p. ej. 5,5 = meses de 6 y de 5). El último mes de la campaña puede quedar corto y pagar cargo fijo: por eso la curva sube y baja.</t>
  </si>
  <si>
    <t xml:space="preserve">2. PUNTOS DE QUIEBRE: CUÁNTO AGUANTA EL AHORRO ANTES DE DESAPARECER</t>
  </si>
  <si>
    <t xml:space="preserve">Oferta</t>
  </si>
  <si>
    <t xml:space="preserve">Ahorro campaña (USD)</t>
  </si>
  <si>
    <t xml:space="preserve">% del costo de un pozo (600 k)</t>
  </si>
  <si>
    <t xml:space="preserve">Horas extra de taladro por movilización que lo anulan</t>
  </si>
  <si>
    <t xml:space="preserve">Horas sobre el tiempo estipulado que lo anulan (taladro + equipos)</t>
  </si>
  <si>
    <t xml:space="preserve">Días de taladro de demora en toda la campaña que lo anulan</t>
  </si>
  <si>
    <t xml:space="preserve">Meses bloqueados que lo anulan</t>
  </si>
  <si>
    <t xml:space="preserve">Horas de bloqueo en movilización que lo anulan (campaña)</t>
  </si>
  <si>
    <t xml:space="preserve">Petro Star normal</t>
  </si>
  <si>
    <t xml:space="preserve">Hora excedida en el tercerizado: taladro 1.456 + equipos y señalizadores 1.357 = 2.813 USD/h (Cot. 1255 p. 5). En el Work Order cuesta 0. Un mes bloqueado: Petro Star 176.968 · Ecotransur 242.534 USD.</t>
  </si>
  <si>
    <t xml:space="preserve">3. LO QUE PASÓ CON LAS HORAS REALES (logs): campañas 2024 y 2025 repetidas con cada modelo</t>
  </si>
  <si>
    <t xml:space="preserve">Año</t>
  </si>
  <si>
    <t xml:space="preserve">Ahorro con horas Excel</t>
  </si>
  <si>
    <t xml:space="preserve">Ahorro con horas reales (solo taladro)</t>
  </si>
  <si>
    <t xml:space="preserve">Ahorro con horas reales + equipos por hora excedida</t>
  </si>
  <si>
    <t xml:space="preserve">Movilizaciones que exceden el tiempo estipulado</t>
  </si>
  <si>
    <t xml:space="preserve">Horas excedidas</t>
  </si>
  <si>
    <t xml:space="preserve">Equipos y señalizadores (USD)</t>
  </si>
  <si>
    <t xml:space="preserve">Taladro en esas horas (USD)</t>
  </si>
  <si>
    <t xml:space="preserve">2024</t>
  </si>
  <si>
    <t xml:space="preserve">2025</t>
  </si>
  <si>
    <t xml:space="preserve">Horas reales: el taladro se paga por las horas reales (más o menos que el Excel). Las horas por encima de 12/24/36/36 h se cobran además en equipos y señalizadores (Cot. 1255 p. 5; Ecotransur con las mismas tarifas, supuesto).</t>
  </si>
  <si>
    <t xml:space="preserve">4. TORNADO · Petro Star tarifa normal · 5 movs/mes · ahorro base 132.152 USD</t>
  </si>
  <si>
    <t xml:space="preserve">Valor base</t>
  </si>
  <si>
    <t xml:space="preserve">Extremo que mejora</t>
  </si>
  <si>
    <t xml:space="preserve">Ahorro (USD)</t>
  </si>
  <si>
    <t xml:space="preserve">Extremo que empeora</t>
  </si>
  <si>
    <t xml:space="preserve">Efecto (USD)</t>
  </si>
  <si>
    <t xml:space="preserve">Premisa (5–6)</t>
  </si>
  <si>
    <t xml:space="preserve">5/mes</t>
  </si>
  <si>
    <t xml:space="preserve">6/mes</t>
  </si>
  <si>
    <t xml:space="preserve">Horas por encima del tiempo estipulado (taladro + equipos)</t>
  </si>
  <si>
    <t xml:space="preserve">Medido (logs)</t>
  </si>
  <si>
    <t xml:space="preserve">0 h</t>
  </si>
  <si>
    <t xml:space="preserve">+2 h sobre 12/24/36/36</t>
  </si>
  <si>
    <t xml:space="preserve">Cargo fijo de Petro Star con 5 movs/mes</t>
  </si>
  <si>
    <t xml:space="preserve">Medido (la cotización dice mínimo 5, pero la tabla p. 4 cobra con 5)</t>
  </si>
  <si>
    <t xml:space="preserve">se cobra (p. 4)</t>
  </si>
  <si>
    <t xml:space="preserve">no se cobra</t>
  </si>
  <si>
    <t xml:space="preserve">se cobra</t>
  </si>
  <si>
    <t xml:space="preserve">NPT de perforación (baja la frecuencia)</t>
  </si>
  <si>
    <t xml:space="preserve">Sin dato: barrido</t>
  </si>
  <si>
    <t xml:space="preserve">0 %</t>
  </si>
  <si>
    <t xml:space="preserve">20 %</t>
  </si>
  <si>
    <t xml:space="preserve">Sobretiempo en cada movilización (solo taladro)</t>
  </si>
  <si>
    <t xml:space="preserve">+3,5 h</t>
  </si>
  <si>
    <t xml:space="preserve">Meses bloqueados (contrato vigente)</t>
  </si>
  <si>
    <t xml:space="preserve">0</t>
  </si>
  <si>
    <t xml:space="preserve">1 mes</t>
  </si>
  <si>
    <t xml:space="preserve">Horas de taladro por movilización</t>
  </si>
  <si>
    <t xml:space="preserve">Dato Excel vs cotización</t>
  </si>
  <si>
    <t xml:space="preserve">Excel 12/18/24/28</t>
  </si>
  <si>
    <t xml:space="preserve">Petro Star 12/24/36/36</t>
  </si>
  <si>
    <t xml:space="preserve">34.944 USD/día</t>
  </si>
  <si>
    <t xml:space="preserve">−10 %</t>
  </si>
  <si>
    <t xml:space="preserve">+10 %</t>
  </si>
  <si>
    <t xml:space="preserve">Tarifa WO en movilizaciones lentas (bajo el tope)</t>
  </si>
  <si>
    <t xml:space="preserve">Premisa SierraCol (tope)</t>
  </si>
  <si>
    <t xml:space="preserve">tope</t>
  </si>
  <si>
    <t xml:space="preserve">−5 % al WO</t>
  </si>
  <si>
    <t xml:space="preserve">Bloqueo social/escolar durante movilizaciones (h por campaña)</t>
  </si>
  <si>
    <t xml:space="preserve">Medido (OpenWells 2025)</t>
  </si>
  <si>
    <t xml:space="preserve">17,3 h</t>
  </si>
  <si>
    <t xml:space="preserve">34,6 h (el doble)</t>
  </si>
  <si>
    <t xml:space="preserve">Adicionales: ¿se cancelan entre modelos?</t>
  </si>
  <si>
    <t xml:space="preserve">0 % / 0 %</t>
  </si>
  <si>
    <t xml:space="preserve">se cancelan</t>
  </si>
  <si>
    <t xml:space="preserve">+5 % solo en tercerizado</t>
  </si>
  <si>
    <t xml:space="preserve">Recargo de señalizadoras al WO</t>
  </si>
  <si>
    <t xml:space="preserve">se carga</t>
  </si>
  <si>
    <t xml:space="preserve">no se carga</t>
  </si>
  <si>
    <t xml:space="preserve">60 M COP por mes</t>
  </si>
  <si>
    <t xml:space="preserve">2.702,70 USD por movilización (Excel)</t>
  </si>
  <si>
    <t xml:space="preserve">4. TORNADO · Petro Star Lump Sum (sin descuento) · 5 movs/mes · ahorro base -472.796 USD</t>
  </si>
  <si>
    <t xml:space="preserve">4. TORNADO · Ecotransur · 5 movs/mes · ahorro base 490.519 USD</t>
  </si>
  <si>
    <t xml:space="preserve">4. TORNADO · Petro Star tarifa normal · 6 movs/mes · ahorro base 521.561 USD</t>
  </si>
  <si>
    <t xml:space="preserve">Orden de los pozos dentro del mes</t>
  </si>
  <si>
    <t xml:space="preserve">intercalado</t>
  </si>
  <si>
    <t xml:space="preserve">misma loc. primero</t>
  </si>
  <si>
    <t xml:space="preserve">otra loc. primero</t>
  </si>
  <si>
    <t xml:space="preserve">4. TORNADO · Petro Star Lump Sum (sin descuento) · 6 movs/mes · ahorro base -210.865 USD</t>
  </si>
  <si>
    <t xml:space="preserve">4. TORNADO · Ecotransur · 6 movs/mes · ahorro base 584.486 USD</t>
  </si>
  <si>
    <t xml:space="preserve">Ecotransur 6ª+ en misma localización</t>
  </si>
  <si>
    <t xml:space="preserve">equipos 0–5 km</t>
  </si>
  <si>
    <t xml:space="preserve">tarifa plena</t>
  </si>
  <si>
    <t xml:space="preserve">Pendientes por confirmar: valor de trabajo y lo que está en juego</t>
  </si>
  <si>
    <t xml:space="preserve">En juego = cambio del ahorro del tercerizado (USD) si el valor de trabajo cambia por la alternativa. Negativo = el tercerizado pierde ventaja. Campaña 15 + 20 en 0,1–5 km; columnas con 5 y 6 movs/mes. Valores fijos calculados con el mismo modelo del Simulador; no cambian al editar el Simulador.</t>
  </si>
  <si>
    <t xml:space="preserve">Pendiente</t>
  </si>
  <si>
    <t xml:space="preserve">Valor de trabajo</t>
  </si>
  <si>
    <t xml:space="preserve">Alternativa</t>
  </si>
  <si>
    <t xml:space="preserve">Oferta afectada</t>
  </si>
  <si>
    <t xml:space="preserve">En juego con 5 movs/mes (USD)</t>
  </si>
  <si>
    <t xml:space="preserve">En juego con 6 movs/mes (USD)</t>
  </si>
  <si>
    <t xml:space="preserve">Quién confirma</t>
  </si>
  <si>
    <t xml:space="preserve">Tarifa WO cuando la movilización tarda más (tarifa fija menor que el tope)</t>
  </si>
  <si>
    <t xml:space="preserve">Tope del Excel en todas</t>
  </si>
  <si>
    <t xml:space="preserve">Tarifa fija menor en las lentas</t>
  </si>
  <si>
    <t xml:space="preserve">Todas (favorece al WO)</t>
  </si>
  <si>
    <t xml:space="preserve">SierraCol (contrato WO). Valor mostrado: −5 % al WO</t>
  </si>
  <si>
    <t xml:space="preserve">Horas que se pagan al taladro</t>
  </si>
  <si>
    <t xml:space="preserve">Todas (igual)</t>
  </si>
  <si>
    <t xml:space="preserve">SierraCol / Petro Star</t>
  </si>
  <si>
    <t xml:space="preserve">Mes bloqueado (no se puede mover; contrato vigente)</t>
  </si>
  <si>
    <t xml:space="preserve">0 meses</t>
  </si>
  <si>
    <t xml:space="preserve">Petro Star (ambas)</t>
  </si>
  <si>
    <t xml:space="preserve">Operaciones / contrato (¿cláusula de suspensión?)</t>
  </si>
  <si>
    <t xml:space="preserve">Operaciones / contrato</t>
  </si>
  <si>
    <t xml:space="preserve">Hora por encima del tiempo estipulado (por hora y movilización)</t>
  </si>
  <si>
    <t xml:space="preserve">Sin exceso</t>
  </si>
  <si>
    <t xml:space="preserve">1 hora</t>
  </si>
  <si>
    <t xml:space="preserve">Todas</t>
  </si>
  <si>
    <t xml:space="preserve">Cot. 1255 p. 5 y condición 7 · Ecotransur: mismas tarifas (supuesto)</t>
  </si>
  <si>
    <t xml:space="preserve">Tiempo perdido en perforación (NPT) que baja la frecuencia</t>
  </si>
  <si>
    <t xml:space="preserve">SierraCol (plan de pozos)</t>
  </si>
  <si>
    <t xml:space="preserve">Lump Sum: valores del Excel vs Cot. 1255</t>
  </si>
  <si>
    <t xml:space="preserve">Excel (F)</t>
  </si>
  <si>
    <t xml:space="preserve">Compras (SCM)</t>
  </si>
  <si>
    <t xml:space="preserve">Lump Sum con descuento desde la 6ª (solo referencia)</t>
  </si>
  <si>
    <t xml:space="preserve">Sin descuento</t>
  </si>
  <si>
    <t xml:space="preserve">50 % desde la 6ª</t>
  </si>
  <si>
    <t xml:space="preserve">Petro Star</t>
  </si>
  <si>
    <t xml:space="preserve">Petro Star: ¿cobra cargo fijo con 5 movs?</t>
  </si>
  <si>
    <t xml:space="preserve">Sí (tabla p. 4)</t>
  </si>
  <si>
    <t xml:space="preserve">No (mínimo 5 cumplido)</t>
  </si>
  <si>
    <t xml:space="preserve">Equipos 0–5 km</t>
  </si>
  <si>
    <t xml:space="preserve">Tarifa plena</t>
  </si>
  <si>
    <t xml:space="preserve">Ecotransur 6ª+: ¿cobra además el personal operativo usado (señaleras, supervisión)?</t>
  </si>
  <si>
    <t xml:space="preserve">No (solo equipos)</t>
  </si>
  <si>
    <t xml:space="preserve">Ecotransur (carta p. 4)</t>
  </si>
  <si>
    <t xml:space="preserve">2.702,70 USD por movilización (Excel C29)</t>
  </si>
  <si>
    <t xml:space="preserve">SierraCol</t>
  </si>
  <si>
    <t xml:space="preserve">Adicionales: ¿se cancelan?</t>
  </si>
  <si>
    <t xml:space="preserve">0 % ambos</t>
  </si>
  <si>
    <t xml:space="preserve">+5 % solo tercerizado</t>
  </si>
  <si>
    <t xml:space="preserve">Se carga (8 personas-turno)</t>
  </si>
  <si>
    <t xml:space="preserve">No se carga</t>
  </si>
  <si>
    <t xml:space="preserve">SierraCol (contrato WO)</t>
  </si>
  <si>
    <t xml:space="preserve">Movilizaciones de más de 20 km</t>
  </si>
  <si>
    <t xml:space="preserve">Tarifa 10–20 km</t>
  </si>
  <si>
    <t xml:space="preserve">Sin tarifa</t>
  </si>
  <si>
    <t xml:space="preserve">Petro Star (cotizar)</t>
  </si>
  <si>
    <t xml:space="preserve">Formato Ítem 1 y 2 de Ecotransur (bandas de horas A/B, tiempos estipulados)</t>
  </si>
  <si>
    <t xml:space="preserve">Ítems 1.3/1.9/1.15/1.21 del Excel</t>
  </si>
  <si>
    <t xml:space="preserve">Ítem según horas reales</t>
  </si>
  <si>
    <t xml:space="preserve">Ecotransur (enviar formato)</t>
  </si>
  <si>
    <t xml:space="preserve">Riesgos no cuantificados: coordinación taladro–transportador, HSE y daños (pólizas), disponibilidad, salida del contrato, pago en COP</t>
  </si>
  <si>
    <t xml:space="preserve">Sin valorar</t>
  </si>
  <si>
    <t xml:space="preserve">—</t>
  </si>
  <si>
    <t xml:space="preserve">Contratos / HSE</t>
  </si>
  <si>
    <t xml:space="preserve">Verificación línea por línea de Tarifas.xlsx (Zona 1 y tarifas WO)</t>
  </si>
  <si>
    <t xml:space="preserve">Cada línea se recalculó desde sus componentes. 'Suma global' = tarifa + taladro + Truck Manager + adicionales. Control = OK si la suma reproduce la celda amarilla.</t>
  </si>
  <si>
    <t xml:space="preserve">Rango</t>
  </si>
  <si>
    <t xml:space="preserve">Celda de tarifa</t>
  </si>
  <si>
    <t xml:space="preserve">Tarifa (USD)</t>
  </si>
  <si>
    <t xml:space="preserve">Taladro (USD)</t>
  </si>
  <si>
    <t xml:space="preserve">Truck Manager (USD)</t>
  </si>
  <si>
    <t xml:space="preserve">Suma global (USD)</t>
  </si>
  <si>
    <t xml:space="preserve">WO + señalizadoras (USD)</t>
  </si>
  <si>
    <t xml:space="preserve">E25 = 140.385.441 COP / E3</t>
  </si>
  <si>
    <t xml:space="preserve">OK</t>
  </si>
  <si>
    <t xml:space="preserve">Sin descuento en el Excel (columnas B–G son tarifa plena)</t>
  </si>
  <si>
    <t xml:space="preserve">F25 = 178.363.885 COP / E3</t>
  </si>
  <si>
    <t xml:space="preserve">Sin descuento en el Excel (columnas B–G son tarifa plena); ≠ Cot. 1255 (ver Pendientes)</t>
  </si>
  <si>
    <t xml:space="preserve">G25 = 140.233.002 COP / E3</t>
  </si>
  <si>
    <t xml:space="preserve">E51 = 220.853.084 COP / E3</t>
  </si>
  <si>
    <t xml:space="preserve">F51 = 304.284.690 COP / E3</t>
  </si>
  <si>
    <t xml:space="preserve">G51 = 207.703.002 COP / E3</t>
  </si>
  <si>
    <t xml:space="preserve">E77 = 238.462.998 COP / E3</t>
  </si>
  <si>
    <t xml:space="preserve">F77 = 373.649.874 COP / E3</t>
  </si>
  <si>
    <t xml:space="preserve">G77 = 249.003.002 COP / E3</t>
  </si>
  <si>
    <t xml:space="preserve">E103 = 246.462.998 COP / E3</t>
  </si>
  <si>
    <t xml:space="preserve">F103 = 414.800.928 COP / E3</t>
  </si>
  <si>
    <t xml:space="preserve">G103 = 253.060.002 COP / E3</t>
  </si>
  <si>
    <t xml:space="preserve">SEÑALIZADORAS Y DESCUENTOS: DÓNDE SE APLICAN</t>
  </si>
  <si>
    <t xml:space="preserve">Cómo está aplicado</t>
  </si>
  <si>
    <t xml:space="preserve">Ofertas: 20 incluidas (10 por turno). WO: 12 (6 por turno). Faltan 4 por turno = 8 personas en plantilla. Recargo al WO: 4 × 375.000 COP × 1 turno = 405,41 USD (misma loc., 12 h) y × 2 turnos = 810,81 USD (demás rangos). Tarifas.xlsx K8:L11 y Simulador fila 50. No se cobran del lado tercerizado. Observación: el rango de más de 10 km dura 28 h (&gt; 24 h): estrictamente serían 3 turnos (+405 USD por movilización).</t>
  </si>
  <si>
    <t xml:space="preserve">Descuento Petro Star normal</t>
  </si>
  <si>
    <t xml:space="preserve">50 % de la tarifa desde la 6ª movilización del mes (Cot. 1255 p. 2). Solo sobre la tarifa del transportador; el taladro y el Truck Manager se pagan completos. Simulador fila 56/63.</t>
  </si>
  <si>
    <t xml:space="preserve">Evaluación principal sin descuento (SierraCol). La columna 'con descuento' es solo referencia.</t>
  </si>
  <si>
    <t xml:space="preserve">Desde la 5ª no cobra cargo fijo; desde la 6ª cobra solo equipos (123,18 / 139,005 / 167,055 M COP). Simulador filas 60/67.</t>
  </si>
  <si>
    <t xml:space="preserve">Cargo fijo mensual</t>
  </si>
  <si>
    <t xml:space="preserve">Petro Star: tabla p. 4 de 0 a 5 movilizaciones (con 5 todavía cobra). Ecotransur: 80/60/40/20 % de 1 a 4. Simulador filas 72–78.</t>
  </si>
  <si>
    <t xml:space="preserve">Si una movilización supera el tiempo estipulado (12/24/36/36 h), se paga el taladro por esas horas y además equipos de la flota mínima y señalizadores por hora (Cot. 1255 p. 5). Simulador filas 41, 68, 69 y panel 1b.</t>
  </si>
  <si>
    <t xml:space="preserve">Tope del Work Order</t>
  </si>
  <si>
    <t xml:space="preserve">Confirmado por SierraCol: las tarifas WO del Excel son el tope (lo máximo que se paga, con movilización rápida). Si la movilización tarda más, se paga una tarifa fija menor. El tercerizado no tiene tope: cada hora extra se paga (taladro + equipos). Simulador N10 = 0 %.</t>
  </si>
</sst>
</file>

<file path=xl/styles.xml><?xml version="1.0" encoding="utf-8"?>
<styleSheet xmlns="http://schemas.openxmlformats.org/spreadsheetml/2006/main">
  <numFmts count="11">
    <numFmt numFmtId="164" formatCode="General"/>
    <numFmt numFmtId="165" formatCode="#,##0;\−#,##0;\-"/>
    <numFmt numFmtId="166" formatCode="0"/>
    <numFmt numFmtId="167" formatCode="#,##0"/>
    <numFmt numFmtId="168" formatCode="#,##0.00;\−#,##0.00;\-"/>
    <numFmt numFmtId="169" formatCode="0.0%;\−0.0%;\-"/>
    <numFmt numFmtId="170" formatCode="0.0"/>
    <numFmt numFmtId="171" formatCode="#,##0.0;\−#,##0.0;\-"/>
    <numFmt numFmtId="172" formatCode="dd\-mmm\-yy"/>
    <numFmt numFmtId="173" formatCode="0.00"/>
    <numFmt numFmtId="174" formatCode="0.0%"/>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FFFFFF"/>
      <name val="Arial"/>
      <family val="0"/>
      <charset val="1"/>
    </font>
    <font>
      <sz val="10"/>
      <name val="Arial"/>
      <family val="0"/>
      <charset val="1"/>
    </font>
    <font>
      <b val="true"/>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sz val="10"/>
      <color rgb="FF0000FF"/>
      <name val="Arial"/>
      <family val="0"/>
      <charset val="1"/>
    </font>
  </fonts>
  <fills count="6">
    <fill>
      <patternFill patternType="none"/>
    </fill>
    <fill>
      <patternFill patternType="gray125"/>
    </fill>
    <fill>
      <patternFill patternType="solid">
        <fgColor rgb="FF1F3864"/>
        <bgColor rgb="FF1F2A36"/>
      </patternFill>
    </fill>
    <fill>
      <patternFill patternType="solid">
        <fgColor rgb="FFD9E1F2"/>
        <bgColor rgb="FFD9D9D9"/>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9" fontId="13" fillId="4" borderId="1" xfId="0" applyFont="true" applyBorder="true" applyAlignment="false" applyProtection="false">
      <alignment horizontal="general" vertical="bottom" textRotation="0" wrapText="false" indent="0" shrinkToFit="false"/>
      <protection locked="true" hidden="false"/>
    </xf>
    <xf numFmtId="170" fontId="13" fillId="4"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9" fontId="13"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1" fontId="13"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9" fontId="8" fillId="4"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72" fontId="13" fillId="0" borderId="1" xfId="0" applyFont="true" applyBorder="true" applyAlignment="false" applyProtection="false">
      <alignment horizontal="general" vertical="bottom" textRotation="0" wrapText="false" indent="0" shrinkToFit="false"/>
      <protection locked="true" hidden="false"/>
    </xf>
    <xf numFmtId="173" fontId="13"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general" vertical="top" textRotation="0" wrapText="true" indent="0" shrinkToFit="false"/>
      <protection locked="true" hidden="false"/>
    </xf>
    <xf numFmtId="168" fontId="7"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true" applyProtection="false">
      <alignment horizontal="general" vertical="top" textRotation="0" wrapText="true" indent="0" shrinkToFit="false"/>
      <protection locked="true" hidden="false"/>
    </xf>
    <xf numFmtId="174" fontId="7" fillId="0" borderId="1" xfId="0" applyFont="true" applyBorder="true" applyAlignment="true" applyProtection="false">
      <alignment horizontal="general" vertical="top" textRotation="0" wrapText="true" indent="0" shrinkToFit="false"/>
      <protection locked="true" hidden="false"/>
    </xf>
    <xf numFmtId="170"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name val="Arial"/>
        <charset val="1"/>
        <family val="0"/>
        <color rgb="FFC00000"/>
      </font>
    </dxf>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FF99"/>
      <rgbColor rgb="FFA9B4BF"/>
      <rgbColor rgb="FFFF99CC"/>
      <rgbColor rgb="FFCC99FF"/>
      <rgbColor rgb="FFF8CBAD"/>
      <rgbColor rgb="FF3366FF"/>
      <rgbColor rgb="FF33CCCC"/>
      <rgbColor rgb="FF99CC00"/>
      <rgbColor rgb="FFFFCC00"/>
      <rgbColor rgb="FFC8860A"/>
      <rgbColor rgb="FFFF6600"/>
      <rgbColor rgb="FF595959"/>
      <rgbColor rgb="FF7A8A99"/>
      <rgbColor rgb="FF1F3864"/>
      <rgbColor rgb="FF2E7D5B"/>
      <rgbColor rgb="FF003300"/>
      <rgbColor rgb="FF333300"/>
      <rgbColor rgb="FFB03A2E"/>
      <rgbColor rgb="FF993366"/>
      <rgbColor rgb="FF333399"/>
      <rgbColor rgb="FF1F2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Ahorro frente al WO según frecuencia (USD)</a:t>
            </a:r>
          </a:p>
        </c:rich>
      </c:tx>
      <c:overlay val="0"/>
      <c:spPr>
        <a:noFill/>
        <a:ln w="0">
          <a:noFill/>
        </a:ln>
      </c:spPr>
    </c:title>
    <c:autoTitleDeleted val="0"/>
    <c:plotArea>
      <c:lineChart>
        <c:grouping val="standard"/>
        <c:varyColors val="0"/>
        <c:ser>
          <c:idx val="0"/>
          <c:order val="0"/>
          <c:tx>
            <c:strRef>
              <c:f>Gráficas!C5</c:f>
              <c:strCache>
                <c:ptCount val="1"/>
                <c:pt idx="0">
                  <c:v>Petro Star tarifa normal</c:v>
                </c:pt>
              </c:strCache>
            </c:strRef>
          </c:tx>
          <c:spPr>
            <a:solidFill>
              <a:srgbClr val="c8860a"/>
            </a:solidFill>
            <a:ln w="28080">
              <a:solidFill>
                <a:srgbClr val="c8860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Gráficas!$B$6:$B$13</c:f>
              <c:strCache>
                <c:ptCount val="8"/>
                <c:pt idx="0">
                  <c:v>4</c:v>
                </c:pt>
                <c:pt idx="1">
                  <c:v>4,5</c:v>
                </c:pt>
                <c:pt idx="2">
                  <c:v>5</c:v>
                </c:pt>
                <c:pt idx="3">
                  <c:v>5,5</c:v>
                </c:pt>
                <c:pt idx="4">
                  <c:v>6</c:v>
                </c:pt>
                <c:pt idx="5">
                  <c:v>6,5</c:v>
                </c:pt>
                <c:pt idx="6">
                  <c:v>7</c:v>
                </c:pt>
                <c:pt idx="7">
                  <c:v>8</c:v>
                </c:pt>
              </c:strCache>
            </c:strRef>
          </c:cat>
          <c:val>
            <c:numRef>
              <c:f>Gráficas!$C$6:$C$13</c:f>
              <c:numCache>
                <c:formatCode>#,##0;\−#,##0;\-</c:formatCode>
                <c:ptCount val="8"/>
                <c:pt idx="0">
                  <c:v>-135092.51921922</c:v>
                </c:pt>
                <c:pt idx="1">
                  <c:v>-2580.4416516521</c:v>
                </c:pt>
                <c:pt idx="2">
                  <c:v>132152.062672672</c:v>
                </c:pt>
                <c:pt idx="3">
                  <c:v>279484.054159159</c:v>
                </c:pt>
                <c:pt idx="4">
                  <c:v>521560.552672673</c:v>
                </c:pt>
                <c:pt idx="5">
                  <c:v>541571.496321322</c:v>
                </c:pt>
                <c:pt idx="6">
                  <c:v>695332.346321322</c:v>
                </c:pt>
                <c:pt idx="7">
                  <c:v>696138.763483484</c:v>
                </c:pt>
              </c:numCache>
            </c:numRef>
          </c:val>
          <c:smooth val="0"/>
        </c:ser>
        <c:ser>
          <c:idx val="1"/>
          <c:order val="1"/>
          <c:tx>
            <c:strRef>
              <c:f>Gráficas!D5</c:f>
              <c:strCache>
                <c:ptCount val="1"/>
                <c:pt idx="0">
                  <c:v>Ecotransur</c:v>
                </c:pt>
              </c:strCache>
            </c:strRef>
          </c:tx>
          <c:spPr>
            <a:solidFill>
              <a:srgbClr val="2e7d5b"/>
            </a:solidFill>
            <a:ln w="28080">
              <a:solidFill>
                <a:srgbClr val="2e7d5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Gráficas!$B$6:$B$13</c:f>
              <c:strCache>
                <c:ptCount val="8"/>
                <c:pt idx="0">
                  <c:v>4</c:v>
                </c:pt>
                <c:pt idx="1">
                  <c:v>4,5</c:v>
                </c:pt>
                <c:pt idx="2">
                  <c:v>5</c:v>
                </c:pt>
                <c:pt idx="3">
                  <c:v>5,5</c:v>
                </c:pt>
                <c:pt idx="4">
                  <c:v>6</c:v>
                </c:pt>
                <c:pt idx="5">
                  <c:v>6,5</c:v>
                </c:pt>
                <c:pt idx="6">
                  <c:v>7</c:v>
                </c:pt>
                <c:pt idx="7">
                  <c:v>8</c:v>
                </c:pt>
              </c:strCache>
            </c:strRef>
          </c:cat>
          <c:val>
            <c:numRef>
              <c:f>Gráficas!$D$6:$D$13</c:f>
              <c:numCache>
                <c:formatCode>#,##0;\−#,##0;\-</c:formatCode>
                <c:ptCount val="8"/>
                <c:pt idx="0">
                  <c:v>5451.87132131867</c:v>
                </c:pt>
                <c:pt idx="1">
                  <c:v>247985.610510509</c:v>
                </c:pt>
                <c:pt idx="2">
                  <c:v>490519.349699698</c:v>
                </c:pt>
                <c:pt idx="3">
                  <c:v>405025.864564563</c:v>
                </c:pt>
                <c:pt idx="4">
                  <c:v>584485.568618618</c:v>
                </c:pt>
                <c:pt idx="5">
                  <c:v>521411.533483482</c:v>
                </c:pt>
                <c:pt idx="6">
                  <c:v>660216.652402402</c:v>
                </c:pt>
                <c:pt idx="7">
                  <c:v>633612.887537537</c:v>
                </c:pt>
              </c:numCache>
            </c:numRef>
          </c:val>
          <c:smooth val="0"/>
        </c:ser>
        <c:ser>
          <c:idx val="2"/>
          <c:order val="2"/>
          <c:tx>
            <c:strRef>
              <c:f>Gráficas!E5</c:f>
              <c:strCache>
                <c:ptCount val="1"/>
                <c:pt idx="0">
                  <c:v>Petro Star Lump Sum</c:v>
                </c:pt>
              </c:strCache>
            </c:strRef>
          </c:tx>
          <c:spPr>
            <a:solidFill>
              <a:srgbClr val="7a8a99"/>
            </a:solidFill>
            <a:ln w="28080">
              <a:solidFill>
                <a:srgbClr val="7a8a99"/>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Gráficas!$B$6:$B$13</c:f>
              <c:strCache>
                <c:ptCount val="8"/>
                <c:pt idx="0">
                  <c:v>4</c:v>
                </c:pt>
                <c:pt idx="1">
                  <c:v>4,5</c:v>
                </c:pt>
                <c:pt idx="2">
                  <c:v>5</c:v>
                </c:pt>
                <c:pt idx="3">
                  <c:v>5,5</c:v>
                </c:pt>
                <c:pt idx="4">
                  <c:v>6</c:v>
                </c:pt>
                <c:pt idx="5">
                  <c:v>6,5</c:v>
                </c:pt>
                <c:pt idx="6">
                  <c:v>7</c:v>
                </c:pt>
                <c:pt idx="7">
                  <c:v>8</c:v>
                </c:pt>
              </c:strCache>
            </c:strRef>
          </c:cat>
          <c:val>
            <c:numRef>
              <c:f>Gráficas!$E$6:$E$13</c:f>
              <c:numCache>
                <c:formatCode>#,##0;\−#,##0;\-</c:formatCode>
                <c:ptCount val="8"/>
                <c:pt idx="0">
                  <c:v>-740040.838138139</c:v>
                </c:pt>
                <c:pt idx="1">
                  <c:v>-607528.760570571</c:v>
                </c:pt>
                <c:pt idx="2">
                  <c:v>-472796.256246247</c:v>
                </c:pt>
                <c:pt idx="3">
                  <c:v>-404125.293003004</c:v>
                </c:pt>
                <c:pt idx="4">
                  <c:v>-210864.811381382</c:v>
                </c:pt>
                <c:pt idx="5">
                  <c:v>-239669.884624625</c:v>
                </c:pt>
                <c:pt idx="6">
                  <c:v>-153696.057057058</c:v>
                </c:pt>
                <c:pt idx="7">
                  <c:v>-223453.668408409</c:v>
                </c:pt>
              </c:numCache>
            </c:numRef>
          </c:val>
          <c:smooth val="0"/>
        </c:ser>
        <c:hiLowLines>
          <c:spPr>
            <a:ln w="0">
              <a:noFill/>
            </a:ln>
          </c:spPr>
        </c:hiLowLines>
        <c:marker val="0"/>
        <c:axId val="4302630"/>
        <c:axId val="60279370"/>
      </c:lineChart>
      <c:catAx>
        <c:axId val="430263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Movilizaciones por mes</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0279370"/>
        <c:crosses val="autoZero"/>
        <c:auto val="1"/>
        <c:lblAlgn val="ctr"/>
        <c:lblOffset val="100"/>
        <c:noMultiLvlLbl val="0"/>
      </c:catAx>
      <c:valAx>
        <c:axId val="60279370"/>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0263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Costo de una movilización de 0,1–5 km (USD)</a:t>
            </a:r>
          </a:p>
        </c:rich>
      </c:tx>
      <c:overlay val="0"/>
      <c:spPr>
        <a:noFill/>
        <a:ln w="0">
          <a:noFill/>
        </a:ln>
      </c:spPr>
    </c:title>
    <c:autoTitleDeleted val="0"/>
    <c:plotArea>
      <c:barChart>
        <c:barDir val="col"/>
        <c:grouping val="stacked"/>
        <c:varyColors val="0"/>
        <c:ser>
          <c:idx val="0"/>
          <c:order val="0"/>
          <c:tx>
            <c:strRef>
              <c:f>Gráficas!C25</c:f>
              <c:strCache>
                <c:ptCount val="1"/>
                <c:pt idx="0">
                  <c:v>Tarifa</c:v>
                </c:pt>
              </c:strCache>
            </c:strRef>
          </c:tx>
          <c:spPr>
            <a:solidFill>
              <a:srgbClr val="1f2a3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Gráficas!$B$26:$B$31</c:f>
              <c:strCache>
                <c:ptCount val="6"/>
                <c:pt idx="0">
                  <c:v>Work Order</c:v>
                </c:pt>
                <c:pt idx="1">
                  <c:v>Petro Star 1ª–5ª</c:v>
                </c:pt>
                <c:pt idx="2">
                  <c:v>Petro Star 6ª+</c:v>
                </c:pt>
                <c:pt idx="3">
                  <c:v>Ecotransur 1ª–5ª</c:v>
                </c:pt>
                <c:pt idx="4">
                  <c:v>Ecotransur 6ª+</c:v>
                </c:pt>
                <c:pt idx="5">
                  <c:v>Lump Sum</c:v>
                </c:pt>
              </c:strCache>
            </c:strRef>
          </c:cat>
          <c:val>
            <c:numRef>
              <c:f>Gráficas!$C$26:$C$31</c:f>
              <c:numCache>
                <c:formatCode>#,##0;\−#,##0;\-</c:formatCode>
                <c:ptCount val="6"/>
                <c:pt idx="0">
                  <c:v>98663</c:v>
                </c:pt>
                <c:pt idx="1">
                  <c:v>59690.0227027027</c:v>
                </c:pt>
                <c:pt idx="2">
                  <c:v>29845.0113513514</c:v>
                </c:pt>
                <c:pt idx="3">
                  <c:v>56135.9464864865</c:v>
                </c:pt>
                <c:pt idx="4">
                  <c:v>33291.8918918919</c:v>
                </c:pt>
                <c:pt idx="5">
                  <c:v>82239.1054054054</c:v>
                </c:pt>
              </c:numCache>
            </c:numRef>
          </c:val>
        </c:ser>
        <c:ser>
          <c:idx val="1"/>
          <c:order val="1"/>
          <c:tx>
            <c:strRef>
              <c:f>Gráficas!D25</c:f>
              <c:strCache>
                <c:ptCount val="1"/>
                <c:pt idx="0">
                  <c:v>Señalizadoras (WO)</c:v>
                </c:pt>
              </c:strCache>
            </c:strRef>
          </c:tx>
          <c:spPr>
            <a:solidFill>
              <a:srgbClr val="b03a2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Gráficas!$B$26:$B$31</c:f>
              <c:strCache>
                <c:ptCount val="6"/>
                <c:pt idx="0">
                  <c:v>Work Order</c:v>
                </c:pt>
                <c:pt idx="1">
                  <c:v>Petro Star 1ª–5ª</c:v>
                </c:pt>
                <c:pt idx="2">
                  <c:v>Petro Star 6ª+</c:v>
                </c:pt>
                <c:pt idx="3">
                  <c:v>Ecotransur 1ª–5ª</c:v>
                </c:pt>
                <c:pt idx="4">
                  <c:v>Ecotransur 6ª+</c:v>
                </c:pt>
                <c:pt idx="5">
                  <c:v>Lump Sum</c:v>
                </c:pt>
              </c:strCache>
            </c:strRef>
          </c:cat>
          <c:val>
            <c:numRef>
              <c:f>Gráficas!$D$26:$D$31</c:f>
              <c:numCache>
                <c:formatCode>#,##0;\−#,##0;\-</c:formatCode>
                <c:ptCount val="6"/>
                <c:pt idx="0">
                  <c:v>810.810810810811</c:v>
                </c:pt>
                <c:pt idx="1">
                  <c:v>0</c:v>
                </c:pt>
                <c:pt idx="2">
                  <c:v>0</c:v>
                </c:pt>
                <c:pt idx="3">
                  <c:v>0</c:v>
                </c:pt>
                <c:pt idx="4">
                  <c:v>0</c:v>
                </c:pt>
                <c:pt idx="5">
                  <c:v>0</c:v>
                </c:pt>
              </c:numCache>
            </c:numRef>
          </c:val>
        </c:ser>
        <c:ser>
          <c:idx val="2"/>
          <c:order val="2"/>
          <c:tx>
            <c:strRef>
              <c:f>Gráficas!E25</c:f>
              <c:strCache>
                <c:ptCount val="1"/>
                <c:pt idx="0">
                  <c:v>Taladro</c:v>
                </c:pt>
              </c:strCache>
            </c:strRef>
          </c:tx>
          <c:spPr>
            <a:solidFill>
              <a:srgbClr val="c8860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Gráficas!$B$26:$B$31</c:f>
              <c:strCache>
                <c:ptCount val="6"/>
                <c:pt idx="0">
                  <c:v>Work Order</c:v>
                </c:pt>
                <c:pt idx="1">
                  <c:v>Petro Star 1ª–5ª</c:v>
                </c:pt>
                <c:pt idx="2">
                  <c:v>Petro Star 6ª+</c:v>
                </c:pt>
                <c:pt idx="3">
                  <c:v>Ecotransur 1ª–5ª</c:v>
                </c:pt>
                <c:pt idx="4">
                  <c:v>Ecotransur 6ª+</c:v>
                </c:pt>
                <c:pt idx="5">
                  <c:v>Lump Sum</c:v>
                </c:pt>
              </c:strCache>
            </c:strRef>
          </c:cat>
          <c:val>
            <c:numRef>
              <c:f>Gráficas!$E$26:$E$31</c:f>
              <c:numCache>
                <c:formatCode>#,##0;\−#,##0;\-</c:formatCode>
                <c:ptCount val="6"/>
                <c:pt idx="0">
                  <c:v>0</c:v>
                </c:pt>
                <c:pt idx="1">
                  <c:v>26208</c:v>
                </c:pt>
                <c:pt idx="2">
                  <c:v>26208</c:v>
                </c:pt>
                <c:pt idx="3">
                  <c:v>26208</c:v>
                </c:pt>
                <c:pt idx="4">
                  <c:v>26208</c:v>
                </c:pt>
                <c:pt idx="5">
                  <c:v>26208</c:v>
                </c:pt>
              </c:numCache>
            </c:numRef>
          </c:val>
        </c:ser>
        <c:ser>
          <c:idx val="3"/>
          <c:order val="3"/>
          <c:tx>
            <c:strRef>
              <c:f>Gráficas!F25</c:f>
              <c:strCache>
                <c:ptCount val="1"/>
                <c:pt idx="0">
                  <c:v>Truck Manager por movilización (60 M COP / movs del mes)</c:v>
                </c:pt>
              </c:strCache>
            </c:strRef>
          </c:tx>
          <c:spPr>
            <a:solidFill>
              <a:srgbClr val="a9b4b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Gráficas!$B$26:$B$31</c:f>
              <c:strCache>
                <c:ptCount val="6"/>
                <c:pt idx="0">
                  <c:v>Work Order</c:v>
                </c:pt>
                <c:pt idx="1">
                  <c:v>Petro Star 1ª–5ª</c:v>
                </c:pt>
                <c:pt idx="2">
                  <c:v>Petro Star 6ª+</c:v>
                </c:pt>
                <c:pt idx="3">
                  <c:v>Ecotransur 1ª–5ª</c:v>
                </c:pt>
                <c:pt idx="4">
                  <c:v>Ecotransur 6ª+</c:v>
                </c:pt>
                <c:pt idx="5">
                  <c:v>Lump Sum</c:v>
                </c:pt>
              </c:strCache>
            </c:strRef>
          </c:cat>
          <c:val>
            <c:numRef>
              <c:f>Gráficas!$F$26:$F$31</c:f>
              <c:numCache>
                <c:formatCode>#,##0;\−#,##0;\-</c:formatCode>
                <c:ptCount val="6"/>
                <c:pt idx="0">
                  <c:v>0</c:v>
                </c:pt>
                <c:pt idx="1">
                  <c:v>3243.24324324324</c:v>
                </c:pt>
                <c:pt idx="2">
                  <c:v>3243.24324324324</c:v>
                </c:pt>
                <c:pt idx="3">
                  <c:v>3243.24324324324</c:v>
                </c:pt>
                <c:pt idx="4">
                  <c:v>3243.24324324324</c:v>
                </c:pt>
                <c:pt idx="5">
                  <c:v>3243.24324324324</c:v>
                </c:pt>
              </c:numCache>
            </c:numRef>
          </c:val>
        </c:ser>
        <c:gapWidth val="150"/>
        <c:overlap val="100"/>
        <c:axId val="4867604"/>
        <c:axId val="48047199"/>
      </c:barChart>
      <c:catAx>
        <c:axId val="4867604"/>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48047199"/>
        <c:crosses val="autoZero"/>
        <c:auto val="1"/>
        <c:lblAlgn val="ctr"/>
        <c:lblOffset val="100"/>
        <c:noMultiLvlLbl val="0"/>
      </c:catAx>
      <c:valAx>
        <c:axId val="48047199"/>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8676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Campaña real 2025: ahorro del tercerizado por mes (USD)</a:t>
            </a:r>
          </a:p>
        </c:rich>
      </c:tx>
      <c:overlay val="0"/>
      <c:spPr>
        <a:noFill/>
        <a:ln w="0">
          <a:noFill/>
        </a:ln>
      </c:spPr>
    </c:title>
    <c:autoTitleDeleted val="0"/>
    <c:plotArea>
      <c:barChart>
        <c:barDir val="col"/>
        <c:grouping val="clustered"/>
        <c:varyColors val="0"/>
        <c:ser>
          <c:idx val="0"/>
          <c:order val="0"/>
          <c:tx>
            <c:strRef>
              <c:f>Gráficas!D45</c:f>
              <c:strCache>
                <c:ptCount val="1"/>
                <c:pt idx="0">
                  <c:v>Ahorro Petro Star tarifa normal (USD)</c:v>
                </c:pt>
              </c:strCache>
            </c:strRef>
          </c:tx>
          <c:spPr>
            <a:solidFill>
              <a:srgbClr val="c8860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Gráficas!$B$46:$B$54</c:f>
              <c:strCache>
                <c:ptCount val="9"/>
                <c:pt idx="0">
                  <c:v>Feb</c:v>
                </c:pt>
                <c:pt idx="1">
                  <c:v>Mar</c:v>
                </c:pt>
                <c:pt idx="2">
                  <c:v>Abr</c:v>
                </c:pt>
                <c:pt idx="3">
                  <c:v>May</c:v>
                </c:pt>
                <c:pt idx="4">
                  <c:v>Jun</c:v>
                </c:pt>
                <c:pt idx="5">
                  <c:v>Jul</c:v>
                </c:pt>
                <c:pt idx="6">
                  <c:v>Ago</c:v>
                </c:pt>
                <c:pt idx="7">
                  <c:v>Sep</c:v>
                </c:pt>
                <c:pt idx="8">
                  <c:v>Oct</c:v>
                </c:pt>
              </c:strCache>
            </c:strRef>
          </c:cat>
          <c:val>
            <c:numRef>
              <c:f>Gráficas!$D$46:$D$54</c:f>
              <c:numCache>
                <c:formatCode>#,##0;\−#,##0;\-</c:formatCode>
                <c:ptCount val="9"/>
                <c:pt idx="0">
                  <c:v>-225526.140540541</c:v>
                </c:pt>
                <c:pt idx="1">
                  <c:v>-62484.1886486486</c:v>
                </c:pt>
                <c:pt idx="2">
                  <c:v>108428.427702703</c:v>
                </c:pt>
                <c:pt idx="3">
                  <c:v>-84020.2537837838</c:v>
                </c:pt>
                <c:pt idx="4">
                  <c:v>94505.5364864864</c:v>
                </c:pt>
                <c:pt idx="5">
                  <c:v>91480.1343243244</c:v>
                </c:pt>
                <c:pt idx="6">
                  <c:v>78794.6960810811</c:v>
                </c:pt>
                <c:pt idx="7">
                  <c:v>-4050.9332432432</c:v>
                </c:pt>
                <c:pt idx="8">
                  <c:v>-67957.0616216217</c:v>
                </c:pt>
              </c:numCache>
            </c:numRef>
          </c:val>
        </c:ser>
        <c:ser>
          <c:idx val="1"/>
          <c:order val="1"/>
          <c:tx>
            <c:strRef>
              <c:f>Gráficas!E45</c:f>
              <c:strCache>
                <c:ptCount val="1"/>
                <c:pt idx="0">
                  <c:v>Ahorro Ecotransur (USD)</c:v>
                </c:pt>
              </c:strCache>
            </c:strRef>
          </c:tx>
          <c:spPr>
            <a:solidFill>
              <a:srgbClr val="2e7d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Gráficas!$B$46:$B$54</c:f>
              <c:strCache>
                <c:ptCount val="9"/>
                <c:pt idx="0">
                  <c:v>Feb</c:v>
                </c:pt>
                <c:pt idx="1">
                  <c:v>Mar</c:v>
                </c:pt>
                <c:pt idx="2">
                  <c:v>Abr</c:v>
                </c:pt>
                <c:pt idx="3">
                  <c:v>May</c:v>
                </c:pt>
                <c:pt idx="4">
                  <c:v>Jun</c:v>
                </c:pt>
                <c:pt idx="5">
                  <c:v>Jul</c:v>
                </c:pt>
                <c:pt idx="6">
                  <c:v>Ago</c:v>
                </c:pt>
                <c:pt idx="7">
                  <c:v>Sep</c:v>
                </c:pt>
                <c:pt idx="8">
                  <c:v>Oct</c:v>
                </c:pt>
              </c:strCache>
            </c:strRef>
          </c:cat>
          <c:val>
            <c:numRef>
              <c:f>Gráficas!$E$46:$E$54</c:f>
              <c:numCache>
                <c:formatCode>#,##0;\−#,##0;\-</c:formatCode>
                <c:ptCount val="9"/>
                <c:pt idx="0">
                  <c:v>-274611.910810811</c:v>
                </c:pt>
                <c:pt idx="1">
                  <c:v>-45916.027027027</c:v>
                </c:pt>
                <c:pt idx="2">
                  <c:v>93105.254054054</c:v>
                </c:pt>
                <c:pt idx="3">
                  <c:v>-38102.7864864864</c:v>
                </c:pt>
                <c:pt idx="4">
                  <c:v>90516.1256756756</c:v>
                </c:pt>
                <c:pt idx="5">
                  <c:v>82316.9432432433</c:v>
                </c:pt>
                <c:pt idx="6">
                  <c:v>61024.3216216216</c:v>
                </c:pt>
                <c:pt idx="7">
                  <c:v>35906.4567567568</c:v>
                </c:pt>
                <c:pt idx="8">
                  <c:v>-83401.2810810811</c:v>
                </c:pt>
              </c:numCache>
            </c:numRef>
          </c:val>
        </c:ser>
        <c:gapWidth val="150"/>
        <c:overlap val="0"/>
        <c:axId val="18037378"/>
        <c:axId val="89283328"/>
      </c:barChart>
      <c:catAx>
        <c:axId val="1803737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9283328"/>
        <c:crosses val="autoZero"/>
        <c:auto val="1"/>
        <c:lblAlgn val="ctr"/>
        <c:lblOffset val="100"/>
        <c:noMultiLvlLbl val="0"/>
      </c:catAx>
      <c:valAx>
        <c:axId val="89283328"/>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03737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Campaña real 2024: ahorro del tercerizado por mes (USD)</a:t>
            </a:r>
          </a:p>
        </c:rich>
      </c:tx>
      <c:overlay val="0"/>
      <c:spPr>
        <a:noFill/>
        <a:ln w="0">
          <a:noFill/>
        </a:ln>
      </c:spPr>
    </c:title>
    <c:autoTitleDeleted val="0"/>
    <c:plotArea>
      <c:barChart>
        <c:barDir val="col"/>
        <c:grouping val="clustered"/>
        <c:varyColors val="0"/>
        <c:ser>
          <c:idx val="0"/>
          <c:order val="0"/>
          <c:tx>
            <c:strRef>
              <c:f>Gráficas!D65</c:f>
              <c:strCache>
                <c:ptCount val="1"/>
                <c:pt idx="0">
                  <c:v>Ahorro Petro Star tarifa normal (USD)</c:v>
                </c:pt>
              </c:strCache>
            </c:strRef>
          </c:tx>
          <c:spPr>
            <a:solidFill>
              <a:srgbClr val="c8860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Gráficas!$B$66:$B$76</c:f>
              <c:strCache>
                <c:ptCount val="11"/>
                <c:pt idx="0">
                  <c:v>Ene</c:v>
                </c:pt>
                <c:pt idx="1">
                  <c:v>Feb</c:v>
                </c:pt>
                <c:pt idx="2">
                  <c:v>Mar</c:v>
                </c:pt>
                <c:pt idx="3">
                  <c:v>Abr</c:v>
                </c:pt>
                <c:pt idx="4">
                  <c:v>May</c:v>
                </c:pt>
                <c:pt idx="5">
                  <c:v>Jun</c:v>
                </c:pt>
                <c:pt idx="6">
                  <c:v>Jul</c:v>
                </c:pt>
                <c:pt idx="7">
                  <c:v>Ago</c:v>
                </c:pt>
                <c:pt idx="8">
                  <c:v>Sep</c:v>
                </c:pt>
                <c:pt idx="9">
                  <c:v>Oct</c:v>
                </c:pt>
                <c:pt idx="10">
                  <c:v>Nov</c:v>
                </c:pt>
              </c:strCache>
            </c:strRef>
          </c:cat>
          <c:val>
            <c:numRef>
              <c:f>Gráficas!$D$66:$D$76</c:f>
              <c:numCache>
                <c:formatCode>#,##0;\−#,##0;\-</c:formatCode>
                <c:ptCount val="11"/>
                <c:pt idx="0">
                  <c:v>140701.006756757</c:v>
                </c:pt>
                <c:pt idx="1">
                  <c:v>203847.217432432</c:v>
                </c:pt>
                <c:pt idx="2">
                  <c:v>40100.0656756756</c:v>
                </c:pt>
                <c:pt idx="3">
                  <c:v>128726.014594595</c:v>
                </c:pt>
                <c:pt idx="4">
                  <c:v>139053.463378378</c:v>
                </c:pt>
                <c:pt idx="5">
                  <c:v>221429.574864865</c:v>
                </c:pt>
                <c:pt idx="6">
                  <c:v>187727.532297297</c:v>
                </c:pt>
                <c:pt idx="7">
                  <c:v>-53437.5064864865</c:v>
                </c:pt>
                <c:pt idx="8">
                  <c:v>78937.2151351352</c:v>
                </c:pt>
                <c:pt idx="9">
                  <c:v>96773.5897297298</c:v>
                </c:pt>
                <c:pt idx="10">
                  <c:v>-47834.8994594595</c:v>
                </c:pt>
              </c:numCache>
            </c:numRef>
          </c:val>
        </c:ser>
        <c:ser>
          <c:idx val="1"/>
          <c:order val="1"/>
          <c:tx>
            <c:strRef>
              <c:f>Gráficas!E65</c:f>
              <c:strCache>
                <c:ptCount val="1"/>
                <c:pt idx="0">
                  <c:v>Ahorro Ecotransur (USD)</c:v>
                </c:pt>
              </c:strCache>
            </c:strRef>
          </c:tx>
          <c:spPr>
            <a:solidFill>
              <a:srgbClr val="2e7d5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Gráficas!$B$66:$B$76</c:f>
              <c:strCache>
                <c:ptCount val="11"/>
                <c:pt idx="0">
                  <c:v>Ene</c:v>
                </c:pt>
                <c:pt idx="1">
                  <c:v>Feb</c:v>
                </c:pt>
                <c:pt idx="2">
                  <c:v>Mar</c:v>
                </c:pt>
                <c:pt idx="3">
                  <c:v>Abr</c:v>
                </c:pt>
                <c:pt idx="4">
                  <c:v>May</c:v>
                </c:pt>
                <c:pt idx="5">
                  <c:v>Jun</c:v>
                </c:pt>
                <c:pt idx="6">
                  <c:v>Jul</c:v>
                </c:pt>
                <c:pt idx="7">
                  <c:v>Ago</c:v>
                </c:pt>
                <c:pt idx="8">
                  <c:v>Sep</c:v>
                </c:pt>
                <c:pt idx="9">
                  <c:v>Oct</c:v>
                </c:pt>
                <c:pt idx="10">
                  <c:v>Nov</c:v>
                </c:pt>
              </c:strCache>
            </c:strRef>
          </c:cat>
          <c:val>
            <c:numRef>
              <c:f>Gráficas!$E$66:$E$76</c:f>
              <c:numCache>
                <c:formatCode>#,##0;\−#,##0;\-</c:formatCode>
                <c:ptCount val="11"/>
                <c:pt idx="0">
                  <c:v>144343.267567568</c:v>
                </c:pt>
                <c:pt idx="1">
                  <c:v>189864.321621622</c:v>
                </c:pt>
                <c:pt idx="2">
                  <c:v>38540.7472972972</c:v>
                </c:pt>
                <c:pt idx="3">
                  <c:v>121386.997297297</c:v>
                </c:pt>
                <c:pt idx="4">
                  <c:v>125627.598648649</c:v>
                </c:pt>
                <c:pt idx="5">
                  <c:v>190235.943243243</c:v>
                </c:pt>
                <c:pt idx="6">
                  <c:v>170482.910810811</c:v>
                </c:pt>
                <c:pt idx="7">
                  <c:v>-78797.3283783784</c:v>
                </c:pt>
                <c:pt idx="8">
                  <c:v>73429.5108108108</c:v>
                </c:pt>
                <c:pt idx="9">
                  <c:v>85855.7</c:v>
                </c:pt>
                <c:pt idx="10">
                  <c:v>-64344.7945945946</c:v>
                </c:pt>
              </c:numCache>
            </c:numRef>
          </c:val>
        </c:ser>
        <c:gapWidth val="150"/>
        <c:overlap val="0"/>
        <c:axId val="89715828"/>
        <c:axId val="65506972"/>
      </c:barChart>
      <c:catAx>
        <c:axId val="89715828"/>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65506972"/>
        <c:crosses val="autoZero"/>
        <c:auto val="1"/>
        <c:lblAlgn val="ctr"/>
        <c:lblOffset val="100"/>
        <c:noMultiLvlLbl val="0"/>
      </c:catAx>
      <c:valAx>
        <c:axId val="65506972"/>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71582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Meses según movilizaciones (logs 2024 y 2025)</a:t>
            </a:r>
          </a:p>
        </c:rich>
      </c:tx>
      <c:overlay val="0"/>
      <c:spPr>
        <a:noFill/>
        <a:ln w="0">
          <a:noFill/>
        </a:ln>
      </c:spPr>
    </c:title>
    <c:autoTitleDeleted val="0"/>
    <c:plotArea>
      <c:barChart>
        <c:barDir val="col"/>
        <c:grouping val="clustered"/>
        <c:varyColors val="0"/>
        <c:ser>
          <c:idx val="0"/>
          <c:order val="0"/>
          <c:tx>
            <c:strRef>
              <c:f>Gráficas!C85</c:f>
              <c:strCache>
                <c:ptCount val="1"/>
                <c:pt idx="0">
                  <c:v>Meses 2024</c:v>
                </c:pt>
              </c:strCache>
            </c:strRef>
          </c:tx>
          <c:spPr>
            <a:solidFill>
              <a:srgbClr val="1f2a3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Gráficas!$B$86:$B$89</c:f>
              <c:strCache>
                <c:ptCount val="4"/>
                <c:pt idx="0">
                  <c:v>1 a 3</c:v>
                </c:pt>
                <c:pt idx="1">
                  <c:v>4</c:v>
                </c:pt>
                <c:pt idx="2">
                  <c:v>5</c:v>
                </c:pt>
                <c:pt idx="3">
                  <c:v>6 o más</c:v>
                </c:pt>
              </c:strCache>
            </c:strRef>
          </c:cat>
          <c:val>
            <c:numRef>
              <c:f>Gráficas!$C$86:$C$89</c:f>
              <c:numCache>
                <c:formatCode>0</c:formatCode>
                <c:ptCount val="4"/>
                <c:pt idx="0">
                  <c:v>2</c:v>
                </c:pt>
                <c:pt idx="1">
                  <c:v>0</c:v>
                </c:pt>
                <c:pt idx="2">
                  <c:v>0</c:v>
                </c:pt>
                <c:pt idx="3">
                  <c:v>9</c:v>
                </c:pt>
              </c:numCache>
            </c:numRef>
          </c:val>
        </c:ser>
        <c:ser>
          <c:idx val="1"/>
          <c:order val="1"/>
          <c:tx>
            <c:strRef>
              <c:f>Gráficas!D85</c:f>
              <c:strCache>
                <c:ptCount val="1"/>
                <c:pt idx="0">
                  <c:v>Meses 2025</c:v>
                </c:pt>
              </c:strCache>
            </c:strRef>
          </c:tx>
          <c:spPr>
            <a:solidFill>
              <a:srgbClr val="c8860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Gráficas!$B$86:$B$89</c:f>
              <c:strCache>
                <c:ptCount val="4"/>
                <c:pt idx="0">
                  <c:v>1 a 3</c:v>
                </c:pt>
                <c:pt idx="1">
                  <c:v>4</c:v>
                </c:pt>
                <c:pt idx="2">
                  <c:v>5</c:v>
                </c:pt>
                <c:pt idx="3">
                  <c:v>6 o más</c:v>
                </c:pt>
              </c:strCache>
            </c:strRef>
          </c:cat>
          <c:val>
            <c:numRef>
              <c:f>Gráficas!$D$86:$D$89</c:f>
              <c:numCache>
                <c:formatCode>0</c:formatCode>
                <c:ptCount val="4"/>
                <c:pt idx="0">
                  <c:v>2</c:v>
                </c:pt>
                <c:pt idx="1">
                  <c:v>1</c:v>
                </c:pt>
                <c:pt idx="2">
                  <c:v>2</c:v>
                </c:pt>
                <c:pt idx="3">
                  <c:v>4</c:v>
                </c:pt>
              </c:numCache>
            </c:numRef>
          </c:val>
        </c:ser>
        <c:gapWidth val="150"/>
        <c:overlap val="0"/>
        <c:axId val="4454399"/>
        <c:axId val="23735820"/>
      </c:barChart>
      <c:catAx>
        <c:axId val="4454399"/>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23735820"/>
        <c:crosses val="autoZero"/>
        <c:auto val="1"/>
        <c:lblAlgn val="ctr"/>
        <c:lblOffset val="100"/>
        <c:noMultiLvlLbl val="0"/>
      </c:catAx>
      <c:valAx>
        <c:axId val="23735820"/>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Meses</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54399"/>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3</xdr:row>
      <xdr:rowOff>160920</xdr:rowOff>
    </xdr:from>
    <xdr:to>
      <xdr:col>13</xdr:col>
      <xdr:colOff>290160</xdr:colOff>
      <xdr:row>19</xdr:row>
      <xdr:rowOff>60120</xdr:rowOff>
    </xdr:to>
    <xdr:graphicFrame>
      <xdr:nvGraphicFramePr>
        <xdr:cNvPr id="0" name="Chart 1"/>
        <xdr:cNvGraphicFramePr/>
      </xdr:nvGraphicFramePr>
      <xdr:xfrm>
        <a:off x="6766560" y="76212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23</xdr:row>
      <xdr:rowOff>48240</xdr:rowOff>
    </xdr:from>
    <xdr:to>
      <xdr:col>13</xdr:col>
      <xdr:colOff>290160</xdr:colOff>
      <xdr:row>37</xdr:row>
      <xdr:rowOff>43920</xdr:rowOff>
    </xdr:to>
    <xdr:graphicFrame>
      <xdr:nvGraphicFramePr>
        <xdr:cNvPr id="1" name="Chart 2"/>
        <xdr:cNvGraphicFramePr/>
      </xdr:nvGraphicFramePr>
      <xdr:xfrm>
        <a:off x="6766560" y="457200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41</xdr:row>
      <xdr:rowOff>32400</xdr:rowOff>
    </xdr:from>
    <xdr:to>
      <xdr:col>13</xdr:col>
      <xdr:colOff>290160</xdr:colOff>
      <xdr:row>55</xdr:row>
      <xdr:rowOff>170280</xdr:rowOff>
    </xdr:to>
    <xdr:graphicFrame>
      <xdr:nvGraphicFramePr>
        <xdr:cNvPr id="2" name="Chart 3"/>
        <xdr:cNvGraphicFramePr/>
      </xdr:nvGraphicFramePr>
      <xdr:xfrm>
        <a:off x="6766560" y="8381880"/>
        <a:ext cx="611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59</xdr:row>
      <xdr:rowOff>158760</xdr:rowOff>
    </xdr:from>
    <xdr:to>
      <xdr:col>13</xdr:col>
      <xdr:colOff>290160</xdr:colOff>
      <xdr:row>74</xdr:row>
      <xdr:rowOff>106200</xdr:rowOff>
    </xdr:to>
    <xdr:graphicFrame>
      <xdr:nvGraphicFramePr>
        <xdr:cNvPr id="3" name="Chart 4"/>
        <xdr:cNvGraphicFramePr/>
      </xdr:nvGraphicFramePr>
      <xdr:xfrm>
        <a:off x="6766560" y="12192120"/>
        <a:ext cx="611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78</xdr:row>
      <xdr:rowOff>94680</xdr:rowOff>
    </xdr:from>
    <xdr:to>
      <xdr:col>13</xdr:col>
      <xdr:colOff>290160</xdr:colOff>
      <xdr:row>94</xdr:row>
      <xdr:rowOff>106200</xdr:rowOff>
    </xdr:to>
    <xdr:graphicFrame>
      <xdr:nvGraphicFramePr>
        <xdr:cNvPr id="4" name="Chart 5"/>
        <xdr:cNvGraphicFramePr/>
      </xdr:nvGraphicFramePr>
      <xdr:xfrm>
        <a:off x="6766560" y="16002000"/>
        <a:ext cx="6119640" cy="305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6" min="3" style="0" width="22"/>
    <col collapsed="false" customWidth="true" hidden="false" outlineLevel="0" max="7" min="7" style="0" width="30"/>
  </cols>
  <sheetData>
    <row r="1" customFormat="false" ht="17.35" hidden="false" customHeight="false" outlineLevel="0" collapsed="false">
      <c r="B1" s="1" t="s">
        <v>0</v>
      </c>
    </row>
    <row r="2" customFormat="false" ht="15" hidden="false" customHeight="false" outlineLevel="0" collapsed="false">
      <c r="B2" s="2" t="s">
        <v>1</v>
      </c>
    </row>
    <row r="5" customFormat="false" ht="15" hidden="false" customHeight="false" outlineLevel="0" collapsed="false">
      <c r="B5" s="3" t="s">
        <v>2</v>
      </c>
      <c r="C5" s="3"/>
      <c r="D5" s="3"/>
      <c r="E5" s="3"/>
      <c r="F5" s="3"/>
      <c r="G5" s="3"/>
    </row>
    <row r="6" customFormat="false" ht="43.5" hidden="false" customHeight="true" outlineLevel="0" collapsed="false">
      <c r="B6" s="4" t="s">
        <v>3</v>
      </c>
      <c r="C6" s="4"/>
      <c r="D6" s="4"/>
      <c r="E6" s="4"/>
      <c r="F6" s="4"/>
      <c r="G6" s="4"/>
    </row>
    <row r="7" customFormat="false" ht="30" hidden="false" customHeight="true" outlineLevel="0" collapsed="false">
      <c r="B7" s="4" t="s">
        <v>4</v>
      </c>
      <c r="C7" s="4"/>
      <c r="D7" s="4"/>
      <c r="E7" s="4"/>
      <c r="F7" s="4"/>
      <c r="G7" s="4"/>
    </row>
    <row r="9" customFormat="false" ht="15" hidden="false" customHeight="false" outlineLevel="0" collapsed="false">
      <c r="B9" s="3" t="s">
        <v>5</v>
      </c>
      <c r="C9" s="3"/>
      <c r="D9" s="3"/>
      <c r="E9" s="3"/>
      <c r="F9" s="3"/>
      <c r="G9" s="3"/>
    </row>
    <row r="10" customFormat="false" ht="30" hidden="false" customHeight="true" outlineLevel="0" collapsed="false">
      <c r="B10" s="4" t="s">
        <v>6</v>
      </c>
      <c r="C10" s="4"/>
      <c r="D10" s="4"/>
      <c r="E10" s="4"/>
      <c r="F10" s="4"/>
      <c r="G10" s="4"/>
    </row>
    <row r="11" customFormat="false" ht="15" hidden="false" customHeight="true" outlineLevel="0" collapsed="false">
      <c r="B11" s="5" t="s">
        <v>7</v>
      </c>
      <c r="C11" s="5" t="s">
        <v>8</v>
      </c>
      <c r="D11" s="5"/>
      <c r="E11" s="5"/>
      <c r="F11" s="5"/>
      <c r="G11" s="5"/>
    </row>
    <row r="12" customFormat="false" ht="30" hidden="false" customHeight="true" outlineLevel="0" collapsed="false">
      <c r="B12" s="6" t="s">
        <v>9</v>
      </c>
      <c r="C12" s="6" t="s">
        <v>10</v>
      </c>
      <c r="D12" s="6"/>
      <c r="E12" s="6"/>
      <c r="F12" s="6"/>
      <c r="G12" s="6"/>
    </row>
    <row r="13" customFormat="false" ht="30" hidden="false" customHeight="true" outlineLevel="0" collapsed="false">
      <c r="B13" s="6" t="s">
        <v>11</v>
      </c>
      <c r="C13" s="6" t="s">
        <v>12</v>
      </c>
      <c r="D13" s="6"/>
      <c r="E13" s="6"/>
      <c r="F13" s="6"/>
      <c r="G13" s="6"/>
    </row>
    <row r="14" customFormat="false" ht="30" hidden="false" customHeight="true" outlineLevel="0" collapsed="false">
      <c r="B14" s="6" t="s">
        <v>13</v>
      </c>
      <c r="C14" s="6" t="s">
        <v>14</v>
      </c>
      <c r="D14" s="6"/>
      <c r="E14" s="6"/>
      <c r="F14" s="6"/>
      <c r="G14" s="6"/>
    </row>
    <row r="15" customFormat="false" ht="30" hidden="false" customHeight="true" outlineLevel="0" collapsed="false">
      <c r="B15" s="6" t="s">
        <v>15</v>
      </c>
      <c r="C15" s="6" t="s">
        <v>16</v>
      </c>
      <c r="D15" s="6"/>
      <c r="E15" s="6"/>
      <c r="F15" s="6"/>
      <c r="G15" s="6"/>
    </row>
    <row r="16" customFormat="false" ht="30" hidden="false" customHeight="true" outlineLevel="0" collapsed="false">
      <c r="B16" s="6" t="s">
        <v>17</v>
      </c>
      <c r="C16" s="6" t="s">
        <v>18</v>
      </c>
      <c r="D16" s="6"/>
      <c r="E16" s="6"/>
      <c r="F16" s="6"/>
      <c r="G16" s="6"/>
    </row>
    <row r="17" customFormat="false" ht="30" hidden="false" customHeight="true" outlineLevel="0" collapsed="false">
      <c r="B17" s="6" t="s">
        <v>19</v>
      </c>
      <c r="C17" s="6" t="s">
        <v>20</v>
      </c>
      <c r="D17" s="6"/>
      <c r="E17" s="6"/>
      <c r="F17" s="6"/>
      <c r="G17" s="6"/>
    </row>
    <row r="19" customFormat="false" ht="15" hidden="false" customHeight="false" outlineLevel="0" collapsed="false">
      <c r="B19" s="3" t="s">
        <v>21</v>
      </c>
      <c r="C19" s="3"/>
      <c r="D19" s="3"/>
      <c r="E19" s="3"/>
      <c r="F19" s="3"/>
      <c r="G19" s="3"/>
    </row>
    <row r="20" customFormat="false" ht="30" hidden="false" customHeight="true" outlineLevel="0" collapsed="false">
      <c r="B20" s="4" t="s">
        <v>22</v>
      </c>
      <c r="C20" s="4"/>
      <c r="D20" s="4"/>
      <c r="E20" s="4"/>
      <c r="F20" s="4"/>
      <c r="G20" s="4"/>
    </row>
    <row r="21" customFormat="false" ht="30" hidden="false" customHeight="true" outlineLevel="0" collapsed="false">
      <c r="B21" s="4" t="s">
        <v>23</v>
      </c>
      <c r="C21" s="4"/>
      <c r="D21" s="4"/>
      <c r="E21" s="4"/>
      <c r="F21" s="4"/>
      <c r="G21" s="4"/>
    </row>
    <row r="22" customFormat="false" ht="30" hidden="false" customHeight="true" outlineLevel="0" collapsed="false">
      <c r="B22" s="4" t="s">
        <v>24</v>
      </c>
      <c r="C22" s="4"/>
      <c r="D22" s="4"/>
      <c r="E22" s="4"/>
      <c r="F22" s="4"/>
      <c r="G22" s="4"/>
    </row>
    <row r="23" customFormat="false" ht="30" hidden="false" customHeight="true" outlineLevel="0" collapsed="false">
      <c r="B23" s="4" t="s">
        <v>25</v>
      </c>
      <c r="C23" s="4"/>
      <c r="D23" s="4"/>
      <c r="E23" s="4"/>
      <c r="F23" s="4"/>
      <c r="G23" s="4"/>
    </row>
    <row r="24" customFormat="false" ht="30" hidden="false" customHeight="true" outlineLevel="0" collapsed="false">
      <c r="B24" s="4" t="s">
        <v>26</v>
      </c>
      <c r="C24" s="4"/>
      <c r="D24" s="4"/>
      <c r="E24" s="4"/>
      <c r="F24" s="4"/>
      <c r="G24" s="4"/>
    </row>
    <row r="25" customFormat="false" ht="30" hidden="false" customHeight="true" outlineLevel="0" collapsed="false">
      <c r="B25" s="4" t="s">
        <v>27</v>
      </c>
      <c r="C25" s="4"/>
      <c r="D25" s="4"/>
      <c r="E25" s="4"/>
      <c r="F25" s="4"/>
      <c r="G25" s="4"/>
    </row>
    <row r="26" customFormat="false" ht="30" hidden="false" customHeight="true" outlineLevel="0" collapsed="false">
      <c r="B26" s="4" t="s">
        <v>28</v>
      </c>
      <c r="C26" s="4"/>
      <c r="D26" s="4"/>
      <c r="E26" s="4"/>
      <c r="F26" s="4"/>
      <c r="G26" s="4"/>
    </row>
    <row r="27" customFormat="false" ht="30" hidden="false" customHeight="true" outlineLevel="0" collapsed="false">
      <c r="B27" s="4" t="s">
        <v>29</v>
      </c>
      <c r="C27" s="4"/>
      <c r="D27" s="4"/>
      <c r="E27" s="4"/>
      <c r="F27" s="4"/>
      <c r="G27" s="4"/>
    </row>
    <row r="28" customFormat="false" ht="30" hidden="false" customHeight="true" outlineLevel="0" collapsed="false">
      <c r="B28" s="4" t="s">
        <v>30</v>
      </c>
      <c r="C28" s="4"/>
      <c r="D28" s="4"/>
      <c r="E28" s="4"/>
      <c r="F28" s="4"/>
      <c r="G28" s="4"/>
    </row>
    <row r="29" customFormat="false" ht="30" hidden="false" customHeight="true" outlineLevel="0" collapsed="false">
      <c r="B29" s="4" t="s">
        <v>31</v>
      </c>
      <c r="C29" s="4"/>
      <c r="D29" s="4"/>
      <c r="E29" s="4"/>
      <c r="F29" s="4"/>
      <c r="G29" s="4"/>
    </row>
    <row r="31" customFormat="false" ht="15" hidden="false" customHeight="false" outlineLevel="0" collapsed="false">
      <c r="B31" s="3" t="s">
        <v>32</v>
      </c>
      <c r="C31" s="3"/>
      <c r="D31" s="3"/>
      <c r="E31" s="3"/>
      <c r="F31" s="3"/>
      <c r="G31" s="3"/>
    </row>
    <row r="32" customFormat="false" ht="23.85" hidden="false" customHeight="true" outlineLevel="0" collapsed="false">
      <c r="B32" s="5" t="s">
        <v>33</v>
      </c>
      <c r="C32" s="5" t="s">
        <v>34</v>
      </c>
      <c r="D32" s="5" t="s">
        <v>35</v>
      </c>
      <c r="E32" s="5" t="s">
        <v>36</v>
      </c>
      <c r="F32" s="5" t="s">
        <v>37</v>
      </c>
      <c r="G32" s="5"/>
    </row>
    <row r="33" customFormat="false" ht="30" hidden="false" customHeight="true" outlineLevel="0" collapsed="false">
      <c r="B33" s="6" t="s">
        <v>38</v>
      </c>
      <c r="C33" s="7" t="n">
        <v>132152.062672672</v>
      </c>
      <c r="D33" s="7" t="n">
        <v>490519.349699698</v>
      </c>
      <c r="E33" s="7" t="n">
        <v>-472796.256246247</v>
      </c>
      <c r="F33" s="6" t="s">
        <v>39</v>
      </c>
      <c r="G33" s="6"/>
    </row>
    <row r="34" customFormat="false" ht="30" hidden="false" customHeight="true" outlineLevel="0" collapsed="false">
      <c r="B34" s="6" t="s">
        <v>40</v>
      </c>
      <c r="C34" s="7" t="n">
        <v>521560.552672673</v>
      </c>
      <c r="D34" s="7" t="n">
        <v>584485.568618618</v>
      </c>
      <c r="E34" s="7" t="n">
        <v>-210864.811381382</v>
      </c>
      <c r="F34" s="6" t="s">
        <v>41</v>
      </c>
      <c r="G34" s="6"/>
    </row>
    <row r="35" customFormat="false" ht="30" hidden="false" customHeight="true" outlineLevel="0" collapsed="false">
      <c r="B35" s="6" t="s">
        <v>42</v>
      </c>
      <c r="C35" s="8" t="n">
        <f aca="false">Simulador!D84</f>
        <v>132152.062672673</v>
      </c>
      <c r="D35" s="8" t="n">
        <f aca="false">Simulador!D87</f>
        <v>490519.3496997</v>
      </c>
      <c r="E35" s="8" t="n">
        <f aca="false">Simulador!D85</f>
        <v>-472796.256246246</v>
      </c>
      <c r="F35" s="6" t="s">
        <v>43</v>
      </c>
      <c r="G35" s="6"/>
    </row>
    <row r="36" customFormat="false" ht="30" hidden="false" customHeight="true" outlineLevel="0" collapsed="false">
      <c r="B36" s="6" t="s">
        <v>44</v>
      </c>
      <c r="C36" s="7" t="n">
        <f aca="false">'Real 2025'!AA5</f>
        <v>-70829.7832432436</v>
      </c>
      <c r="D36" s="7" t="n">
        <f aca="false">'Real 2025'!AA8</f>
        <v>-79162.9040540541</v>
      </c>
      <c r="E36" s="7" t="n">
        <f aca="false">'Real 2025'!AA6</f>
        <v>-1448687.19810811</v>
      </c>
      <c r="F36" s="6" t="s">
        <v>45</v>
      </c>
      <c r="G36" s="6"/>
    </row>
    <row r="37" customFormat="false" ht="30" hidden="false" customHeight="true" outlineLevel="0" collapsed="false">
      <c r="B37" s="6" t="s">
        <v>46</v>
      </c>
      <c r="C37" s="7" t="n">
        <f aca="false">'Real 2024'!AA5</f>
        <v>1136023.27391892</v>
      </c>
      <c r="D37" s="7" t="n">
        <f aca="false">'Real 2024'!AA8</f>
        <v>996624.874324325</v>
      </c>
      <c r="E37" s="7" t="n">
        <f aca="false">'Real 2024'!AA6</f>
        <v>-973152.062702702</v>
      </c>
      <c r="F37" s="6" t="s">
        <v>47</v>
      </c>
      <c r="G37" s="6"/>
    </row>
    <row r="38" customFormat="false" ht="30" hidden="false" customHeight="true" outlineLevel="0" collapsed="false">
      <c r="B38" s="4" t="s">
        <v>48</v>
      </c>
      <c r="C38" s="4"/>
      <c r="D38" s="4"/>
      <c r="E38" s="4"/>
      <c r="F38" s="4"/>
      <c r="G38" s="4"/>
    </row>
    <row r="40" customFormat="false" ht="15" hidden="false" customHeight="false" outlineLevel="0" collapsed="false">
      <c r="B40" s="3" t="s">
        <v>49</v>
      </c>
      <c r="C40" s="3"/>
      <c r="D40" s="3"/>
      <c r="E40" s="3"/>
      <c r="F40" s="3"/>
      <c r="G40" s="3"/>
    </row>
    <row r="41" customFormat="false" ht="18" hidden="false" customHeight="true" outlineLevel="0" collapsed="false">
      <c r="B41" s="5" t="s">
        <v>50</v>
      </c>
      <c r="C41" s="5" t="s">
        <v>51</v>
      </c>
      <c r="D41" s="5"/>
      <c r="E41" s="5" t="s">
        <v>52</v>
      </c>
      <c r="F41" s="5"/>
      <c r="G41" s="5"/>
    </row>
    <row r="42" customFormat="false" ht="30" hidden="false" customHeight="true" outlineLevel="0" collapsed="false">
      <c r="B42" s="6" t="s">
        <v>53</v>
      </c>
      <c r="C42" s="6" t="s">
        <v>54</v>
      </c>
      <c r="D42" s="6"/>
      <c r="E42" s="6" t="s">
        <v>55</v>
      </c>
      <c r="F42" s="6"/>
      <c r="G42" s="6"/>
    </row>
    <row r="43" customFormat="false" ht="30" hidden="false" customHeight="true" outlineLevel="0" collapsed="false">
      <c r="B43" s="6" t="s">
        <v>56</v>
      </c>
      <c r="C43" s="6" t="s">
        <v>57</v>
      </c>
      <c r="D43" s="6"/>
      <c r="E43" s="6" t="s">
        <v>58</v>
      </c>
      <c r="F43" s="6"/>
      <c r="G43" s="6"/>
    </row>
    <row r="44" customFormat="false" ht="30" hidden="false" customHeight="true" outlineLevel="0" collapsed="false">
      <c r="B44" s="6" t="s">
        <v>59</v>
      </c>
      <c r="C44" s="6" t="s">
        <v>60</v>
      </c>
      <c r="D44" s="6"/>
      <c r="E44" s="6" t="s">
        <v>61</v>
      </c>
      <c r="F44" s="6"/>
      <c r="G44" s="6"/>
    </row>
    <row r="45" customFormat="false" ht="30" hidden="false" customHeight="true" outlineLevel="0" collapsed="false">
      <c r="B45" s="6" t="s">
        <v>62</v>
      </c>
      <c r="C45" s="6" t="s">
        <v>63</v>
      </c>
      <c r="D45" s="6"/>
      <c r="E45" s="6" t="s">
        <v>64</v>
      </c>
      <c r="F45" s="6"/>
      <c r="G45" s="6"/>
    </row>
    <row r="46" customFormat="false" ht="30" hidden="false" customHeight="true" outlineLevel="0" collapsed="false">
      <c r="B46" s="6" t="s">
        <v>65</v>
      </c>
      <c r="C46" s="6" t="s">
        <v>66</v>
      </c>
      <c r="D46" s="6"/>
      <c r="E46" s="6" t="s">
        <v>67</v>
      </c>
      <c r="F46" s="6"/>
      <c r="G46" s="6"/>
    </row>
    <row r="47" customFormat="false" ht="30" hidden="false" customHeight="true" outlineLevel="0" collapsed="false">
      <c r="B47" s="6" t="s">
        <v>68</v>
      </c>
      <c r="C47" s="6" t="s">
        <v>69</v>
      </c>
      <c r="D47" s="6"/>
      <c r="E47" s="6" t="s">
        <v>70</v>
      </c>
      <c r="F47" s="6"/>
      <c r="G47" s="6"/>
    </row>
    <row r="48" customFormat="false" ht="30" hidden="false" customHeight="true" outlineLevel="0" collapsed="false">
      <c r="B48" s="6" t="s">
        <v>71</v>
      </c>
      <c r="C48" s="6" t="s">
        <v>72</v>
      </c>
      <c r="D48" s="6"/>
      <c r="E48" s="6" t="s">
        <v>73</v>
      </c>
      <c r="F48" s="6"/>
      <c r="G48" s="6"/>
    </row>
    <row r="50" customFormat="false" ht="15" hidden="false" customHeight="false" outlineLevel="0" collapsed="false">
      <c r="B50" s="3" t="s">
        <v>74</v>
      </c>
      <c r="C50" s="3"/>
      <c r="D50" s="3"/>
      <c r="E50" s="3"/>
      <c r="F50" s="3"/>
      <c r="G50" s="3"/>
    </row>
    <row r="51" customFormat="false" ht="31.5" hidden="false" customHeight="true" outlineLevel="0" collapsed="false">
      <c r="B51" s="4" t="s">
        <v>75</v>
      </c>
      <c r="C51" s="4"/>
      <c r="D51" s="4"/>
      <c r="E51" s="4"/>
      <c r="F51" s="4"/>
      <c r="G51" s="4"/>
    </row>
    <row r="52" customFormat="false" ht="31.5" hidden="false" customHeight="true" outlineLevel="0" collapsed="false">
      <c r="B52" s="4" t="s">
        <v>76</v>
      </c>
      <c r="C52" s="4"/>
      <c r="D52" s="4"/>
      <c r="E52" s="4"/>
      <c r="F52" s="4"/>
      <c r="G52" s="4"/>
    </row>
    <row r="53" customFormat="false" ht="31.5" hidden="false" customHeight="true" outlineLevel="0" collapsed="false">
      <c r="B53" s="4" t="s">
        <v>77</v>
      </c>
      <c r="C53" s="4"/>
      <c r="D53" s="4"/>
      <c r="E53" s="4"/>
      <c r="F53" s="4"/>
      <c r="G53" s="4"/>
    </row>
    <row r="54" customFormat="false" ht="31.5" hidden="false" customHeight="true" outlineLevel="0" collapsed="false">
      <c r="B54" s="4" t="s">
        <v>78</v>
      </c>
      <c r="C54" s="4"/>
      <c r="D54" s="4"/>
      <c r="E54" s="4"/>
      <c r="F54" s="4"/>
      <c r="G54" s="4"/>
    </row>
    <row r="55" customFormat="false" ht="31.5" hidden="false" customHeight="true" outlineLevel="0" collapsed="false">
      <c r="B55" s="4" t="s">
        <v>79</v>
      </c>
      <c r="C55" s="4"/>
      <c r="D55" s="4"/>
      <c r="E55" s="4"/>
      <c r="F55" s="4"/>
      <c r="G55" s="4"/>
    </row>
    <row r="57" customFormat="false" ht="15" hidden="false" customHeight="false" outlineLevel="0" collapsed="false">
      <c r="B57" s="3" t="s">
        <v>80</v>
      </c>
      <c r="C57" s="3"/>
      <c r="D57" s="3"/>
      <c r="E57" s="3"/>
      <c r="F57" s="3"/>
      <c r="G57" s="3"/>
    </row>
    <row r="58" customFormat="false" ht="19.5" hidden="false" customHeight="true" outlineLevel="0" collapsed="false">
      <c r="B58" s="9" t="s">
        <v>81</v>
      </c>
      <c r="C58" s="9"/>
      <c r="D58" s="9"/>
      <c r="E58" s="9"/>
      <c r="F58" s="9"/>
      <c r="G58" s="9"/>
    </row>
    <row r="59" customFormat="false" ht="43.5" hidden="false" customHeight="true" outlineLevel="0" collapsed="false">
      <c r="B59" s="4" t="s">
        <v>82</v>
      </c>
      <c r="C59" s="4"/>
      <c r="D59" s="4"/>
      <c r="E59" s="4"/>
      <c r="F59" s="4"/>
      <c r="G59" s="4"/>
    </row>
    <row r="60" customFormat="false" ht="43.5" hidden="false" customHeight="true" outlineLevel="0" collapsed="false">
      <c r="B60" s="4" t="s">
        <v>83</v>
      </c>
      <c r="C60" s="4"/>
      <c r="D60" s="4"/>
      <c r="E60" s="4"/>
      <c r="F60" s="4"/>
      <c r="G60" s="4"/>
    </row>
    <row r="62" customFormat="false" ht="15" hidden="false" customHeight="false" outlineLevel="0" collapsed="false">
      <c r="B62" s="3" t="s">
        <v>84</v>
      </c>
      <c r="C62" s="3"/>
      <c r="D62" s="3"/>
      <c r="E62" s="3"/>
      <c r="F62" s="3"/>
      <c r="G62" s="3"/>
    </row>
    <row r="63" customFormat="false" ht="15" hidden="false" customHeight="true" outlineLevel="0" collapsed="false">
      <c r="B63" s="5" t="s">
        <v>85</v>
      </c>
      <c r="C63" s="5" t="s">
        <v>86</v>
      </c>
      <c r="D63" s="5"/>
      <c r="E63" s="5"/>
      <c r="F63" s="5"/>
      <c r="G63" s="5"/>
    </row>
    <row r="64" customFormat="false" ht="18" hidden="false" customHeight="true" outlineLevel="0" collapsed="false">
      <c r="B64" s="6" t="s">
        <v>87</v>
      </c>
      <c r="C64" s="6" t="s">
        <v>88</v>
      </c>
      <c r="D64" s="6"/>
      <c r="E64" s="6"/>
      <c r="F64" s="6"/>
      <c r="G64" s="6"/>
    </row>
    <row r="65" customFormat="false" ht="18" hidden="false" customHeight="true" outlineLevel="0" collapsed="false">
      <c r="B65" s="6" t="s">
        <v>89</v>
      </c>
      <c r="C65" s="6" t="s">
        <v>90</v>
      </c>
      <c r="D65" s="6"/>
      <c r="E65" s="6"/>
      <c r="F65" s="6"/>
      <c r="G65" s="6"/>
    </row>
    <row r="66" customFormat="false" ht="18" hidden="false" customHeight="true" outlineLevel="0" collapsed="false">
      <c r="B66" s="6" t="s">
        <v>91</v>
      </c>
      <c r="C66" s="6" t="s">
        <v>92</v>
      </c>
      <c r="D66" s="6"/>
      <c r="E66" s="6"/>
      <c r="F66" s="6"/>
      <c r="G66" s="6"/>
    </row>
    <row r="67" customFormat="false" ht="18" hidden="false" customHeight="true" outlineLevel="0" collapsed="false">
      <c r="B67" s="6" t="s">
        <v>93</v>
      </c>
      <c r="C67" s="6" t="s">
        <v>94</v>
      </c>
      <c r="D67" s="6"/>
      <c r="E67" s="6"/>
      <c r="F67" s="6"/>
      <c r="G67" s="6"/>
    </row>
    <row r="68" customFormat="false" ht="18" hidden="false" customHeight="true" outlineLevel="0" collapsed="false">
      <c r="B68" s="6" t="s">
        <v>95</v>
      </c>
      <c r="C68" s="6" t="s">
        <v>96</v>
      </c>
      <c r="D68" s="6"/>
      <c r="E68" s="6"/>
      <c r="F68" s="6"/>
      <c r="G68" s="6"/>
    </row>
    <row r="69" customFormat="false" ht="18" hidden="false" customHeight="true" outlineLevel="0" collapsed="false">
      <c r="B69" s="6" t="s">
        <v>97</v>
      </c>
      <c r="C69" s="6" t="s">
        <v>98</v>
      </c>
      <c r="D69" s="6"/>
      <c r="E69" s="6"/>
      <c r="F69" s="6"/>
      <c r="G69" s="6"/>
    </row>
    <row r="70" customFormat="false" ht="18" hidden="false" customHeight="true" outlineLevel="0" collapsed="false">
      <c r="B70" s="6" t="s">
        <v>99</v>
      </c>
      <c r="C70" s="6" t="s">
        <v>100</v>
      </c>
      <c r="D70" s="6"/>
      <c r="E70" s="6"/>
      <c r="F70" s="6"/>
      <c r="G70" s="6"/>
    </row>
    <row r="71" customFormat="false" ht="18" hidden="false" customHeight="true" outlineLevel="0" collapsed="false">
      <c r="B71" s="6" t="s">
        <v>101</v>
      </c>
      <c r="C71" s="6" t="s">
        <v>102</v>
      </c>
      <c r="D71" s="6"/>
      <c r="E71" s="6"/>
      <c r="F71" s="6"/>
      <c r="G71" s="6"/>
    </row>
    <row r="72" customFormat="false" ht="18" hidden="false" customHeight="true" outlineLevel="0" collapsed="false">
      <c r="B72" s="6" t="s">
        <v>103</v>
      </c>
      <c r="C72" s="6" t="s">
        <v>104</v>
      </c>
      <c r="D72" s="6"/>
      <c r="E72" s="6"/>
      <c r="F72" s="6"/>
      <c r="G72" s="6"/>
    </row>
    <row r="73" customFormat="false" ht="18" hidden="false" customHeight="true" outlineLevel="0" collapsed="false">
      <c r="B73" s="6" t="s">
        <v>105</v>
      </c>
      <c r="C73" s="6" t="s">
        <v>106</v>
      </c>
      <c r="D73" s="6"/>
      <c r="E73" s="6"/>
      <c r="F73" s="6"/>
      <c r="G73" s="6"/>
    </row>
  </sheetData>
  <mergeCells count="70">
    <mergeCell ref="B5:G5"/>
    <mergeCell ref="B6:G6"/>
    <mergeCell ref="B7:G7"/>
    <mergeCell ref="B9:G9"/>
    <mergeCell ref="B10:G10"/>
    <mergeCell ref="C11:G11"/>
    <mergeCell ref="C12:G12"/>
    <mergeCell ref="C13:G13"/>
    <mergeCell ref="C14:G14"/>
    <mergeCell ref="C15:G15"/>
    <mergeCell ref="C16:G16"/>
    <mergeCell ref="C17:G17"/>
    <mergeCell ref="B19:G19"/>
    <mergeCell ref="B20:G20"/>
    <mergeCell ref="B21:G21"/>
    <mergeCell ref="B22:G22"/>
    <mergeCell ref="B23:G23"/>
    <mergeCell ref="B24:G24"/>
    <mergeCell ref="B25:G25"/>
    <mergeCell ref="B26:G26"/>
    <mergeCell ref="B27:G27"/>
    <mergeCell ref="B28:G28"/>
    <mergeCell ref="B29:G29"/>
    <mergeCell ref="B31:G31"/>
    <mergeCell ref="F32:G32"/>
    <mergeCell ref="F33:G33"/>
    <mergeCell ref="F34:G34"/>
    <mergeCell ref="F35:G35"/>
    <mergeCell ref="F36:G36"/>
    <mergeCell ref="F37:G37"/>
    <mergeCell ref="B38:G38"/>
    <mergeCell ref="B40:G40"/>
    <mergeCell ref="C41:D41"/>
    <mergeCell ref="E41:G41"/>
    <mergeCell ref="C42:D42"/>
    <mergeCell ref="E42:G42"/>
    <mergeCell ref="C43:D43"/>
    <mergeCell ref="E43:G43"/>
    <mergeCell ref="C44:D44"/>
    <mergeCell ref="E44:G44"/>
    <mergeCell ref="C45:D45"/>
    <mergeCell ref="E45:G45"/>
    <mergeCell ref="C46:D46"/>
    <mergeCell ref="E46:G46"/>
    <mergeCell ref="C47:D47"/>
    <mergeCell ref="E47:G47"/>
    <mergeCell ref="C48:D48"/>
    <mergeCell ref="E48:G48"/>
    <mergeCell ref="B50:G50"/>
    <mergeCell ref="B51:G51"/>
    <mergeCell ref="B52:G52"/>
    <mergeCell ref="B53:G53"/>
    <mergeCell ref="B54:G54"/>
    <mergeCell ref="B55:G55"/>
    <mergeCell ref="B57:G57"/>
    <mergeCell ref="B58:G58"/>
    <mergeCell ref="B59:G59"/>
    <mergeCell ref="B60:G60"/>
    <mergeCell ref="B62:G62"/>
    <mergeCell ref="C63:G63"/>
    <mergeCell ref="C64:G64"/>
    <mergeCell ref="C65:G65"/>
    <mergeCell ref="C66:G66"/>
    <mergeCell ref="C67:G67"/>
    <mergeCell ref="C68:G68"/>
    <mergeCell ref="C69:G69"/>
    <mergeCell ref="C70:G70"/>
    <mergeCell ref="C71:G71"/>
    <mergeCell ref="C72:G72"/>
    <mergeCell ref="C73:G7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9" min="3" style="0" width="16"/>
  </cols>
  <sheetData>
    <row r="1" customFormat="false" ht="17.35" hidden="false" customHeight="false" outlineLevel="0" collapsed="false">
      <c r="B1" s="1" t="s">
        <v>107</v>
      </c>
    </row>
    <row r="2" customFormat="false" ht="15" hidden="false" customHeight="false" outlineLevel="0" collapsed="false">
      <c r="B2" s="2" t="s">
        <v>108</v>
      </c>
    </row>
    <row r="4" customFormat="false" ht="15" hidden="false" customHeight="false" outlineLevel="0" collapsed="false">
      <c r="B4" s="3" t="s">
        <v>109</v>
      </c>
      <c r="C4" s="3"/>
      <c r="D4" s="3"/>
      <c r="E4" s="3"/>
      <c r="F4" s="3"/>
      <c r="G4" s="3"/>
      <c r="H4" s="3"/>
      <c r="I4" s="3"/>
    </row>
    <row r="5" customFormat="false" ht="23.85" hidden="false" customHeight="false" outlineLevel="0" collapsed="false">
      <c r="B5" s="5" t="s">
        <v>110</v>
      </c>
      <c r="C5" s="5" t="s">
        <v>111</v>
      </c>
      <c r="D5" s="5" t="s">
        <v>112</v>
      </c>
      <c r="E5" s="5" t="s">
        <v>113</v>
      </c>
    </row>
    <row r="6" customFormat="false" ht="15" hidden="false" customHeight="false" outlineLevel="0" collapsed="false">
      <c r="B6" s="10" t="s">
        <v>114</v>
      </c>
      <c r="C6" s="11" t="n">
        <v>-135092.51921922</v>
      </c>
      <c r="D6" s="11" t="n">
        <v>5451.87132131867</v>
      </c>
      <c r="E6" s="11" t="n">
        <v>-740040.838138139</v>
      </c>
    </row>
    <row r="7" customFormat="false" ht="15" hidden="false" customHeight="false" outlineLevel="0" collapsed="false">
      <c r="B7" s="10" t="s">
        <v>115</v>
      </c>
      <c r="C7" s="11" t="n">
        <v>-2580.4416516521</v>
      </c>
      <c r="D7" s="11" t="n">
        <v>247985.610510509</v>
      </c>
      <c r="E7" s="11" t="n">
        <v>-607528.760570571</v>
      </c>
    </row>
    <row r="8" customFormat="false" ht="15" hidden="false" customHeight="false" outlineLevel="0" collapsed="false">
      <c r="B8" s="10" t="s">
        <v>116</v>
      </c>
      <c r="C8" s="11" t="n">
        <v>132152.062672672</v>
      </c>
      <c r="D8" s="11" t="n">
        <v>490519.349699698</v>
      </c>
      <c r="E8" s="11" t="n">
        <v>-472796.256246247</v>
      </c>
    </row>
    <row r="9" customFormat="false" ht="15" hidden="false" customHeight="false" outlineLevel="0" collapsed="false">
      <c r="B9" s="10" t="s">
        <v>117</v>
      </c>
      <c r="C9" s="11" t="n">
        <v>279484.054159159</v>
      </c>
      <c r="D9" s="11" t="n">
        <v>405025.864564563</v>
      </c>
      <c r="E9" s="11" t="n">
        <v>-404125.293003004</v>
      </c>
    </row>
    <row r="10" customFormat="false" ht="15" hidden="false" customHeight="false" outlineLevel="0" collapsed="false">
      <c r="B10" s="10" t="s">
        <v>118</v>
      </c>
      <c r="C10" s="11" t="n">
        <v>521560.552672673</v>
      </c>
      <c r="D10" s="11" t="n">
        <v>584485.568618618</v>
      </c>
      <c r="E10" s="11" t="n">
        <v>-210864.811381382</v>
      </c>
    </row>
    <row r="11" customFormat="false" ht="15" hidden="false" customHeight="false" outlineLevel="0" collapsed="false">
      <c r="B11" s="10" t="s">
        <v>119</v>
      </c>
      <c r="C11" s="11" t="n">
        <v>541571.496321322</v>
      </c>
      <c r="D11" s="11" t="n">
        <v>521411.533483482</v>
      </c>
      <c r="E11" s="11" t="n">
        <v>-239669.884624625</v>
      </c>
    </row>
    <row r="12" customFormat="false" ht="15" hidden="false" customHeight="false" outlineLevel="0" collapsed="false">
      <c r="B12" s="10" t="s">
        <v>120</v>
      </c>
      <c r="C12" s="11" t="n">
        <v>695332.346321322</v>
      </c>
      <c r="D12" s="11" t="n">
        <v>660216.652402402</v>
      </c>
      <c r="E12" s="11" t="n">
        <v>-153696.057057058</v>
      </c>
    </row>
    <row r="13" customFormat="false" ht="15" hidden="false" customHeight="false" outlineLevel="0" collapsed="false">
      <c r="B13" s="10" t="s">
        <v>121</v>
      </c>
      <c r="C13" s="11" t="n">
        <v>696138.763483484</v>
      </c>
      <c r="D13" s="11" t="n">
        <v>633612.887537537</v>
      </c>
      <c r="E13" s="11" t="n">
        <v>-223453.668408409</v>
      </c>
    </row>
    <row r="14" customFormat="false" ht="15" hidden="false" customHeight="false" outlineLevel="0" collapsed="false">
      <c r="B14" s="2" t="s">
        <v>122</v>
      </c>
    </row>
    <row r="24" customFormat="false" ht="15" hidden="false" customHeight="false" outlineLevel="0" collapsed="false">
      <c r="B24" s="3" t="s">
        <v>123</v>
      </c>
      <c r="C24" s="3"/>
      <c r="D24" s="3"/>
      <c r="E24" s="3"/>
      <c r="F24" s="3"/>
      <c r="G24" s="3"/>
      <c r="H24" s="3"/>
      <c r="I24" s="3"/>
    </row>
    <row r="25" customFormat="false" ht="46.25" hidden="false" customHeight="false" outlineLevel="0" collapsed="false">
      <c r="B25" s="5" t="s">
        <v>124</v>
      </c>
      <c r="C25" s="5" t="s">
        <v>125</v>
      </c>
      <c r="D25" s="5" t="s">
        <v>126</v>
      </c>
      <c r="E25" s="5" t="s">
        <v>127</v>
      </c>
      <c r="F25" s="5" t="s">
        <v>128</v>
      </c>
    </row>
    <row r="26" customFormat="false" ht="15" hidden="false" customHeight="false" outlineLevel="0" collapsed="false">
      <c r="B26" s="10" t="s">
        <v>129</v>
      </c>
      <c r="C26" s="12" t="n">
        <f aca="false">Simulador!D51-Simulador!D50</f>
        <v>98663</v>
      </c>
      <c r="D26" s="12" t="n">
        <f aca="false">Simulador!D50</f>
        <v>810.810810810811</v>
      </c>
      <c r="E26" s="11" t="n">
        <v>0</v>
      </c>
      <c r="F26" s="11" t="n">
        <v>0</v>
      </c>
    </row>
    <row r="27" customFormat="false" ht="15" hidden="false" customHeight="false" outlineLevel="0" collapsed="false">
      <c r="B27" s="10" t="s">
        <v>130</v>
      </c>
      <c r="C27" s="12" t="n">
        <f aca="false">Simulador!D55</f>
        <v>59690.0227027027</v>
      </c>
      <c r="D27" s="11" t="n">
        <v>0</v>
      </c>
      <c r="E27" s="12" t="n">
        <f aca="false">Simulador!D53</f>
        <v>26208</v>
      </c>
      <c r="F27" s="12" t="n">
        <f aca="false">IF(Simulador!$C$16="Mensual fijo",Simulador!$C$14/Simulador!$C$7/Simulador!$C$32,Simulador!$D$54)</f>
        <v>3243.24324324324</v>
      </c>
    </row>
    <row r="28" customFormat="false" ht="15" hidden="false" customHeight="false" outlineLevel="0" collapsed="false">
      <c r="B28" s="10" t="s">
        <v>131</v>
      </c>
      <c r="C28" s="12" t="n">
        <f aca="false">Simulador!D56</f>
        <v>29845.0113513514</v>
      </c>
      <c r="D28" s="11" t="n">
        <v>0</v>
      </c>
      <c r="E28" s="12" t="n">
        <f aca="false">Simulador!D53</f>
        <v>26208</v>
      </c>
      <c r="F28" s="12" t="n">
        <f aca="false">IF(Simulador!$C$16="Mensual fijo",Simulador!$C$14/Simulador!$C$7/Simulador!$C$32,Simulador!$D$54)</f>
        <v>3243.24324324324</v>
      </c>
    </row>
    <row r="29" customFormat="false" ht="15" hidden="false" customHeight="false" outlineLevel="0" collapsed="false">
      <c r="B29" s="10" t="s">
        <v>132</v>
      </c>
      <c r="C29" s="12" t="n">
        <f aca="false">Simulador!D59</f>
        <v>56135.9464864865</v>
      </c>
      <c r="D29" s="11" t="n">
        <v>0</v>
      </c>
      <c r="E29" s="12" t="n">
        <f aca="false">Simulador!D53</f>
        <v>26208</v>
      </c>
      <c r="F29" s="12" t="n">
        <f aca="false">IF(Simulador!$C$16="Mensual fijo",Simulador!$C$14/Simulador!$C$7/Simulador!$C$32,Simulador!$D$54)</f>
        <v>3243.24324324324</v>
      </c>
    </row>
    <row r="30" customFormat="false" ht="15" hidden="false" customHeight="false" outlineLevel="0" collapsed="false">
      <c r="B30" s="10" t="s">
        <v>133</v>
      </c>
      <c r="C30" s="12" t="n">
        <f aca="false">Simulador!D60</f>
        <v>33291.8918918919</v>
      </c>
      <c r="D30" s="11" t="n">
        <v>0</v>
      </c>
      <c r="E30" s="12" t="n">
        <f aca="false">Simulador!D53</f>
        <v>26208</v>
      </c>
      <c r="F30" s="12" t="n">
        <f aca="false">IF(Simulador!$C$16="Mensual fijo",Simulador!$C$14/Simulador!$C$7/Simulador!$C$32,Simulador!$D$54)</f>
        <v>3243.24324324324</v>
      </c>
    </row>
    <row r="31" customFormat="false" ht="15" hidden="false" customHeight="false" outlineLevel="0" collapsed="false">
      <c r="B31" s="10" t="s">
        <v>134</v>
      </c>
      <c r="C31" s="12" t="n">
        <f aca="false">Simulador!D57</f>
        <v>82239.1054054054</v>
      </c>
      <c r="D31" s="11" t="n">
        <v>0</v>
      </c>
      <c r="E31" s="12" t="n">
        <f aca="false">Simulador!D53</f>
        <v>26208</v>
      </c>
      <c r="F31" s="12" t="n">
        <f aca="false">IF(Simulador!$C$16="Mensual fijo",Simulador!$C$14/Simulador!$C$7/Simulador!$C$32,Simulador!$D$54)</f>
        <v>3243.24324324324</v>
      </c>
    </row>
    <row r="44" customFormat="false" ht="15" hidden="false" customHeight="false" outlineLevel="0" collapsed="false">
      <c r="B44" s="3" t="s">
        <v>135</v>
      </c>
      <c r="C44" s="3"/>
      <c r="D44" s="3"/>
      <c r="E44" s="3"/>
      <c r="F44" s="3"/>
      <c r="G44" s="3"/>
      <c r="H44" s="3"/>
      <c r="I44" s="3"/>
    </row>
    <row r="45" customFormat="false" ht="35.05" hidden="false" customHeight="false" outlineLevel="0" collapsed="false">
      <c r="B45" s="5" t="s">
        <v>136</v>
      </c>
      <c r="C45" s="5" t="s">
        <v>137</v>
      </c>
      <c r="D45" s="5" t="s">
        <v>138</v>
      </c>
      <c r="E45" s="5" t="s">
        <v>139</v>
      </c>
    </row>
    <row r="46" customFormat="false" ht="15" hidden="false" customHeight="false" outlineLevel="0" collapsed="false">
      <c r="B46" s="13" t="str">
        <f aca="false">'Real 2025'!K59</f>
        <v>Feb</v>
      </c>
      <c r="C46" s="14" t="n">
        <f aca="false">'Real 2025'!C59</f>
        <v>1</v>
      </c>
      <c r="D46" s="12" t="n">
        <f aca="false">'Real 2025'!P59</f>
        <v>-225526.140540541</v>
      </c>
      <c r="E46" s="12" t="n">
        <f aca="false">'Real 2025'!Q59</f>
        <v>-274611.910810811</v>
      </c>
    </row>
    <row r="47" customFormat="false" ht="15" hidden="false" customHeight="false" outlineLevel="0" collapsed="false">
      <c r="B47" s="13" t="str">
        <f aca="false">'Real 2025'!K60</f>
        <v>Mar</v>
      </c>
      <c r="C47" s="14" t="n">
        <f aca="false">'Real 2025'!C60</f>
        <v>4</v>
      </c>
      <c r="D47" s="12" t="n">
        <f aca="false">'Real 2025'!P60</f>
        <v>-62484.1886486486</v>
      </c>
      <c r="E47" s="12" t="n">
        <f aca="false">'Real 2025'!Q60</f>
        <v>-45916.027027027</v>
      </c>
    </row>
    <row r="48" customFormat="false" ht="15" hidden="false" customHeight="false" outlineLevel="0" collapsed="false">
      <c r="B48" s="13" t="str">
        <f aca="false">'Real 2025'!K61</f>
        <v>Abr</v>
      </c>
      <c r="C48" s="14" t="n">
        <f aca="false">'Real 2025'!C61</f>
        <v>7</v>
      </c>
      <c r="D48" s="12" t="n">
        <f aca="false">'Real 2025'!P61</f>
        <v>108428.427702703</v>
      </c>
      <c r="E48" s="12" t="n">
        <f aca="false">'Real 2025'!Q61</f>
        <v>93105.254054054</v>
      </c>
    </row>
    <row r="49" customFormat="false" ht="15" hidden="false" customHeight="false" outlineLevel="0" collapsed="false">
      <c r="B49" s="13" t="str">
        <f aca="false">'Real 2025'!K62</f>
        <v>May</v>
      </c>
      <c r="C49" s="14" t="n">
        <f aca="false">'Real 2025'!C62</f>
        <v>5</v>
      </c>
      <c r="D49" s="12" t="n">
        <f aca="false">'Real 2025'!P62</f>
        <v>-84020.2537837838</v>
      </c>
      <c r="E49" s="12" t="n">
        <f aca="false">'Real 2025'!Q62</f>
        <v>-38102.7864864864</v>
      </c>
    </row>
    <row r="50" customFormat="false" ht="15" hidden="false" customHeight="false" outlineLevel="0" collapsed="false">
      <c r="B50" s="13" t="str">
        <f aca="false">'Real 2025'!K63</f>
        <v>Jun</v>
      </c>
      <c r="C50" s="14" t="n">
        <f aca="false">'Real 2025'!C63</f>
        <v>6</v>
      </c>
      <c r="D50" s="12" t="n">
        <f aca="false">'Real 2025'!P63</f>
        <v>94505.5364864864</v>
      </c>
      <c r="E50" s="12" t="n">
        <f aca="false">'Real 2025'!Q63</f>
        <v>90516.1256756756</v>
      </c>
    </row>
    <row r="51" customFormat="false" ht="15" hidden="false" customHeight="false" outlineLevel="0" collapsed="false">
      <c r="B51" s="13" t="str">
        <f aca="false">'Real 2025'!K64</f>
        <v>Jul</v>
      </c>
      <c r="C51" s="14" t="n">
        <f aca="false">'Real 2025'!C64</f>
        <v>7</v>
      </c>
      <c r="D51" s="12" t="n">
        <f aca="false">'Real 2025'!P64</f>
        <v>91480.1343243244</v>
      </c>
      <c r="E51" s="12" t="n">
        <f aca="false">'Real 2025'!Q64</f>
        <v>82316.9432432433</v>
      </c>
    </row>
    <row r="52" customFormat="false" ht="15" hidden="false" customHeight="false" outlineLevel="0" collapsed="false">
      <c r="B52" s="13" t="str">
        <f aca="false">'Real 2025'!K65</f>
        <v>Ago</v>
      </c>
      <c r="C52" s="14" t="n">
        <f aca="false">'Real 2025'!C65</f>
        <v>7</v>
      </c>
      <c r="D52" s="12" t="n">
        <f aca="false">'Real 2025'!P65</f>
        <v>78794.6960810811</v>
      </c>
      <c r="E52" s="12" t="n">
        <f aca="false">'Real 2025'!Q65</f>
        <v>61024.3216216216</v>
      </c>
    </row>
    <row r="53" customFormat="false" ht="15" hidden="false" customHeight="false" outlineLevel="0" collapsed="false">
      <c r="B53" s="13" t="str">
        <f aca="false">'Real 2025'!K66</f>
        <v>Sep</v>
      </c>
      <c r="C53" s="14" t="n">
        <f aca="false">'Real 2025'!C66</f>
        <v>5</v>
      </c>
      <c r="D53" s="12" t="n">
        <f aca="false">'Real 2025'!P66</f>
        <v>-4050.9332432432</v>
      </c>
      <c r="E53" s="12" t="n">
        <f aca="false">'Real 2025'!Q66</f>
        <v>35906.4567567568</v>
      </c>
    </row>
    <row r="54" customFormat="false" ht="15" hidden="false" customHeight="false" outlineLevel="0" collapsed="false">
      <c r="B54" s="13" t="str">
        <f aca="false">'Real 2025'!K67</f>
        <v>Oct</v>
      </c>
      <c r="C54" s="14" t="n">
        <f aca="false">'Real 2025'!C67</f>
        <v>3</v>
      </c>
      <c r="D54" s="12" t="n">
        <f aca="false">'Real 2025'!P67</f>
        <v>-67957.0616216217</v>
      </c>
      <c r="E54" s="12" t="n">
        <f aca="false">'Real 2025'!Q67</f>
        <v>-83401.2810810811</v>
      </c>
    </row>
    <row r="64" customFormat="false" ht="15" hidden="false" customHeight="false" outlineLevel="0" collapsed="false">
      <c r="B64" s="3" t="s">
        <v>140</v>
      </c>
      <c r="C64" s="3"/>
      <c r="D64" s="3"/>
      <c r="E64" s="3"/>
      <c r="F64" s="3"/>
      <c r="G64" s="3"/>
      <c r="H64" s="3"/>
      <c r="I64" s="3"/>
    </row>
    <row r="65" customFormat="false" ht="35.05" hidden="false" customHeight="false" outlineLevel="0" collapsed="false">
      <c r="B65" s="5" t="s">
        <v>136</v>
      </c>
      <c r="C65" s="5" t="s">
        <v>137</v>
      </c>
      <c r="D65" s="5" t="s">
        <v>138</v>
      </c>
      <c r="E65" s="5" t="s">
        <v>139</v>
      </c>
    </row>
    <row r="66" customFormat="false" ht="15" hidden="false" customHeight="false" outlineLevel="0" collapsed="false">
      <c r="B66" s="13" t="str">
        <f aca="false">'Real 2024'!K84</f>
        <v>Ene</v>
      </c>
      <c r="C66" s="14" t="n">
        <f aca="false">'Real 2024'!C84</f>
        <v>7</v>
      </c>
      <c r="D66" s="12" t="n">
        <f aca="false">'Real 2024'!P84</f>
        <v>140701.006756757</v>
      </c>
      <c r="E66" s="12" t="n">
        <f aca="false">'Real 2024'!Q84</f>
        <v>144343.267567568</v>
      </c>
    </row>
    <row r="67" customFormat="false" ht="15" hidden="false" customHeight="false" outlineLevel="0" collapsed="false">
      <c r="B67" s="13" t="str">
        <f aca="false">'Real 2024'!K85</f>
        <v>Feb</v>
      </c>
      <c r="C67" s="14" t="n">
        <f aca="false">'Real 2024'!C85</f>
        <v>8</v>
      </c>
      <c r="D67" s="12" t="n">
        <f aca="false">'Real 2024'!P85</f>
        <v>203847.217432432</v>
      </c>
      <c r="E67" s="12" t="n">
        <f aca="false">'Real 2024'!Q85</f>
        <v>189864.321621622</v>
      </c>
    </row>
    <row r="68" customFormat="false" ht="15" hidden="false" customHeight="false" outlineLevel="0" collapsed="false">
      <c r="B68" s="13" t="str">
        <f aca="false">'Real 2024'!K86</f>
        <v>Mar</v>
      </c>
      <c r="C68" s="14" t="n">
        <f aca="false">'Real 2024'!C86</f>
        <v>7</v>
      </c>
      <c r="D68" s="12" t="n">
        <f aca="false">'Real 2024'!P86</f>
        <v>40100.0656756756</v>
      </c>
      <c r="E68" s="12" t="n">
        <f aca="false">'Real 2024'!Q86</f>
        <v>38540.7472972972</v>
      </c>
    </row>
    <row r="69" customFormat="false" ht="15" hidden="false" customHeight="false" outlineLevel="0" collapsed="false">
      <c r="B69" s="13" t="str">
        <f aca="false">'Real 2024'!K87</f>
        <v>Abr</v>
      </c>
      <c r="C69" s="14" t="n">
        <f aca="false">'Real 2024'!C87</f>
        <v>7</v>
      </c>
      <c r="D69" s="12" t="n">
        <f aca="false">'Real 2024'!P87</f>
        <v>128726.014594595</v>
      </c>
      <c r="E69" s="12" t="n">
        <f aca="false">'Real 2024'!Q87</f>
        <v>121386.997297297</v>
      </c>
    </row>
    <row r="70" customFormat="false" ht="15" hidden="false" customHeight="false" outlineLevel="0" collapsed="false">
      <c r="B70" s="13" t="str">
        <f aca="false">'Real 2024'!K88</f>
        <v>May</v>
      </c>
      <c r="C70" s="14" t="n">
        <f aca="false">'Real 2024'!C88</f>
        <v>7</v>
      </c>
      <c r="D70" s="12" t="n">
        <f aca="false">'Real 2024'!P88</f>
        <v>139053.463378378</v>
      </c>
      <c r="E70" s="12" t="n">
        <f aca="false">'Real 2024'!Q88</f>
        <v>125627.598648649</v>
      </c>
    </row>
    <row r="71" customFormat="false" ht="15" hidden="false" customHeight="false" outlineLevel="0" collapsed="false">
      <c r="B71" s="13" t="str">
        <f aca="false">'Real 2024'!K89</f>
        <v>Jun</v>
      </c>
      <c r="C71" s="14" t="n">
        <f aca="false">'Real 2024'!C89</f>
        <v>9</v>
      </c>
      <c r="D71" s="12" t="n">
        <f aca="false">'Real 2024'!P89</f>
        <v>221429.574864865</v>
      </c>
      <c r="E71" s="12" t="n">
        <f aca="false">'Real 2024'!Q89</f>
        <v>190235.943243243</v>
      </c>
    </row>
    <row r="72" customFormat="false" ht="15" hidden="false" customHeight="false" outlineLevel="0" collapsed="false">
      <c r="B72" s="13" t="str">
        <f aca="false">'Real 2024'!K90</f>
        <v>Jul</v>
      </c>
      <c r="C72" s="14" t="n">
        <f aca="false">'Real 2024'!C90</f>
        <v>7</v>
      </c>
      <c r="D72" s="12" t="n">
        <f aca="false">'Real 2024'!P90</f>
        <v>187727.532297297</v>
      </c>
      <c r="E72" s="12" t="n">
        <f aca="false">'Real 2024'!Q90</f>
        <v>170482.910810811</v>
      </c>
    </row>
    <row r="73" customFormat="false" ht="15" hidden="false" customHeight="false" outlineLevel="0" collapsed="false">
      <c r="B73" s="13" t="str">
        <f aca="false">'Real 2024'!K91</f>
        <v>Ago</v>
      </c>
      <c r="C73" s="14" t="n">
        <f aca="false">'Real 2024'!C91</f>
        <v>3</v>
      </c>
      <c r="D73" s="12" t="n">
        <f aca="false">'Real 2024'!P91</f>
        <v>-53437.5064864865</v>
      </c>
      <c r="E73" s="12" t="n">
        <f aca="false">'Real 2024'!Q91</f>
        <v>-78797.3283783784</v>
      </c>
    </row>
    <row r="74" customFormat="false" ht="15" hidden="false" customHeight="false" outlineLevel="0" collapsed="false">
      <c r="B74" s="13" t="str">
        <f aca="false">'Real 2024'!K92</f>
        <v>Sep</v>
      </c>
      <c r="C74" s="14" t="n">
        <f aca="false">'Real 2024'!C92</f>
        <v>6</v>
      </c>
      <c r="D74" s="12" t="n">
        <f aca="false">'Real 2024'!P92</f>
        <v>78937.2151351352</v>
      </c>
      <c r="E74" s="12" t="n">
        <f aca="false">'Real 2024'!Q92</f>
        <v>73429.5108108108</v>
      </c>
    </row>
    <row r="75" customFormat="false" ht="15" hidden="false" customHeight="false" outlineLevel="0" collapsed="false">
      <c r="B75" s="13" t="str">
        <f aca="false">'Real 2024'!K93</f>
        <v>Oct</v>
      </c>
      <c r="C75" s="14" t="n">
        <f aca="false">'Real 2024'!C93</f>
        <v>6</v>
      </c>
      <c r="D75" s="12" t="n">
        <f aca="false">'Real 2024'!P93</f>
        <v>96773.5897297298</v>
      </c>
      <c r="E75" s="12" t="n">
        <f aca="false">'Real 2024'!Q93</f>
        <v>85855.7</v>
      </c>
    </row>
    <row r="76" customFormat="false" ht="15" hidden="false" customHeight="false" outlineLevel="0" collapsed="false">
      <c r="B76" s="13" t="str">
        <f aca="false">'Real 2024'!K94</f>
        <v>Nov</v>
      </c>
      <c r="C76" s="14" t="n">
        <f aca="false">'Real 2024'!C94</f>
        <v>3</v>
      </c>
      <c r="D76" s="12" t="n">
        <f aca="false">'Real 2024'!P94</f>
        <v>-47834.8994594595</v>
      </c>
      <c r="E76" s="12" t="n">
        <f aca="false">'Real 2024'!Q94</f>
        <v>-64344.7945945946</v>
      </c>
    </row>
    <row r="84" customFormat="false" ht="15" hidden="false" customHeight="false" outlineLevel="0" collapsed="false">
      <c r="B84" s="3" t="s">
        <v>141</v>
      </c>
      <c r="C84" s="3"/>
      <c r="D84" s="3"/>
      <c r="E84" s="3"/>
      <c r="F84" s="3"/>
      <c r="G84" s="3"/>
      <c r="H84" s="3"/>
      <c r="I84" s="3"/>
    </row>
    <row r="85" customFormat="false" ht="15" hidden="false" customHeight="false" outlineLevel="0" collapsed="false">
      <c r="B85" s="5" t="s">
        <v>142</v>
      </c>
      <c r="C85" s="5" t="s">
        <v>143</v>
      </c>
      <c r="D85" s="5" t="s">
        <v>144</v>
      </c>
    </row>
    <row r="86" customFormat="false" ht="15" hidden="false" customHeight="false" outlineLevel="0" collapsed="false">
      <c r="B86" s="10" t="s">
        <v>145</v>
      </c>
      <c r="C86" s="14" t="n">
        <f aca="false">COUNTIFS('Real 2024'!$C$84:$C$94,"&lt;=3")</f>
        <v>2</v>
      </c>
      <c r="D86" s="14" t="n">
        <f aca="false">COUNTIFS('Real 2025'!$C$59:$C$67,"&lt;=3")</f>
        <v>2</v>
      </c>
    </row>
    <row r="87" customFormat="false" ht="15" hidden="false" customHeight="false" outlineLevel="0" collapsed="false">
      <c r="B87" s="10" t="s">
        <v>114</v>
      </c>
      <c r="C87" s="14" t="n">
        <f aca="false">COUNTIFS('Real 2024'!$C$84:$C$94,"=4")</f>
        <v>0</v>
      </c>
      <c r="D87" s="14" t="n">
        <f aca="false">COUNTIFS('Real 2025'!$C$59:$C$67,"=4")</f>
        <v>1</v>
      </c>
    </row>
    <row r="88" customFormat="false" ht="15" hidden="false" customHeight="false" outlineLevel="0" collapsed="false">
      <c r="B88" s="10" t="s">
        <v>116</v>
      </c>
      <c r="C88" s="14" t="n">
        <f aca="false">COUNTIFS('Real 2024'!$C$84:$C$94,"=5")</f>
        <v>0</v>
      </c>
      <c r="D88" s="14" t="n">
        <f aca="false">COUNTIFS('Real 2025'!$C$59:$C$67,"=5")</f>
        <v>2</v>
      </c>
    </row>
    <row r="89" customFormat="false" ht="15" hidden="false" customHeight="false" outlineLevel="0" collapsed="false">
      <c r="B89" s="10" t="s">
        <v>146</v>
      </c>
      <c r="C89" s="14" t="n">
        <f aca="false">COUNTIFS('Real 2024'!$C$84:$C$94,"&gt;=6")</f>
        <v>9</v>
      </c>
      <c r="D89" s="14" t="n">
        <f aca="false">COUNTIFS('Real 2025'!$C$59:$C$67,"&gt;=6")</f>
        <v>4</v>
      </c>
    </row>
    <row r="91" customFormat="false" ht="15" hidden="false" customHeight="false" outlineLevel="0" collapsed="false">
      <c r="B91" s="2" t="s">
        <v>147</v>
      </c>
    </row>
  </sheetData>
  <mergeCells count="5">
    <mergeCell ref="B4:I4"/>
    <mergeCell ref="B24:I24"/>
    <mergeCell ref="B44:I44"/>
    <mergeCell ref="B64:I64"/>
    <mergeCell ref="B84:I8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P2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14" min="3" style="0" width="17"/>
    <col collapsed="false" customWidth="true" hidden="false" outlineLevel="0" max="16" min="15" style="0" width="14"/>
  </cols>
  <sheetData>
    <row r="1" customFormat="false" ht="17.35" hidden="false" customHeight="false" outlineLevel="0" collapsed="false">
      <c r="B1" s="1" t="s">
        <v>148</v>
      </c>
    </row>
    <row r="2" customFormat="false" ht="15" hidden="false" customHeight="false" outlineLevel="0" collapsed="false">
      <c r="B2" s="2" t="s">
        <v>149</v>
      </c>
    </row>
    <row r="3" customFormat="false" ht="15" hidden="false" customHeight="false" outlineLevel="0" collapsed="false">
      <c r="B3" s="2" t="s">
        <v>150</v>
      </c>
    </row>
    <row r="5" customFormat="false" ht="15" hidden="false" customHeight="false" outlineLevel="0" collapsed="false">
      <c r="B5" s="3" t="s">
        <v>151</v>
      </c>
      <c r="C5" s="3"/>
      <c r="D5" s="3"/>
      <c r="E5" s="3"/>
      <c r="F5" s="3"/>
      <c r="G5" s="3"/>
      <c r="H5" s="3"/>
      <c r="I5" s="3"/>
      <c r="K5" s="3" t="s">
        <v>152</v>
      </c>
      <c r="L5" s="3"/>
      <c r="M5" s="3"/>
      <c r="N5" s="3"/>
    </row>
    <row r="6" customFormat="false" ht="15" hidden="false" customHeight="false" outlineLevel="0" collapsed="false">
      <c r="B6" s="15" t="s">
        <v>153</v>
      </c>
      <c r="C6" s="15" t="s">
        <v>154</v>
      </c>
      <c r="D6" s="15" t="s">
        <v>155</v>
      </c>
      <c r="E6" s="15" t="s">
        <v>156</v>
      </c>
      <c r="F6" s="15" t="s">
        <v>7</v>
      </c>
      <c r="G6" s="15"/>
      <c r="H6" s="15"/>
      <c r="I6" s="15"/>
      <c r="K6" s="15" t="s">
        <v>153</v>
      </c>
      <c r="L6" s="15"/>
      <c r="M6" s="15"/>
      <c r="N6" s="15" t="s">
        <v>154</v>
      </c>
    </row>
    <row r="7" customFormat="false" ht="30" hidden="false" customHeight="true" outlineLevel="0" collapsed="false">
      <c r="B7" s="10" t="s">
        <v>157</v>
      </c>
      <c r="C7" s="16" t="n">
        <v>3700</v>
      </c>
      <c r="D7" s="10" t="s">
        <v>158</v>
      </c>
      <c r="E7" s="10" t="s">
        <v>159</v>
      </c>
      <c r="F7" s="10" t="s">
        <v>160</v>
      </c>
      <c r="G7" s="10"/>
      <c r="H7" s="10"/>
      <c r="I7" s="10"/>
      <c r="K7" s="6" t="s">
        <v>161</v>
      </c>
      <c r="L7" s="6"/>
      <c r="M7" s="6"/>
      <c r="N7" s="17" t="s">
        <v>162</v>
      </c>
    </row>
    <row r="8" customFormat="false" ht="30" hidden="false" customHeight="true" outlineLevel="0" collapsed="false">
      <c r="B8" s="10" t="s">
        <v>163</v>
      </c>
      <c r="C8" s="16" t="n">
        <v>34944</v>
      </c>
      <c r="D8" s="10" t="s">
        <v>164</v>
      </c>
      <c r="E8" s="10" t="s">
        <v>165</v>
      </c>
      <c r="F8" s="10" t="s">
        <v>166</v>
      </c>
      <c r="G8" s="10"/>
      <c r="H8" s="10"/>
      <c r="I8" s="10"/>
      <c r="K8" s="6" t="s">
        <v>167</v>
      </c>
      <c r="L8" s="6"/>
      <c r="M8" s="6"/>
      <c r="N8" s="18" t="n">
        <v>1087500</v>
      </c>
    </row>
    <row r="9" customFormat="false" ht="30" hidden="false" customHeight="true" outlineLevel="0" collapsed="false">
      <c r="B9" s="10" t="s">
        <v>168</v>
      </c>
      <c r="C9" s="19" t="n">
        <f aca="false">C8/24</f>
        <v>1456</v>
      </c>
      <c r="D9" s="10" t="s">
        <v>169</v>
      </c>
      <c r="E9" s="10" t="s">
        <v>170</v>
      </c>
      <c r="F9" s="10" t="s">
        <v>171</v>
      </c>
      <c r="G9" s="10"/>
      <c r="H9" s="10"/>
      <c r="I9" s="10"/>
      <c r="K9" s="6" t="s">
        <v>172</v>
      </c>
      <c r="L9" s="6"/>
      <c r="M9" s="6"/>
      <c r="N9" s="20" t="n">
        <v>0</v>
      </c>
    </row>
    <row r="10" customFormat="false" ht="30" hidden="false" customHeight="true" outlineLevel="0" collapsed="false">
      <c r="B10" s="10" t="s">
        <v>173</v>
      </c>
      <c r="C10" s="21" t="s">
        <v>111</v>
      </c>
      <c r="D10" s="10"/>
      <c r="E10" s="10" t="s">
        <v>174</v>
      </c>
      <c r="F10" s="10" t="s">
        <v>175</v>
      </c>
      <c r="G10" s="10"/>
      <c r="H10" s="10"/>
      <c r="I10" s="10"/>
      <c r="K10" s="6" t="s">
        <v>176</v>
      </c>
      <c r="L10" s="6"/>
      <c r="M10" s="6"/>
      <c r="N10" s="22" t="n">
        <v>0</v>
      </c>
    </row>
    <row r="11" customFormat="false" ht="30" hidden="false" customHeight="true" outlineLevel="0" collapsed="false">
      <c r="B11" s="10" t="s">
        <v>177</v>
      </c>
      <c r="C11" s="22" t="n">
        <v>0</v>
      </c>
      <c r="D11" s="10" t="s">
        <v>178</v>
      </c>
      <c r="E11" s="10" t="s">
        <v>159</v>
      </c>
      <c r="F11" s="10" t="s">
        <v>179</v>
      </c>
      <c r="G11" s="10"/>
      <c r="H11" s="10"/>
      <c r="I11" s="10"/>
      <c r="K11" s="6" t="s">
        <v>180</v>
      </c>
      <c r="L11" s="6"/>
      <c r="M11" s="6"/>
      <c r="N11" s="18" t="n">
        <v>600000</v>
      </c>
    </row>
    <row r="12" customFormat="false" ht="30" hidden="false" customHeight="true" outlineLevel="0" collapsed="false">
      <c r="B12" s="10" t="s">
        <v>181</v>
      </c>
      <c r="C12" s="22" t="n">
        <v>0</v>
      </c>
      <c r="D12" s="10" t="s">
        <v>178</v>
      </c>
      <c r="E12" s="10" t="s">
        <v>159</v>
      </c>
      <c r="F12" s="10" t="s">
        <v>182</v>
      </c>
      <c r="G12" s="10"/>
      <c r="H12" s="10"/>
      <c r="I12" s="10"/>
      <c r="K12" s="6" t="s">
        <v>183</v>
      </c>
      <c r="L12" s="6"/>
      <c r="M12" s="6"/>
      <c r="N12" s="23" t="n">
        <f aca="false">22.25*C30/45</f>
        <v>17.3055555555556</v>
      </c>
    </row>
    <row r="13" customFormat="false" ht="15" hidden="false" customHeight="false" outlineLevel="0" collapsed="false">
      <c r="B13" s="10" t="s">
        <v>184</v>
      </c>
      <c r="C13" s="22" t="n">
        <v>0</v>
      </c>
      <c r="D13" s="10" t="s">
        <v>178</v>
      </c>
      <c r="E13" s="10" t="s">
        <v>159</v>
      </c>
      <c r="F13" s="10" t="s">
        <v>185</v>
      </c>
      <c r="G13" s="10"/>
      <c r="H13" s="10"/>
      <c r="I13" s="10"/>
    </row>
    <row r="14" customFormat="false" ht="15" hidden="false" customHeight="false" outlineLevel="0" collapsed="false">
      <c r="B14" s="10" t="s">
        <v>186</v>
      </c>
      <c r="C14" s="16" t="n">
        <v>60000000</v>
      </c>
      <c r="D14" s="10" t="s">
        <v>187</v>
      </c>
      <c r="E14" s="10" t="s">
        <v>165</v>
      </c>
      <c r="F14" s="10" t="s">
        <v>188</v>
      </c>
      <c r="G14" s="10"/>
      <c r="H14" s="10"/>
      <c r="I14" s="10"/>
    </row>
    <row r="15" customFormat="false" ht="15" hidden="false" customHeight="false" outlineLevel="0" collapsed="false">
      <c r="B15" s="10" t="s">
        <v>189</v>
      </c>
      <c r="C15" s="24" t="n">
        <v>6</v>
      </c>
      <c r="D15" s="10" t="s">
        <v>190</v>
      </c>
      <c r="E15" s="10" t="s">
        <v>191</v>
      </c>
      <c r="F15" s="10" t="s">
        <v>192</v>
      </c>
      <c r="G15" s="10"/>
      <c r="H15" s="10"/>
      <c r="I15" s="10"/>
    </row>
    <row r="16" customFormat="false" ht="15" hidden="false" customHeight="false" outlineLevel="0" collapsed="false">
      <c r="B16" s="10" t="s">
        <v>193</v>
      </c>
      <c r="C16" s="17" t="s">
        <v>194</v>
      </c>
      <c r="D16" s="10"/>
      <c r="E16" s="10" t="s">
        <v>159</v>
      </c>
      <c r="F16" s="10" t="s">
        <v>195</v>
      </c>
      <c r="G16" s="10"/>
      <c r="H16" s="10"/>
      <c r="I16" s="10"/>
    </row>
    <row r="17" customFormat="false" ht="15" hidden="false" customHeight="false" outlineLevel="0" collapsed="false">
      <c r="B17" s="10" t="s">
        <v>196</v>
      </c>
      <c r="C17" s="25" t="n">
        <v>0.5</v>
      </c>
      <c r="D17" s="10" t="s">
        <v>178</v>
      </c>
      <c r="E17" s="10" t="s">
        <v>165</v>
      </c>
      <c r="F17" s="10" t="s">
        <v>197</v>
      </c>
      <c r="G17" s="10"/>
      <c r="H17" s="10"/>
      <c r="I17" s="10"/>
    </row>
    <row r="18" customFormat="false" ht="15" hidden="false" customHeight="false" outlineLevel="0" collapsed="false">
      <c r="B18" s="10" t="s">
        <v>198</v>
      </c>
      <c r="C18" s="22" t="n">
        <v>0.5</v>
      </c>
      <c r="D18" s="10" t="s">
        <v>178</v>
      </c>
      <c r="E18" s="10" t="s">
        <v>199</v>
      </c>
      <c r="F18" s="10" t="s">
        <v>200</v>
      </c>
      <c r="G18" s="10"/>
      <c r="H18" s="10"/>
      <c r="I18" s="10"/>
    </row>
    <row r="19" customFormat="false" ht="15" hidden="false" customHeight="false" outlineLevel="0" collapsed="false">
      <c r="B19" s="10" t="s">
        <v>201</v>
      </c>
      <c r="C19" s="24" t="n">
        <v>6</v>
      </c>
      <c r="D19" s="10" t="s">
        <v>202</v>
      </c>
      <c r="E19" s="10" t="s">
        <v>165</v>
      </c>
      <c r="F19" s="10" t="s">
        <v>203</v>
      </c>
      <c r="G19" s="10"/>
      <c r="H19" s="10"/>
      <c r="I19" s="10"/>
    </row>
    <row r="20" customFormat="false" ht="15" hidden="false" customHeight="false" outlineLevel="0" collapsed="false">
      <c r="B20" s="10" t="s">
        <v>204</v>
      </c>
      <c r="C20" s="24" t="n">
        <v>4</v>
      </c>
      <c r="D20" s="10" t="s">
        <v>205</v>
      </c>
      <c r="E20" s="10" t="s">
        <v>159</v>
      </c>
      <c r="F20" s="10" t="s">
        <v>206</v>
      </c>
      <c r="G20" s="10"/>
      <c r="H20" s="10"/>
      <c r="I20" s="10"/>
    </row>
    <row r="21" customFormat="false" ht="15" hidden="false" customHeight="false" outlineLevel="0" collapsed="false">
      <c r="B21" s="10" t="s">
        <v>207</v>
      </c>
      <c r="C21" s="16" t="n">
        <v>375000</v>
      </c>
      <c r="D21" s="10" t="s">
        <v>208</v>
      </c>
      <c r="E21" s="10" t="s">
        <v>165</v>
      </c>
      <c r="F21" s="10" t="s">
        <v>209</v>
      </c>
      <c r="G21" s="10"/>
      <c r="H21" s="10"/>
      <c r="I21" s="10"/>
    </row>
    <row r="22" customFormat="false" ht="15" hidden="false" customHeight="false" outlineLevel="0" collapsed="false">
      <c r="B22" s="10" t="s">
        <v>210</v>
      </c>
      <c r="C22" s="21" t="s">
        <v>162</v>
      </c>
      <c r="D22" s="10"/>
      <c r="E22" s="10" t="s">
        <v>211</v>
      </c>
      <c r="F22" s="10" t="s">
        <v>212</v>
      </c>
      <c r="G22" s="10"/>
      <c r="H22" s="10"/>
      <c r="I22" s="10"/>
    </row>
    <row r="23" customFormat="false" ht="15" hidden="false" customHeight="false" outlineLevel="0" collapsed="false">
      <c r="B23" s="10" t="s">
        <v>213</v>
      </c>
      <c r="C23" s="22" t="n">
        <v>0</v>
      </c>
      <c r="D23" s="10" t="s">
        <v>178</v>
      </c>
      <c r="E23" s="10" t="s">
        <v>214</v>
      </c>
      <c r="F23" s="10" t="s">
        <v>215</v>
      </c>
      <c r="G23" s="10"/>
      <c r="H23" s="10"/>
      <c r="I23" s="10"/>
    </row>
    <row r="25" customFormat="false" ht="15" hidden="false" customHeight="false" outlineLevel="0" collapsed="false">
      <c r="B25" s="3" t="s">
        <v>216</v>
      </c>
      <c r="C25" s="3"/>
      <c r="D25" s="3"/>
      <c r="E25" s="3"/>
      <c r="F25" s="3"/>
      <c r="G25" s="3"/>
      <c r="H25" s="3"/>
      <c r="I25" s="3"/>
    </row>
    <row r="26" customFormat="false" ht="15" hidden="false" customHeight="false" outlineLevel="0" collapsed="false">
      <c r="B26" s="15" t="s">
        <v>153</v>
      </c>
      <c r="C26" s="15" t="s">
        <v>154</v>
      </c>
      <c r="D26" s="15" t="s">
        <v>155</v>
      </c>
      <c r="E26" s="15" t="s">
        <v>156</v>
      </c>
      <c r="F26" s="15" t="s">
        <v>7</v>
      </c>
      <c r="G26" s="15"/>
      <c r="H26" s="15"/>
      <c r="I26" s="15"/>
    </row>
    <row r="27" customFormat="false" ht="15" hidden="false" customHeight="false" outlineLevel="0" collapsed="false">
      <c r="B27" s="10" t="s">
        <v>217</v>
      </c>
      <c r="C27" s="24" t="n">
        <v>15</v>
      </c>
      <c r="D27" s="10" t="s">
        <v>218</v>
      </c>
      <c r="E27" s="10" t="s">
        <v>159</v>
      </c>
      <c r="F27" s="10" t="s">
        <v>219</v>
      </c>
      <c r="G27" s="10"/>
      <c r="H27" s="10"/>
      <c r="I27" s="10"/>
    </row>
    <row r="28" customFormat="false" ht="15" hidden="false" customHeight="false" outlineLevel="0" collapsed="false">
      <c r="B28" s="10" t="s">
        <v>220</v>
      </c>
      <c r="C28" s="24" t="n">
        <v>20</v>
      </c>
      <c r="D28" s="10" t="s">
        <v>218</v>
      </c>
      <c r="E28" s="10" t="s">
        <v>159</v>
      </c>
      <c r="F28" s="10" t="s">
        <v>219</v>
      </c>
      <c r="G28" s="10"/>
      <c r="H28" s="10"/>
      <c r="I28" s="10"/>
    </row>
    <row r="29" customFormat="false" ht="25.5" hidden="false" customHeight="true" outlineLevel="0" collapsed="false">
      <c r="B29" s="6" t="s">
        <v>221</v>
      </c>
      <c r="C29" s="20" t="n">
        <v>2</v>
      </c>
      <c r="D29" s="10" t="str">
        <f aca="false">INDEX({"Misma localización","0,1–5 km","5–10 km","Más de 10 km"},C29)</f>
        <v>0,1–5 km</v>
      </c>
      <c r="E29" s="10" t="s">
        <v>159</v>
      </c>
      <c r="F29" s="10" t="s">
        <v>222</v>
      </c>
      <c r="G29" s="10"/>
      <c r="H29" s="10"/>
      <c r="I29" s="10"/>
    </row>
    <row r="30" customFormat="false" ht="15" hidden="false" customHeight="false" outlineLevel="0" collapsed="false">
      <c r="B30" s="10" t="s">
        <v>223</v>
      </c>
      <c r="C30" s="26" t="n">
        <f aca="false">C27+C28</f>
        <v>35</v>
      </c>
      <c r="D30" s="10" t="s">
        <v>218</v>
      </c>
      <c r="E30" s="10" t="s">
        <v>170</v>
      </c>
      <c r="F30" s="10" t="s">
        <v>224</v>
      </c>
      <c r="G30" s="10"/>
      <c r="H30" s="10"/>
      <c r="I30" s="10"/>
    </row>
    <row r="31" customFormat="false" ht="15" hidden="false" customHeight="false" outlineLevel="0" collapsed="false">
      <c r="B31" s="10" t="s">
        <v>225</v>
      </c>
      <c r="C31" s="17" t="s">
        <v>226</v>
      </c>
      <c r="D31" s="10"/>
      <c r="E31" s="10" t="s">
        <v>159</v>
      </c>
      <c r="F31" s="10" t="s">
        <v>227</v>
      </c>
      <c r="G31" s="10"/>
      <c r="H31" s="10"/>
      <c r="I31" s="10"/>
    </row>
    <row r="32" customFormat="false" ht="15" hidden="false" customHeight="false" outlineLevel="0" collapsed="false">
      <c r="B32" s="10" t="s">
        <v>228</v>
      </c>
      <c r="C32" s="27" t="n">
        <v>5</v>
      </c>
      <c r="D32" s="10" t="s">
        <v>190</v>
      </c>
      <c r="E32" s="10" t="s">
        <v>159</v>
      </c>
      <c r="F32" s="10" t="s">
        <v>229</v>
      </c>
      <c r="G32" s="10"/>
      <c r="H32" s="10"/>
      <c r="I32" s="10"/>
    </row>
    <row r="33" customFormat="false" ht="15" hidden="false" customHeight="false" outlineLevel="0" collapsed="false">
      <c r="B33" s="10" t="s">
        <v>230</v>
      </c>
      <c r="C33" s="24" t="n">
        <v>7</v>
      </c>
      <c r="D33" s="24" t="n">
        <v>8</v>
      </c>
      <c r="E33" s="24" t="n">
        <v>7</v>
      </c>
      <c r="F33" s="24" t="n">
        <v>7</v>
      </c>
      <c r="G33" s="24" t="n">
        <v>7</v>
      </c>
      <c r="H33" s="24" t="n">
        <v>9</v>
      </c>
      <c r="I33" s="24" t="n">
        <v>7</v>
      </c>
      <c r="J33" s="24" t="n">
        <v>3</v>
      </c>
      <c r="K33" s="24" t="n">
        <v>6</v>
      </c>
      <c r="L33" s="24" t="n">
        <v>6</v>
      </c>
      <c r="M33" s="24" t="n">
        <v>3</v>
      </c>
    </row>
    <row r="34" customFormat="false" ht="15" hidden="false" customHeight="false" outlineLevel="0" collapsed="false">
      <c r="B34" s="10" t="s">
        <v>231</v>
      </c>
      <c r="C34" s="24" t="n">
        <v>1</v>
      </c>
      <c r="D34" s="24" t="n">
        <v>4</v>
      </c>
      <c r="E34" s="24" t="n">
        <v>7</v>
      </c>
      <c r="F34" s="24" t="n">
        <v>5</v>
      </c>
      <c r="G34" s="24" t="n">
        <v>6</v>
      </c>
      <c r="H34" s="24" t="n">
        <v>7</v>
      </c>
      <c r="I34" s="24" t="n">
        <v>7</v>
      </c>
      <c r="J34" s="24" t="n">
        <v>5</v>
      </c>
      <c r="K34" s="24" t="n">
        <v>3</v>
      </c>
    </row>
    <row r="35" customFormat="false" ht="27.75" hidden="false" customHeight="true" outlineLevel="0" collapsed="false">
      <c r="B35" s="28" t="s">
        <v>232</v>
      </c>
      <c r="C35" s="28"/>
      <c r="D35" s="28"/>
      <c r="E35" s="28"/>
      <c r="F35" s="28"/>
      <c r="G35" s="28"/>
      <c r="H35" s="28"/>
      <c r="I35" s="28"/>
      <c r="J35" s="28"/>
      <c r="K35" s="28"/>
      <c r="L35" s="28"/>
      <c r="M35" s="28"/>
    </row>
    <row r="37" customFormat="false" ht="15" hidden="false" customHeight="false" outlineLevel="0" collapsed="false">
      <c r="B37" s="3" t="s">
        <v>233</v>
      </c>
      <c r="C37" s="3"/>
      <c r="D37" s="3"/>
      <c r="E37" s="3"/>
      <c r="F37" s="3"/>
      <c r="G37" s="3"/>
      <c r="H37" s="3"/>
      <c r="I37" s="3"/>
    </row>
    <row r="38" customFormat="false" ht="15" hidden="false" customHeight="false" outlineLevel="0" collapsed="false">
      <c r="B38" s="15" t="s">
        <v>124</v>
      </c>
      <c r="C38" s="15" t="s">
        <v>234</v>
      </c>
      <c r="D38" s="15" t="s">
        <v>235</v>
      </c>
      <c r="E38" s="15" t="s">
        <v>236</v>
      </c>
      <c r="F38" s="15" t="s">
        <v>237</v>
      </c>
      <c r="G38" s="15" t="s">
        <v>156</v>
      </c>
      <c r="H38" s="15" t="s">
        <v>7</v>
      </c>
      <c r="I38" s="15"/>
    </row>
    <row r="39" customFormat="false" ht="15" hidden="false" customHeight="false" outlineLevel="0" collapsed="false">
      <c r="B39" s="10" t="s">
        <v>238</v>
      </c>
      <c r="C39" s="23" t="n">
        <v>12</v>
      </c>
      <c r="D39" s="23" t="n">
        <v>18</v>
      </c>
      <c r="E39" s="23" t="n">
        <v>24</v>
      </c>
      <c r="F39" s="23" t="n">
        <v>28</v>
      </c>
      <c r="G39" s="10" t="s">
        <v>239</v>
      </c>
      <c r="H39" s="10" t="s">
        <v>240</v>
      </c>
      <c r="I39" s="10"/>
    </row>
    <row r="40" customFormat="false" ht="15" hidden="false" customHeight="false" outlineLevel="0" collapsed="false">
      <c r="B40" s="10" t="s">
        <v>241</v>
      </c>
      <c r="C40" s="23" t="n">
        <v>0</v>
      </c>
      <c r="D40" s="23" t="n">
        <v>0</v>
      </c>
      <c r="E40" s="23" t="n">
        <v>0</v>
      </c>
      <c r="F40" s="23" t="n">
        <v>0</v>
      </c>
      <c r="G40" s="10" t="s">
        <v>242</v>
      </c>
      <c r="H40" s="10" t="s">
        <v>243</v>
      </c>
      <c r="I40" s="10"/>
    </row>
    <row r="41" customFormat="false" ht="15" hidden="false" customHeight="false" outlineLevel="0" collapsed="false">
      <c r="B41" s="10" t="s">
        <v>244</v>
      </c>
      <c r="C41" s="24" t="n">
        <v>12</v>
      </c>
      <c r="D41" s="24" t="n">
        <v>24</v>
      </c>
      <c r="E41" s="24" t="n">
        <v>36</v>
      </c>
      <c r="F41" s="24" t="n">
        <v>36</v>
      </c>
      <c r="G41" s="10" t="s">
        <v>245</v>
      </c>
      <c r="H41" s="10" t="s">
        <v>246</v>
      </c>
      <c r="I41" s="10"/>
    </row>
    <row r="42" customFormat="false" ht="15" hidden="false" customHeight="false" outlineLevel="0" collapsed="false">
      <c r="B42" s="10" t="s">
        <v>247</v>
      </c>
      <c r="C42" s="24" t="n">
        <v>1</v>
      </c>
      <c r="D42" s="24" t="n">
        <v>2</v>
      </c>
      <c r="E42" s="24" t="n">
        <v>2</v>
      </c>
      <c r="F42" s="24" t="n">
        <v>2</v>
      </c>
      <c r="G42" s="10" t="s">
        <v>159</v>
      </c>
      <c r="H42" s="10" t="s">
        <v>248</v>
      </c>
      <c r="I42" s="10"/>
    </row>
    <row r="43" customFormat="false" ht="15" hidden="false" customHeight="false" outlineLevel="0" collapsed="false">
      <c r="B43" s="10" t="s">
        <v>249</v>
      </c>
      <c r="C43" s="16" t="n">
        <v>75642</v>
      </c>
      <c r="D43" s="16" t="n">
        <v>98663</v>
      </c>
      <c r="E43" s="16" t="n">
        <v>95374</v>
      </c>
      <c r="F43" s="16" t="n">
        <v>110174</v>
      </c>
      <c r="G43" s="10" t="s">
        <v>159</v>
      </c>
      <c r="H43" s="10" t="s">
        <v>250</v>
      </c>
      <c r="I43" s="10"/>
    </row>
    <row r="44" customFormat="false" ht="15" hidden="false" customHeight="false" outlineLevel="0" collapsed="false">
      <c r="B44" s="10" t="s">
        <v>251</v>
      </c>
      <c r="C44" s="16" t="n">
        <v>140385441</v>
      </c>
      <c r="D44" s="16" t="n">
        <v>220853084</v>
      </c>
      <c r="E44" s="16" t="n">
        <v>238462998</v>
      </c>
      <c r="F44" s="16" t="n">
        <v>246462998</v>
      </c>
      <c r="G44" s="10" t="s">
        <v>165</v>
      </c>
      <c r="H44" s="10" t="s">
        <v>252</v>
      </c>
      <c r="I44" s="10"/>
    </row>
    <row r="45" customFormat="false" ht="15" hidden="false" customHeight="false" outlineLevel="0" collapsed="false">
      <c r="B45" s="10" t="s">
        <v>253</v>
      </c>
      <c r="C45" s="16" t="n">
        <v>178363885</v>
      </c>
      <c r="D45" s="16" t="n">
        <v>304284690</v>
      </c>
      <c r="E45" s="16" t="n">
        <v>373649874</v>
      </c>
      <c r="F45" s="16" t="n">
        <v>414800928</v>
      </c>
      <c r="G45" s="10" t="s">
        <v>165</v>
      </c>
      <c r="H45" s="10" t="s">
        <v>254</v>
      </c>
      <c r="I45" s="10"/>
    </row>
    <row r="46" customFormat="false" ht="15" hidden="false" customHeight="false" outlineLevel="0" collapsed="false">
      <c r="B46" s="10" t="s">
        <v>255</v>
      </c>
      <c r="C46" s="16" t="n">
        <v>140233002</v>
      </c>
      <c r="D46" s="16" t="n">
        <v>207703002</v>
      </c>
      <c r="E46" s="16" t="n">
        <v>249003002</v>
      </c>
      <c r="F46" s="16" t="n">
        <v>253060002</v>
      </c>
      <c r="G46" s="10" t="s">
        <v>165</v>
      </c>
      <c r="H46" s="10" t="s">
        <v>256</v>
      </c>
      <c r="I46" s="10"/>
    </row>
    <row r="47" customFormat="false" ht="15" hidden="false" customHeight="false" outlineLevel="0" collapsed="false">
      <c r="B47" s="10" t="s">
        <v>257</v>
      </c>
      <c r="C47" s="18" t="n">
        <v>123180000</v>
      </c>
      <c r="D47" s="16" t="n">
        <v>123180000</v>
      </c>
      <c r="E47" s="16" t="n">
        <v>139005000</v>
      </c>
      <c r="F47" s="16" t="n">
        <v>167055000</v>
      </c>
      <c r="G47" s="10" t="s">
        <v>258</v>
      </c>
      <c r="H47" s="10" t="s">
        <v>259</v>
      </c>
      <c r="I47" s="10"/>
    </row>
    <row r="49" customFormat="false" ht="15" hidden="false" customHeight="false" outlineLevel="0" collapsed="false">
      <c r="B49" s="15" t="s">
        <v>260</v>
      </c>
    </row>
    <row r="50" customFormat="false" ht="15" hidden="false" customHeight="false" outlineLevel="0" collapsed="false">
      <c r="B50" s="10" t="s">
        <v>261</v>
      </c>
      <c r="C50" s="19" t="n">
        <f aca="false">IF($C$22="Sí",$C$20*$C$21*C42/$C$7,0)</f>
        <v>405.405405405405</v>
      </c>
      <c r="D50" s="19" t="n">
        <f aca="false">IF($C$22="Sí",$C$20*$C$21*D42/$C$7,0)</f>
        <v>810.810810810811</v>
      </c>
      <c r="E50" s="19" t="n">
        <f aca="false">IF($C$22="Sí",$C$20*$C$21*E42/$C$7,0)</f>
        <v>810.810810810811</v>
      </c>
      <c r="F50" s="19" t="n">
        <f aca="false">IF($C$22="Sí",$C$20*$C$21*F42/$C$7,0)</f>
        <v>810.810810810811</v>
      </c>
      <c r="G50" s="10" t="s">
        <v>262</v>
      </c>
      <c r="H50" s="10"/>
      <c r="I50" s="10"/>
    </row>
    <row r="51" customFormat="false" ht="15" hidden="false" customHeight="false" outlineLevel="0" collapsed="false">
      <c r="B51" s="29" t="s">
        <v>263</v>
      </c>
      <c r="C51" s="30" t="n">
        <f aca="false">C43*(1+$C$13+$N$10)+C50</f>
        <v>76047.4054054054</v>
      </c>
      <c r="D51" s="30" t="n">
        <f aca="false">D43*(1+$C$13+$N$10)+D50</f>
        <v>99473.8108108108</v>
      </c>
      <c r="E51" s="30" t="n">
        <f aca="false">E43*(1+$C$13+$N$10)+E50</f>
        <v>96184.8108108108</v>
      </c>
      <c r="F51" s="30" t="n">
        <f aca="false">F43*(1+$C$13+$N$10)+F50</f>
        <v>110984.810810811</v>
      </c>
    </row>
    <row r="52" customFormat="false" ht="15" hidden="false" customHeight="false" outlineLevel="0" collapsed="false">
      <c r="B52" s="15" t="s">
        <v>264</v>
      </c>
    </row>
    <row r="53" customFormat="false" ht="15" hidden="false" customHeight="false" outlineLevel="0" collapsed="false">
      <c r="B53" s="10" t="s">
        <v>265</v>
      </c>
      <c r="C53" s="11" t="n">
        <f aca="false">(C39+C40)*$C$9</f>
        <v>17472</v>
      </c>
      <c r="D53" s="11" t="n">
        <f aca="false">(D39+D40)*$C$9</f>
        <v>26208</v>
      </c>
      <c r="E53" s="11" t="n">
        <f aca="false">(E39+E40)*$C$9</f>
        <v>34944</v>
      </c>
      <c r="F53" s="11" t="n">
        <f aca="false">(F39+F40)*$C$9</f>
        <v>40768</v>
      </c>
      <c r="G53" s="10" t="s">
        <v>266</v>
      </c>
      <c r="H53" s="10"/>
      <c r="I53" s="10"/>
    </row>
    <row r="54" customFormat="false" ht="15" hidden="false" customHeight="false" outlineLevel="0" collapsed="false">
      <c r="B54" s="10" t="s">
        <v>267</v>
      </c>
      <c r="C54" s="19" t="n">
        <f aca="false">IF($C$16="Mensual fijo",0,$C$14/$C$7/$C$15)</f>
        <v>0</v>
      </c>
      <c r="D54" s="19" t="n">
        <f aca="false">IF($C$16="Mensual fijo",0,$C$14/$C$7/$C$15)</f>
        <v>0</v>
      </c>
      <c r="E54" s="19" t="n">
        <f aca="false">IF($C$16="Mensual fijo",0,$C$14/$C$7/$C$15)</f>
        <v>0</v>
      </c>
      <c r="F54" s="19" t="n">
        <f aca="false">IF($C$16="Mensual fijo",0,$C$14/$C$7/$C$15)</f>
        <v>0</v>
      </c>
      <c r="G54" s="10" t="s">
        <v>268</v>
      </c>
      <c r="H54" s="10"/>
      <c r="I54" s="10"/>
    </row>
    <row r="55" customFormat="false" ht="15" hidden="false" customHeight="false" outlineLevel="0" collapsed="false">
      <c r="B55" s="10" t="s">
        <v>269</v>
      </c>
      <c r="C55" s="11" t="n">
        <f aca="false">C44/$C$7*(1+$C$11)</f>
        <v>37942.0110810811</v>
      </c>
      <c r="D55" s="11" t="n">
        <f aca="false">D44/$C$7*(1+$C$11)</f>
        <v>59690.0227027027</v>
      </c>
      <c r="E55" s="11" t="n">
        <f aca="false">E44/$C$7*(1+$C$11)</f>
        <v>64449.4589189189</v>
      </c>
      <c r="F55" s="11" t="n">
        <f aca="false">F44/$C$7*(1+$C$11)</f>
        <v>66611.6210810811</v>
      </c>
    </row>
    <row r="56" customFormat="false" ht="15" hidden="false" customHeight="false" outlineLevel="0" collapsed="false">
      <c r="B56" s="10" t="s">
        <v>270</v>
      </c>
      <c r="C56" s="11" t="n">
        <f aca="false">C55*(1-$C$17)</f>
        <v>18971.0055405405</v>
      </c>
      <c r="D56" s="11" t="n">
        <f aca="false">D55*(1-$C$17)</f>
        <v>29845.0113513514</v>
      </c>
      <c r="E56" s="11" t="n">
        <f aca="false">E55*(1-$C$17)</f>
        <v>32224.7294594595</v>
      </c>
      <c r="F56" s="11" t="n">
        <f aca="false">F55*(1-$C$17)</f>
        <v>33305.8105405405</v>
      </c>
    </row>
    <row r="57" customFormat="false" ht="15" hidden="false" customHeight="false" outlineLevel="0" collapsed="false">
      <c r="B57" s="10" t="s">
        <v>271</v>
      </c>
      <c r="C57" s="11" t="n">
        <f aca="false">C45/$C$7*(1+$C$12)</f>
        <v>48206.4554054054</v>
      </c>
      <c r="D57" s="11" t="n">
        <f aca="false">D45/$C$7*(1+$C$12)</f>
        <v>82239.1054054054</v>
      </c>
      <c r="E57" s="11" t="n">
        <f aca="false">E45/$C$7*(1+$C$12)</f>
        <v>100986.452432432</v>
      </c>
      <c r="F57" s="11" t="n">
        <f aca="false">F45/$C$7*(1+$C$12)</f>
        <v>112108.358918919</v>
      </c>
    </row>
    <row r="58" customFormat="false" ht="15" hidden="false" customHeight="false" outlineLevel="0" collapsed="false">
      <c r="B58" s="10" t="s">
        <v>272</v>
      </c>
      <c r="C58" s="11" t="n">
        <f aca="false">C57*(1-$C$18)</f>
        <v>24103.2277027027</v>
      </c>
      <c r="D58" s="11" t="n">
        <f aca="false">D57*(1-$C$18)</f>
        <v>41119.5527027027</v>
      </c>
      <c r="E58" s="11" t="n">
        <f aca="false">E57*(1-$C$18)</f>
        <v>50493.2262162162</v>
      </c>
      <c r="F58" s="11" t="n">
        <f aca="false">F57*(1-$C$18)</f>
        <v>56054.1794594595</v>
      </c>
    </row>
    <row r="59" customFormat="false" ht="15" hidden="false" customHeight="false" outlineLevel="0" collapsed="false">
      <c r="B59" s="10" t="s">
        <v>273</v>
      </c>
      <c r="C59" s="11" t="n">
        <f aca="false">C46/$C$7*(1+$C$11)</f>
        <v>37900.8113513514</v>
      </c>
      <c r="D59" s="11" t="n">
        <f aca="false">D46/$C$7*(1+$C$11)</f>
        <v>56135.9464864865</v>
      </c>
      <c r="E59" s="11" t="n">
        <f aca="false">E46/$C$7*(1+$C$11)</f>
        <v>67298.1086486487</v>
      </c>
      <c r="F59" s="11" t="n">
        <f aca="false">F46/$C$7*(1+$C$11)</f>
        <v>68394.5951351351</v>
      </c>
    </row>
    <row r="60" customFormat="false" ht="15" hidden="false" customHeight="false" outlineLevel="0" collapsed="false">
      <c r="B60" s="10" t="s">
        <v>274</v>
      </c>
      <c r="C60" s="11" t="n">
        <f aca="false">C47/$C$7*(1+$C$11)</f>
        <v>33291.8918918919</v>
      </c>
      <c r="D60" s="11" t="n">
        <f aca="false">D47/$C$7*(1+$C$11)</f>
        <v>33291.8918918919</v>
      </c>
      <c r="E60" s="11" t="n">
        <f aca="false">E47/$C$7*(1+$C$11)</f>
        <v>37568.9189189189</v>
      </c>
      <c r="F60" s="11" t="n">
        <f aca="false">F47/$C$7*(1+$C$11)</f>
        <v>45150</v>
      </c>
    </row>
    <row r="61" customFormat="false" ht="15" hidden="false" customHeight="false" outlineLevel="0" collapsed="false">
      <c r="B61" s="15" t="s">
        <v>275</v>
      </c>
    </row>
    <row r="62" customFormat="false" ht="15" hidden="false" customHeight="false" outlineLevel="0" collapsed="false">
      <c r="B62" s="29" t="s">
        <v>276</v>
      </c>
      <c r="C62" s="30" t="n">
        <f aca="false">C55+C53+C54+C69</f>
        <v>55414.0110810811</v>
      </c>
      <c r="D62" s="30" t="n">
        <f aca="false">D55+D53+D54+D69</f>
        <v>85898.0227027027</v>
      </c>
      <c r="E62" s="30" t="n">
        <f aca="false">E55+E53+E54+E69</f>
        <v>99393.4589189189</v>
      </c>
      <c r="F62" s="30" t="n">
        <f aca="false">F55+F53+F54+F69</f>
        <v>107379.621081081</v>
      </c>
    </row>
    <row r="63" customFormat="false" ht="15" hidden="false" customHeight="false" outlineLevel="0" collapsed="false">
      <c r="B63" s="29" t="s">
        <v>277</v>
      </c>
      <c r="C63" s="30" t="n">
        <f aca="false">C56+C53+C54+C69</f>
        <v>36443.0055405405</v>
      </c>
      <c r="D63" s="30" t="n">
        <f aca="false">D56+D53+D54+D69</f>
        <v>56053.0113513514</v>
      </c>
      <c r="E63" s="30" t="n">
        <f aca="false">E56+E53+E54+E69</f>
        <v>67168.7294594595</v>
      </c>
      <c r="F63" s="30" t="n">
        <f aca="false">F56+F53+F54+F69</f>
        <v>74073.8105405406</v>
      </c>
    </row>
    <row r="64" customFormat="false" ht="15" hidden="false" customHeight="false" outlineLevel="0" collapsed="false">
      <c r="B64" s="29" t="s">
        <v>278</v>
      </c>
      <c r="C64" s="30" t="n">
        <f aca="false">C57+C53+C54+C69</f>
        <v>65678.4554054054</v>
      </c>
      <c r="D64" s="30" t="n">
        <f aca="false">D57+D53+D54+D69</f>
        <v>108447.105405405</v>
      </c>
      <c r="E64" s="30" t="n">
        <f aca="false">E57+E53+E54+E69</f>
        <v>135930.452432432</v>
      </c>
      <c r="F64" s="30" t="n">
        <f aca="false">F57+F53+F54+F69</f>
        <v>152876.358918919</v>
      </c>
    </row>
    <row r="65" customFormat="false" ht="15" hidden="false" customHeight="false" outlineLevel="0" collapsed="false">
      <c r="B65" s="29" t="s">
        <v>279</v>
      </c>
      <c r="C65" s="30" t="n">
        <f aca="false">C58+C53+C54+C69</f>
        <v>41575.2277027027</v>
      </c>
      <c r="D65" s="30" t="n">
        <f aca="false">D58+D53+D54+D69</f>
        <v>67327.5527027027</v>
      </c>
      <c r="E65" s="30" t="n">
        <f aca="false">E58+E53+E54+E69</f>
        <v>85437.2262162162</v>
      </c>
      <c r="F65" s="30" t="n">
        <f aca="false">F58+F53+F54+F69</f>
        <v>96822.1794594595</v>
      </c>
    </row>
    <row r="66" customFormat="false" ht="15" hidden="false" customHeight="false" outlineLevel="0" collapsed="false">
      <c r="B66" s="29" t="s">
        <v>280</v>
      </c>
      <c r="C66" s="30" t="n">
        <f aca="false">C59+C53+C54+C69</f>
        <v>55372.8113513514</v>
      </c>
      <c r="D66" s="30" t="n">
        <f aca="false">D59+D53+D54+D69</f>
        <v>82343.9464864865</v>
      </c>
      <c r="E66" s="30" t="n">
        <f aca="false">E59+E53+E54+E69</f>
        <v>102242.108648649</v>
      </c>
      <c r="F66" s="30" t="n">
        <f aca="false">F59+F53+F54+F69</f>
        <v>109162.595135135</v>
      </c>
    </row>
    <row r="67" customFormat="false" ht="15" hidden="false" customHeight="false" outlineLevel="0" collapsed="false">
      <c r="B67" s="29" t="s">
        <v>281</v>
      </c>
      <c r="C67" s="30" t="n">
        <f aca="false">C60+C53+C54+C69</f>
        <v>50763.8918918919</v>
      </c>
      <c r="D67" s="30" t="n">
        <f aca="false">D60+D53+D54+D69</f>
        <v>59499.8918918919</v>
      </c>
      <c r="E67" s="30" t="n">
        <f aca="false">E60+E53+E54+E69</f>
        <v>72512.9189189189</v>
      </c>
      <c r="F67" s="30" t="n">
        <f aca="false">F60+F53+F54+F69</f>
        <v>85918</v>
      </c>
    </row>
    <row r="68" customFormat="false" ht="15" hidden="false" customHeight="false" outlineLevel="0" collapsed="false">
      <c r="B68" s="10" t="s">
        <v>282</v>
      </c>
      <c r="C68" s="18" t="n">
        <v>3934000</v>
      </c>
      <c r="D68" s="18" t="n">
        <v>3934000</v>
      </c>
      <c r="E68" s="18" t="n">
        <v>3934000</v>
      </c>
      <c r="F68" s="18" t="n">
        <v>3934000</v>
      </c>
      <c r="G68" s="10" t="s">
        <v>283</v>
      </c>
      <c r="H68" s="10" t="s">
        <v>284</v>
      </c>
      <c r="I68" s="10"/>
    </row>
    <row r="69" customFormat="false" ht="15" hidden="false" customHeight="false" outlineLevel="0" collapsed="false">
      <c r="B69" s="10" t="s">
        <v>285</v>
      </c>
      <c r="C69" s="11" t="n">
        <f aca="false">IF($N$7="Sí",MAX(0,C39+C40-C41)*(C68+$N$8)/$C$7,0)</f>
        <v>0</v>
      </c>
      <c r="D69" s="11" t="n">
        <f aca="false">IF($N$7="Sí",MAX(0,D39+D40-D41)*(D68+$N$8)/$C$7,0)</f>
        <v>0</v>
      </c>
      <c r="E69" s="11" t="n">
        <f aca="false">IF($N$7="Sí",MAX(0,E39+E40-E41)*(E68+$N$8)/$C$7,0)</f>
        <v>0</v>
      </c>
      <c r="F69" s="11" t="n">
        <f aca="false">IF($N$7="Sí",MAX(0,F39+F40-F41)*(F68+$N$8)/$C$7,0)</f>
        <v>0</v>
      </c>
      <c r="G69" s="10" t="s">
        <v>286</v>
      </c>
      <c r="H69" s="10"/>
      <c r="I69" s="10"/>
    </row>
    <row r="70" customFormat="false" ht="15" hidden="false" customHeight="false" outlineLevel="0" collapsed="false">
      <c r="B70" s="3" t="s">
        <v>287</v>
      </c>
      <c r="C70" s="3"/>
      <c r="D70" s="3"/>
      <c r="E70" s="3"/>
      <c r="F70" s="3"/>
      <c r="G70" s="3"/>
      <c r="H70" s="3"/>
      <c r="I70" s="3"/>
    </row>
    <row r="71" customFormat="false" ht="15" hidden="false" customHeight="false" outlineLevel="0" collapsed="false">
      <c r="B71" s="15" t="s">
        <v>142</v>
      </c>
      <c r="C71" s="15" t="s">
        <v>288</v>
      </c>
      <c r="D71" s="15" t="s">
        <v>289</v>
      </c>
      <c r="E71" s="15" t="s">
        <v>290</v>
      </c>
      <c r="F71" s="15" t="s">
        <v>35</v>
      </c>
      <c r="G71" s="15" t="s">
        <v>7</v>
      </c>
      <c r="H71" s="15"/>
      <c r="I71" s="15"/>
    </row>
    <row r="72" customFormat="false" ht="15" hidden="false" customHeight="false" outlineLevel="0" collapsed="false">
      <c r="B72" s="26" t="n">
        <v>0</v>
      </c>
      <c r="C72" s="16" t="n">
        <v>594780000</v>
      </c>
      <c r="D72" s="16" t="n">
        <v>837374835</v>
      </c>
      <c r="E72" s="11" t="n">
        <f aca="false">C72/$C$7</f>
        <v>160751.351351351</v>
      </c>
      <c r="F72" s="11" t="n">
        <f aca="false">D72/$C$7</f>
        <v>226317.522972973</v>
      </c>
      <c r="G72" s="10" t="s">
        <v>291</v>
      </c>
      <c r="H72" s="10"/>
      <c r="I72" s="10"/>
    </row>
    <row r="73" customFormat="false" ht="15" hidden="false" customHeight="false" outlineLevel="0" collapsed="false">
      <c r="B73" s="26" t="n">
        <v>1</v>
      </c>
      <c r="C73" s="16" t="n">
        <v>494879522</v>
      </c>
      <c r="D73" s="16" t="n">
        <v>669899868</v>
      </c>
      <c r="E73" s="11" t="n">
        <f aca="false">C73/$C$7</f>
        <v>133751.222162162</v>
      </c>
      <c r="F73" s="11" t="n">
        <f aca="false">D73/$C$7</f>
        <v>181054.018378378</v>
      </c>
      <c r="G73" s="10" t="s">
        <v>292</v>
      </c>
      <c r="H73" s="10"/>
      <c r="I73" s="10"/>
    </row>
    <row r="74" customFormat="false" ht="15" hidden="false" customHeight="false" outlineLevel="0" collapsed="false">
      <c r="B74" s="26" t="n">
        <v>2</v>
      </c>
      <c r="C74" s="16" t="n">
        <v>352015000</v>
      </c>
      <c r="D74" s="16" t="n">
        <v>502424901</v>
      </c>
      <c r="E74" s="11" t="n">
        <f aca="false">C74/$C$7</f>
        <v>95139.1891891892</v>
      </c>
      <c r="F74" s="11" t="n">
        <f aca="false">D74/$C$7</f>
        <v>135790.513783784</v>
      </c>
      <c r="G74" s="10"/>
      <c r="H74" s="10"/>
      <c r="I74" s="10"/>
    </row>
    <row r="75" customFormat="false" ht="15" hidden="false" customHeight="false" outlineLevel="0" collapsed="false">
      <c r="B75" s="26" t="n">
        <v>3</v>
      </c>
      <c r="C75" s="16" t="n">
        <v>258103162</v>
      </c>
      <c r="D75" s="16" t="n">
        <v>334949934</v>
      </c>
      <c r="E75" s="11" t="n">
        <f aca="false">C75/$C$7</f>
        <v>69757.6113513514</v>
      </c>
      <c r="F75" s="11" t="n">
        <f aca="false">D75/$C$7</f>
        <v>90527.0091891892</v>
      </c>
      <c r="G75" s="10"/>
      <c r="H75" s="10"/>
      <c r="I75" s="10"/>
    </row>
    <row r="76" customFormat="false" ht="15" hidden="false" customHeight="false" outlineLevel="0" collapsed="false">
      <c r="B76" s="26" t="n">
        <v>4</v>
      </c>
      <c r="C76" s="16" t="n">
        <v>208921566</v>
      </c>
      <c r="D76" s="16" t="n">
        <v>167474967</v>
      </c>
      <c r="E76" s="11" t="n">
        <f aca="false">C76/$C$7</f>
        <v>56465.2881081081</v>
      </c>
      <c r="F76" s="11" t="n">
        <f aca="false">D76/$C$7</f>
        <v>45263.5045945946</v>
      </c>
      <c r="G76" s="10"/>
      <c r="H76" s="10"/>
      <c r="I76" s="10"/>
    </row>
    <row r="77" customFormat="false" ht="15" hidden="false" customHeight="false" outlineLevel="0" collapsed="false">
      <c r="B77" s="26" t="n">
        <v>5</v>
      </c>
      <c r="C77" s="18" t="n">
        <v>151524391</v>
      </c>
      <c r="D77" s="16" t="n">
        <v>0</v>
      </c>
      <c r="E77" s="11" t="n">
        <f aca="false">C77/$C$7</f>
        <v>40952.5381081081</v>
      </c>
      <c r="F77" s="11" t="n">
        <f aca="false">D77/$C$7</f>
        <v>0</v>
      </c>
      <c r="G77" s="10" t="s">
        <v>293</v>
      </c>
      <c r="H77" s="10"/>
      <c r="I77" s="10"/>
    </row>
    <row r="78" customFormat="false" ht="15" hidden="false" customHeight="false" outlineLevel="0" collapsed="false">
      <c r="B78" s="26" t="s">
        <v>146</v>
      </c>
      <c r="C78" s="16" t="n">
        <v>0</v>
      </c>
      <c r="D78" s="16" t="n">
        <v>0</v>
      </c>
      <c r="E78" s="11" t="n">
        <f aca="false">C78/$C$7</f>
        <v>0</v>
      </c>
      <c r="F78" s="11" t="n">
        <f aca="false">D78/$C$7</f>
        <v>0</v>
      </c>
      <c r="G78" s="10" t="s">
        <v>294</v>
      </c>
      <c r="H78" s="10"/>
      <c r="I78" s="10"/>
    </row>
    <row r="79" customFormat="false" ht="27.75" hidden="false" customHeight="true" outlineLevel="0" collapsed="false">
      <c r="B79" s="28" t="s">
        <v>295</v>
      </c>
      <c r="C79" s="28"/>
      <c r="D79" s="28"/>
      <c r="E79" s="28"/>
      <c r="F79" s="28"/>
      <c r="G79" s="28"/>
      <c r="H79" s="28"/>
      <c r="I79" s="28"/>
    </row>
    <row r="81" customFormat="false" ht="15" hidden="false" customHeight="false" outlineLevel="0" collapsed="false">
      <c r="B81" s="3" t="s">
        <v>296</v>
      </c>
      <c r="C81" s="3"/>
      <c r="D81" s="3"/>
      <c r="E81" s="3"/>
      <c r="F81" s="3"/>
      <c r="G81" s="3"/>
      <c r="H81" s="3"/>
      <c r="I81" s="3"/>
    </row>
    <row r="82" customFormat="false" ht="27.75" hidden="false" customHeight="true" outlineLevel="0" collapsed="false">
      <c r="B82" s="5" t="s">
        <v>297</v>
      </c>
      <c r="C82" s="5" t="s">
        <v>298</v>
      </c>
      <c r="D82" s="5" t="s">
        <v>299</v>
      </c>
      <c r="E82" s="5" t="s">
        <v>300</v>
      </c>
      <c r="F82" s="5" t="s">
        <v>301</v>
      </c>
      <c r="G82" s="5" t="s">
        <v>302</v>
      </c>
      <c r="H82" s="5" t="s">
        <v>303</v>
      </c>
      <c r="I82" s="15" t="s">
        <v>304</v>
      </c>
      <c r="L82" s="5" t="s">
        <v>305</v>
      </c>
      <c r="M82" s="5" t="s">
        <v>306</v>
      </c>
    </row>
    <row r="83" customFormat="false" ht="15" hidden="false" customHeight="false" outlineLevel="0" collapsed="false">
      <c r="B83" s="29" t="s">
        <v>307</v>
      </c>
      <c r="C83" s="11" t="n">
        <f aca="false">SUM(G157:G216)</f>
        <v>3130187.2972973</v>
      </c>
      <c r="H83" s="26" t="n">
        <f aca="false">COUNTIF($F$115:$F$150,"&gt;0")</f>
        <v>7</v>
      </c>
      <c r="I83" s="31" t="str">
        <f aca="false">IF(COUNT(D157:D216)&lt;&gt;$C$30,"CAMPAÑA RECORTADA (máx. 60 pozos)",IF(MAX(E157:E216)&gt;36,"CAMPAÑA DE MÁS DE 36 MESES: AMPLIAR",IF(COUNTIFS(F115:F150,0,B115:B150,"&lt;="&amp;MAX(E157:E216))&gt;0,"OK · hay meses sin movilización que pagan cargo fijo","OK")))</f>
        <v>OK</v>
      </c>
      <c r="J83" s="31"/>
      <c r="K83" s="31"/>
    </row>
    <row r="84" customFormat="false" ht="15" hidden="false" customHeight="false" outlineLevel="0" collapsed="false">
      <c r="B84" s="10" t="s">
        <v>111</v>
      </c>
      <c r="C84" s="11" t="n">
        <f aca="false">SUM(H157:H216)+G151+I151+$N$9*$E$72+$N$9*IF($C$16="Mensual fijo",$C$14/$C$7,0)+$N$12*($C$9+IF($N$7="Sí",($D$68+$N$8)/$C$7,0))</f>
        <v>2998035.23462462</v>
      </c>
      <c r="D84" s="11" t="n">
        <f aca="false">$C$83-C84</f>
        <v>132152.062672673</v>
      </c>
      <c r="E84" s="32" t="n">
        <f aca="false">IF($C$83=0,0,D84/$C$83)</f>
        <v>0.0422185799510392</v>
      </c>
      <c r="F84" s="26" t="n">
        <f aca="false">COUNTIF($F$157:$F$216,"&gt;="&amp;$C$19)</f>
        <v>0</v>
      </c>
      <c r="G84" s="11" t="n">
        <f aca="false">G151+$N$9*$E$72</f>
        <v>286667.766756757</v>
      </c>
      <c r="H84" s="26" t="n">
        <f aca="false">COUNTIF($F$115:$F$150,"&gt;0")</f>
        <v>7</v>
      </c>
      <c r="I84" s="31"/>
      <c r="J84" s="31"/>
      <c r="K84" s="31"/>
      <c r="L84" s="11" t="n">
        <f aca="false">IF($C$30=0,0,D84/$C$30)</f>
        <v>3775.77321921924</v>
      </c>
      <c r="M84" s="32" t="n">
        <f aca="false">IF($N$11=0,0,L84/$N$11)</f>
        <v>0.00629295536536539</v>
      </c>
    </row>
    <row r="85" customFormat="false" ht="15" hidden="false" customHeight="false" outlineLevel="0" collapsed="false">
      <c r="B85" s="10" t="s">
        <v>308</v>
      </c>
      <c r="C85" s="11" t="n">
        <f aca="false">SUM(I157:I216)+G151+I151+$N$9*$E$72+$N$9*IF($C$16="Mensual fijo",$C$14/$C$7,0)+$N$12*($C$9+IF($N$7="Sí",($D$68+$N$8)/$C$7,0))</f>
        <v>3602983.55354354</v>
      </c>
      <c r="D85" s="11" t="n">
        <f aca="false">$C$83-C85</f>
        <v>-472796.256246246</v>
      </c>
      <c r="E85" s="32" t="n">
        <f aca="false">IF($C$83=0,0,D85/$C$83)</f>
        <v>-0.151044078625734</v>
      </c>
      <c r="F85" s="26" t="n">
        <v>0</v>
      </c>
      <c r="G85" s="11" t="n">
        <f aca="false">G151+$N$9*$E$72</f>
        <v>286667.766756757</v>
      </c>
      <c r="H85" s="26" t="n">
        <f aca="false">COUNTIF($F$115:$F$150,"&gt;0")</f>
        <v>7</v>
      </c>
      <c r="L85" s="11" t="n">
        <f aca="false">IF($C$30=0,0,D85/$C$30)</f>
        <v>-13508.4644641785</v>
      </c>
      <c r="M85" s="32" t="n">
        <f aca="false">IF($N$11=0,0,L85/$N$11)</f>
        <v>-0.0225141074402974</v>
      </c>
    </row>
    <row r="86" customFormat="false" ht="15" hidden="false" customHeight="false" outlineLevel="0" collapsed="false">
      <c r="B86" s="10" t="s">
        <v>309</v>
      </c>
      <c r="C86" s="11" t="n">
        <f aca="false">SUM(J157:J216)+G151+I151+$N$9*$E$72+$N$9*IF($C$16="Mensual fijo",$C$14/$C$7,0)+$N$12*($C$9+IF($N$7="Sí",($D$68+$N$8)/$C$7,0))</f>
        <v>3602983.55354354</v>
      </c>
      <c r="D86" s="11" t="n">
        <f aca="false">$C$83-C86</f>
        <v>-472796.256246246</v>
      </c>
      <c r="E86" s="32" t="n">
        <f aca="false">IF($C$83=0,0,D86/$C$83)</f>
        <v>-0.151044078625734</v>
      </c>
      <c r="F86" s="26" t="n">
        <f aca="false">COUNTIF($F$157:$F$216,"&gt;="&amp;$C$19)</f>
        <v>0</v>
      </c>
      <c r="G86" s="11" t="n">
        <f aca="false">G151+$N$9*$E$72</f>
        <v>286667.766756757</v>
      </c>
      <c r="H86" s="26" t="n">
        <f aca="false">COUNTIF($F$115:$F$150,"&gt;0")</f>
        <v>7</v>
      </c>
      <c r="L86" s="11" t="n">
        <f aca="false">IF($C$30=0,0,D86/$C$30)</f>
        <v>-13508.4644641785</v>
      </c>
      <c r="M86" s="32" t="n">
        <f aca="false">IF($N$11=0,0,L86/$N$11)</f>
        <v>-0.0225141074402974</v>
      </c>
    </row>
    <row r="87" customFormat="false" ht="15" hidden="false" customHeight="false" outlineLevel="0" collapsed="false">
      <c r="B87" s="10" t="s">
        <v>112</v>
      </c>
      <c r="C87" s="11" t="n">
        <f aca="false">SUM(K157:K216)+H151+I151+$N$9*$F$72+$N$9*IF($C$16="Mensual fijo",$C$14/$C$7,0)+$N$12*($C$9+IF($N$7="Sí",($D$68+$N$8)/$C$7,0))</f>
        <v>2639667.9475976</v>
      </c>
      <c r="D87" s="11" t="n">
        <f aca="false">$C$83-C87</f>
        <v>490519.3496997</v>
      </c>
      <c r="E87" s="32" t="n">
        <f aca="false">IF($C$83=0,0,D87/$C$83)</f>
        <v>0.156706069992435</v>
      </c>
      <c r="F87" s="26" t="n">
        <f aca="false">COUNTIF($F$157:$F$216,"&gt;="&amp;$C$19)</f>
        <v>0</v>
      </c>
      <c r="G87" s="11" t="n">
        <f aca="false">H151+$N$9*$F$72</f>
        <v>0</v>
      </c>
      <c r="H87" s="26" t="n">
        <f aca="false">COUNTIF($F$115:$F$150,"&gt;0")</f>
        <v>7</v>
      </c>
      <c r="L87" s="11" t="n">
        <f aca="false">IF($C$30=0,0,D87/$C$30)</f>
        <v>14014.8385628486</v>
      </c>
      <c r="M87" s="32" t="n">
        <f aca="false">IF($N$11=0,0,L87/$N$11)</f>
        <v>0.0233580642714143</v>
      </c>
    </row>
    <row r="88" customFormat="false" ht="15" hidden="false" customHeight="false" outlineLevel="0" collapsed="false">
      <c r="B88" s="33" t="s">
        <v>310</v>
      </c>
      <c r="C88" s="34" t="n">
        <f aca="false">INDEX(C84:C87,MATCH($C$10,$B$84:$B$87,0))</f>
        <v>2998035.23462462</v>
      </c>
      <c r="D88" s="34" t="n">
        <f aca="false">INDEX(D84:D87,MATCH($C$10,$B$84:$B$87,0))</f>
        <v>132152.062672673</v>
      </c>
      <c r="E88" s="35" t="n">
        <f aca="false">INDEX(E84:E87,MATCH($C$10,$B$84:$B$87,0))</f>
        <v>0.0422185799510392</v>
      </c>
    </row>
    <row r="89" customFormat="false" ht="27.75" hidden="false" customHeight="true" outlineLevel="0" collapsed="false">
      <c r="B89" s="28" t="s">
        <v>311</v>
      </c>
      <c r="C89" s="28"/>
      <c r="D89" s="28"/>
      <c r="E89" s="28"/>
      <c r="F89" s="28"/>
      <c r="G89" s="28"/>
      <c r="H89" s="28"/>
      <c r="I89" s="28"/>
    </row>
    <row r="91" customFormat="false" ht="15" hidden="false" customHeight="false" outlineLevel="0" collapsed="false">
      <c r="B91" s="3" t="s">
        <v>312</v>
      </c>
      <c r="C91" s="3"/>
      <c r="D91" s="3"/>
      <c r="E91" s="3"/>
      <c r="F91" s="3"/>
      <c r="G91" s="3"/>
      <c r="H91" s="3"/>
      <c r="I91" s="3"/>
      <c r="J91" s="3"/>
      <c r="K91" s="3"/>
      <c r="L91" s="3"/>
      <c r="M91" s="3"/>
      <c r="N91" s="3"/>
      <c r="O91" s="3"/>
      <c r="P91" s="3"/>
    </row>
    <row r="92" customFormat="false" ht="27.75" hidden="false" customHeight="true" outlineLevel="0" collapsed="false">
      <c r="B92" s="15" t="s">
        <v>313</v>
      </c>
      <c r="C92" s="36" t="n">
        <v>1</v>
      </c>
      <c r="D92" s="36" t="n">
        <v>2</v>
      </c>
      <c r="E92" s="36" t="n">
        <v>3</v>
      </c>
      <c r="F92" s="36" t="n">
        <v>4</v>
      </c>
      <c r="G92" s="36" t="n">
        <v>5</v>
      </c>
      <c r="H92" s="36" t="n">
        <v>6</v>
      </c>
      <c r="I92" s="36" t="n">
        <v>7</v>
      </c>
      <c r="J92" s="36" t="n">
        <v>8</v>
      </c>
      <c r="K92" s="36" t="n">
        <v>9</v>
      </c>
      <c r="L92" s="36" t="n">
        <v>10</v>
      </c>
      <c r="M92" s="36" t="n">
        <v>11</v>
      </c>
      <c r="N92" s="36" t="n">
        <v>12</v>
      </c>
      <c r="O92" s="5" t="s">
        <v>314</v>
      </c>
    </row>
    <row r="93" customFormat="false" ht="15" hidden="false" customHeight="false" outlineLevel="0" collapsed="false">
      <c r="B93" s="10" t="s">
        <v>315</v>
      </c>
      <c r="C93" s="11" t="n">
        <f aca="false">(C$92*C$51)-(MIN(C$92,$C$19-1)*C$62+MAX(0,C$92-($C$19-1))*C$63+INDEX($E$72:$E$78,MIN(C$92,6)+1)+IF($C$16="Mensual fijo",$C$14/$C$7,0))</f>
        <v>-129334.044054054</v>
      </c>
      <c r="D93" s="11" t="n">
        <f aca="false">(D$92*C$51)-(MIN(D$92,$C$19-1)*C$62+MAX(0,D$92-($C$19-1))*C$63+INDEX($E$72:$E$78,MIN(D$92,6)+1)+IF($C$16="Mensual fijo",$C$14/$C$7,0))</f>
        <v>-70088.6167567568</v>
      </c>
      <c r="E93" s="11" t="n">
        <f aca="false">(E$92*C$51)-(MIN(E$92,$C$19-1)*C$62+MAX(0,E$92-($C$19-1))*C$63+INDEX($E$72:$E$78,MIN(E$92,6)+1)+IF($C$16="Mensual fijo",$C$14/$C$7,0))</f>
        <v>-24073.6445945946</v>
      </c>
      <c r="F93" s="11" t="n">
        <f aca="false">(F$92*C$51)-(MIN(F$92,$C$19-1)*C$62+MAX(0,F$92-($C$19-1))*C$63+INDEX($E$72:$E$78,MIN(F$92,6)+1)+IF($C$16="Mensual fijo",$C$14/$C$7,0))</f>
        <v>9852.07297297294</v>
      </c>
      <c r="G93" s="11" t="n">
        <f aca="false">(G$92*C$51)-(MIN(G$92,$C$19-1)*C$62+MAX(0,G$92-($C$19-1))*C$63+INDEX($E$72:$E$78,MIN(G$92,6)+1)+IF($C$16="Mensual fijo",$C$14/$C$7,0))</f>
        <v>45998.2172972973</v>
      </c>
      <c r="H93" s="11" t="n">
        <f aca="false">(H$92*C$51)-(MIN(H$92,$C$19-1)*C$62+MAX(0,H$92-($C$19-1))*C$63+INDEX($E$72:$E$78,MIN(H$92,6)+1)+IF($C$16="Mensual fijo",$C$14/$C$7,0))</f>
        <v>126555.15527027</v>
      </c>
      <c r="I93" s="11" t="n">
        <f aca="false">(I$92*C$51)-(MIN(I$92,$C$19-1)*C$62+MAX(0,I$92-($C$19-1))*C$63+INDEX($E$72:$E$78,MIN(I$92,6)+1)+IF($C$16="Mensual fijo",$C$14/$C$7,0))</f>
        <v>166159.555135135</v>
      </c>
      <c r="J93" s="11" t="n">
        <f aca="false">(J$92*C$51)-(MIN(J$92,$C$19-1)*C$62+MAX(0,J$92-($C$19-1))*C$63+INDEX($E$72:$E$78,MIN(J$92,6)+1)+IF($C$16="Mensual fijo",$C$14/$C$7,0))</f>
        <v>205763.955</v>
      </c>
      <c r="K93" s="11" t="n">
        <f aca="false">(K$92*C$51)-(MIN(K$92,$C$19-1)*C$62+MAX(0,K$92-($C$19-1))*C$63+INDEX($E$72:$E$78,MIN(K$92,6)+1)+IF($C$16="Mensual fijo",$C$14/$C$7,0))</f>
        <v>245368.354864865</v>
      </c>
      <c r="L93" s="11" t="n">
        <f aca="false">(L$92*C$51)-(MIN(L$92,$C$19-1)*C$62+MAX(0,L$92-($C$19-1))*C$63+INDEX($E$72:$E$78,MIN(L$92,6)+1)+IF($C$16="Mensual fijo",$C$14/$C$7,0))</f>
        <v>284972.75472973</v>
      </c>
      <c r="M93" s="11" t="n">
        <f aca="false">(M$92*C$51)-(MIN(M$92,$C$19-1)*C$62+MAX(0,M$92-($C$19-1))*C$63+INDEX($E$72:$E$78,MIN(M$92,6)+1)+IF($C$16="Mensual fijo",$C$14/$C$7,0))</f>
        <v>324577.154594595</v>
      </c>
      <c r="N93" s="11" t="n">
        <f aca="false">(N$92*C$51)-(MIN(N$92,$C$19-1)*C$62+MAX(0,N$92-($C$19-1))*C$63+INDEX($E$72:$E$78,MIN(N$92,6)+1)+IF($C$16="Mensual fijo",$C$14/$C$7,0))</f>
        <v>364181.55445946</v>
      </c>
      <c r="O93" s="37" t="n">
        <f aca="false">IFERROR(INDEX($C$92:$N$92,MATCH(1,INDEX(--(C93:N93&gt;=0),0),0)),"no cruza")</f>
        <v>4</v>
      </c>
    </row>
    <row r="94" customFormat="false" ht="15" hidden="false" customHeight="false" outlineLevel="0" collapsed="false">
      <c r="B94" s="10" t="s">
        <v>316</v>
      </c>
      <c r="C94" s="11" t="n">
        <f aca="false">(C$92*D$51)-(MIN(C$92,$C$19-1)*D$62+MAX(0,C$92-($C$19-1))*D$63+INDEX($E$72:$E$78,MIN(C$92,6)+1)+IF($C$16="Mensual fijo",$C$14/$C$7,0))</f>
        <v>-136391.65027027</v>
      </c>
      <c r="D94" s="11" t="n">
        <f aca="false">(D$92*D$51)-(MIN(D$92,$C$19-1)*D$62+MAX(0,D$92-($C$19-1))*D$63+INDEX($E$72:$E$78,MIN(D$92,6)+1)+IF($C$16="Mensual fijo",$C$14/$C$7,0))</f>
        <v>-84203.8291891892</v>
      </c>
      <c r="E94" s="11" t="n">
        <f aca="false">(E$92*D$51)-(MIN(E$92,$C$19-1)*D$62+MAX(0,E$92-($C$19-1))*D$63+INDEX($E$72:$E$78,MIN(E$92,6)+1)+IF($C$16="Mensual fijo",$C$14/$C$7,0))</f>
        <v>-45246.4632432432</v>
      </c>
      <c r="F94" s="11" t="n">
        <f aca="false">(F$92*D$51)-(MIN(F$92,$C$19-1)*D$62+MAX(0,F$92-($C$19-1))*D$63+INDEX($E$72:$E$78,MIN(F$92,6)+1)+IF($C$16="Mensual fijo",$C$14/$C$7,0))</f>
        <v>-18378.3518918919</v>
      </c>
      <c r="G94" s="11" t="n">
        <f aca="false">(G$92*D$51)-(MIN(G$92,$C$19-1)*D$62+MAX(0,G$92-($C$19-1))*D$63+INDEX($E$72:$E$78,MIN(G$92,6)+1)+IF($C$16="Mensual fijo",$C$14/$C$7,0))</f>
        <v>10710.1862162163</v>
      </c>
      <c r="H94" s="11" t="n">
        <f aca="false">(H$92*D$51)-(MIN(H$92,$C$19-1)*D$62+MAX(0,H$92-($C$19-1))*D$63+INDEX($E$72:$E$78,MIN(H$92,6)+1)+IF($C$16="Mensual fijo",$C$14/$C$7,0))</f>
        <v>95083.5237837838</v>
      </c>
      <c r="I94" s="11" t="n">
        <f aca="false">(I$92*D$51)-(MIN(I$92,$C$19-1)*D$62+MAX(0,I$92-($C$19-1))*D$63+INDEX($E$72:$E$78,MIN(I$92,6)+1)+IF($C$16="Mensual fijo",$C$14/$C$7,0))</f>
        <v>138504.323243243</v>
      </c>
      <c r="J94" s="11" t="n">
        <f aca="false">(J$92*D$51)-(MIN(J$92,$C$19-1)*D$62+MAX(0,J$92-($C$19-1))*D$63+INDEX($E$72:$E$78,MIN(J$92,6)+1)+IF($C$16="Mensual fijo",$C$14/$C$7,0))</f>
        <v>181925.122702703</v>
      </c>
      <c r="K94" s="11" t="n">
        <f aca="false">(K$92*D$51)-(MIN(K$92,$C$19-1)*D$62+MAX(0,K$92-($C$19-1))*D$63+INDEX($E$72:$E$78,MIN(K$92,6)+1)+IF($C$16="Mensual fijo",$C$14/$C$7,0))</f>
        <v>225345.922162162</v>
      </c>
      <c r="L94" s="11" t="n">
        <f aca="false">(L$92*D$51)-(MIN(L$92,$C$19-1)*D$62+MAX(0,L$92-($C$19-1))*D$63+INDEX($E$72:$E$78,MIN(L$92,6)+1)+IF($C$16="Mensual fijo",$C$14/$C$7,0))</f>
        <v>268766.721621622</v>
      </c>
      <c r="M94" s="11" t="n">
        <f aca="false">(M$92*D$51)-(MIN(M$92,$C$19-1)*D$62+MAX(0,M$92-($C$19-1))*D$63+INDEX($E$72:$E$78,MIN(M$92,6)+1)+IF($C$16="Mensual fijo",$C$14/$C$7,0))</f>
        <v>312187.521081081</v>
      </c>
      <c r="N94" s="11" t="n">
        <f aca="false">(N$92*D$51)-(MIN(N$92,$C$19-1)*D$62+MAX(0,N$92-($C$19-1))*D$63+INDEX($E$72:$E$78,MIN(N$92,6)+1)+IF($C$16="Mensual fijo",$C$14/$C$7,0))</f>
        <v>355608.320540541</v>
      </c>
      <c r="O94" s="37" t="n">
        <f aca="false">IFERROR(INDEX($C$92:$N$92,MATCH(1,INDEX(--(C94:N94&gt;=0),0),0)),"no cruza")</f>
        <v>5</v>
      </c>
    </row>
    <row r="95" customFormat="false" ht="15" hidden="false" customHeight="false" outlineLevel="0" collapsed="false">
      <c r="B95" s="10" t="s">
        <v>317</v>
      </c>
      <c r="C95" s="11" t="n">
        <f aca="false">(C$92*E$51)-(MIN(C$92,$C$19-1)*E$62+MAX(0,C$92-($C$19-1))*E$63+INDEX($E$72:$E$78,MIN(C$92,6)+1)+IF($C$16="Mensual fijo",$C$14/$C$7,0))</f>
        <v>-153176.086486486</v>
      </c>
      <c r="D95" s="11" t="n">
        <f aca="false">(D$92*E$51)-(MIN(D$92,$C$19-1)*E$62+MAX(0,D$92-($C$19-1))*E$63+INDEX($E$72:$E$78,MIN(D$92,6)+1)+IF($C$16="Mensual fijo",$C$14/$C$7,0))</f>
        <v>-117772.701621622</v>
      </c>
      <c r="E95" s="11" t="n">
        <f aca="false">(E$92*E$51)-(MIN(E$92,$C$19-1)*E$62+MAX(0,E$92-($C$19-1))*E$63+INDEX($E$72:$E$78,MIN(E$92,6)+1)+IF($C$16="Mensual fijo",$C$14/$C$7,0))</f>
        <v>-95599.7718918919</v>
      </c>
      <c r="F95" s="11" t="n">
        <f aca="false">(F$92*E$51)-(MIN(F$92,$C$19-1)*E$62+MAX(0,F$92-($C$19-1))*E$63+INDEX($E$72:$E$78,MIN(F$92,6)+1)+IF($C$16="Mensual fijo",$C$14/$C$7,0))</f>
        <v>-85516.0967567567</v>
      </c>
      <c r="G95" s="11" t="n">
        <f aca="false">(G$92*E$51)-(MIN(G$92,$C$19-1)*E$62+MAX(0,G$92-($C$19-1))*E$63+INDEX($E$72:$E$78,MIN(G$92,6)+1)+IF($C$16="Mensual fijo",$C$14/$C$7,0))</f>
        <v>-73211.9948648649</v>
      </c>
      <c r="H95" s="11" t="n">
        <f aca="false">(H$92*E$51)-(MIN(H$92,$C$19-1)*E$62+MAX(0,H$92-($C$19-1))*E$63+INDEX($E$72:$E$78,MIN(H$92,6)+1)+IF($C$16="Mensual fijo",$C$14/$C$7,0))</f>
        <v>-3243.37540540542</v>
      </c>
      <c r="I95" s="11" t="n">
        <f aca="false">(I$92*E$51)-(MIN(I$92,$C$19-1)*E$62+MAX(0,I$92-($C$19-1))*E$63+INDEX($E$72:$E$78,MIN(I$92,6)+1)+IF($C$16="Mensual fijo",$C$14/$C$7,0))</f>
        <v>25772.705945946</v>
      </c>
      <c r="J95" s="11" t="n">
        <f aca="false">(J$92*E$51)-(MIN(J$92,$C$19-1)*E$62+MAX(0,J$92-($C$19-1))*E$63+INDEX($E$72:$E$78,MIN(J$92,6)+1)+IF($C$16="Mensual fijo",$C$14/$C$7,0))</f>
        <v>54788.7872972974</v>
      </c>
      <c r="K95" s="11" t="n">
        <f aca="false">(K$92*E$51)-(MIN(K$92,$C$19-1)*E$62+MAX(0,K$92-($C$19-1))*E$63+INDEX($E$72:$E$78,MIN(K$92,6)+1)+IF($C$16="Mensual fijo",$C$14/$C$7,0))</f>
        <v>83804.8686486486</v>
      </c>
      <c r="L95" s="11" t="n">
        <f aca="false">(L$92*E$51)-(MIN(L$92,$C$19-1)*E$62+MAX(0,L$92-($C$19-1))*E$63+INDEX($E$72:$E$78,MIN(L$92,6)+1)+IF($C$16="Mensual fijo",$C$14/$C$7,0))</f>
        <v>112820.95</v>
      </c>
      <c r="M95" s="11" t="n">
        <f aca="false">(M$92*E$51)-(MIN(M$92,$C$19-1)*E$62+MAX(0,M$92-($C$19-1))*E$63+INDEX($E$72:$E$78,MIN(M$92,6)+1)+IF($C$16="Mensual fijo",$C$14/$C$7,0))</f>
        <v>141837.031351352</v>
      </c>
      <c r="N95" s="11" t="n">
        <f aca="false">(N$92*E$51)-(MIN(N$92,$C$19-1)*E$62+MAX(0,N$92-($C$19-1))*E$63+INDEX($E$72:$E$78,MIN(N$92,6)+1)+IF($C$16="Mensual fijo",$C$14/$C$7,0))</f>
        <v>170853.112702703</v>
      </c>
      <c r="O95" s="37" t="n">
        <f aca="false">IFERROR(INDEX($C$92:$N$92,MATCH(1,INDEX(--(C95:N95&gt;=0),0),0)),"no cruza")</f>
        <v>7</v>
      </c>
    </row>
    <row r="96" customFormat="false" ht="15" hidden="false" customHeight="false" outlineLevel="0" collapsed="false">
      <c r="B96" s="10" t="s">
        <v>318</v>
      </c>
      <c r="C96" s="11" t="n">
        <f aca="false">(C$92*F$51)-(MIN(C$92,$C$19-1)*F$62+MAX(0,C$92-($C$19-1))*F$63+INDEX($E$72:$E$78,MIN(C$92,6)+1)+IF($C$16="Mensual fijo",$C$14/$C$7,0))</f>
        <v>-146362.248648649</v>
      </c>
      <c r="D96" s="11" t="n">
        <f aca="false">(D$92*F$51)-(MIN(D$92,$C$19-1)*F$62+MAX(0,D$92-($C$19-1))*F$63+INDEX($E$72:$E$78,MIN(D$92,6)+1)+IF($C$16="Mensual fijo",$C$14/$C$7,0))</f>
        <v>-104145.025945946</v>
      </c>
      <c r="E96" s="11" t="n">
        <f aca="false">(E$92*F$51)-(MIN(E$92,$C$19-1)*F$62+MAX(0,E$92-($C$19-1))*F$63+INDEX($E$72:$E$78,MIN(E$92,6)+1)+IF($C$16="Mensual fijo",$C$14/$C$7,0))</f>
        <v>-75158.2583783784</v>
      </c>
      <c r="F96" s="11" t="n">
        <f aca="false">(F$92*F$51)-(MIN(F$92,$C$19-1)*F$62+MAX(0,F$92-($C$19-1))*F$63+INDEX($E$72:$E$78,MIN(F$92,6)+1)+IF($C$16="Mensual fijo",$C$14/$C$7,0))</f>
        <v>-58260.7454054054</v>
      </c>
      <c r="G96" s="11" t="n">
        <f aca="false">(G$92*F$51)-(MIN(G$92,$C$19-1)*F$62+MAX(0,G$92-($C$19-1))*F$63+INDEX($E$72:$E$78,MIN(G$92,6)+1)+IF($C$16="Mensual fijo",$C$14/$C$7,0))</f>
        <v>-39142.8056756756</v>
      </c>
      <c r="H96" s="11" t="n">
        <f aca="false">(H$92*F$51)-(MIN(H$92,$C$19-1)*F$62+MAX(0,H$92-($C$19-1))*F$63+INDEX($E$72:$E$78,MIN(H$92,6)+1)+IF($C$16="Mensual fijo",$C$14/$C$7,0))</f>
        <v>38720.7327027026</v>
      </c>
      <c r="I96" s="11" t="n">
        <f aca="false">(I$92*F$51)-(MIN(I$92,$C$19-1)*F$62+MAX(0,I$92-($C$19-1))*F$63+INDEX($E$72:$E$78,MIN(I$92,6)+1)+IF($C$16="Mensual fijo",$C$14/$C$7,0))</f>
        <v>75631.732972973</v>
      </c>
      <c r="J96" s="11" t="n">
        <f aca="false">(J$92*F$51)-(MIN(J$92,$C$19-1)*F$62+MAX(0,J$92-($C$19-1))*F$63+INDEX($E$72:$E$78,MIN(J$92,6)+1)+IF($C$16="Mensual fijo",$C$14/$C$7,0))</f>
        <v>112542.733243243</v>
      </c>
      <c r="K96" s="11" t="n">
        <f aca="false">(K$92*F$51)-(MIN(K$92,$C$19-1)*F$62+MAX(0,K$92-($C$19-1))*F$63+INDEX($E$72:$E$78,MIN(K$92,6)+1)+IF($C$16="Mensual fijo",$C$14/$C$7,0))</f>
        <v>149453.733513513</v>
      </c>
      <c r="L96" s="11" t="n">
        <f aca="false">(L$92*F$51)-(MIN(L$92,$C$19-1)*F$62+MAX(0,L$92-($C$19-1))*F$63+INDEX($E$72:$E$78,MIN(L$92,6)+1)+IF($C$16="Mensual fijo",$C$14/$C$7,0))</f>
        <v>186364.733783784</v>
      </c>
      <c r="M96" s="11" t="n">
        <f aca="false">(M$92*F$51)-(MIN(M$92,$C$19-1)*F$62+MAX(0,M$92-($C$19-1))*F$63+INDEX($E$72:$E$78,MIN(M$92,6)+1)+IF($C$16="Mensual fijo",$C$14/$C$7,0))</f>
        <v>223275.734054054</v>
      </c>
      <c r="N96" s="11" t="n">
        <f aca="false">(N$92*F$51)-(MIN(N$92,$C$19-1)*F$62+MAX(0,N$92-($C$19-1))*F$63+INDEX($E$72:$E$78,MIN(N$92,6)+1)+IF($C$16="Mensual fijo",$C$14/$C$7,0))</f>
        <v>260186.734324324</v>
      </c>
      <c r="O96" s="37" t="n">
        <f aca="false">IFERROR(INDEX($C$92:$N$92,MATCH(1,INDEX(--(C96:N96&gt;=0),0),0)),"no cruza")</f>
        <v>6</v>
      </c>
    </row>
    <row r="97" customFormat="false" ht="15" hidden="false" customHeight="false" outlineLevel="0" collapsed="false">
      <c r="B97" s="10" t="s">
        <v>319</v>
      </c>
      <c r="C97" s="11" t="n">
        <f aca="false">(C$92*C$51)-(MIN(C$92,$C$19-1)*C$64+MAX(0,C$92-($C$19-1))*C$64+INDEX($E$72:$E$78,MIN(C$92,6)+1)+IF($C$16="Mensual fijo",$C$14/$C$7,0))</f>
        <v>-139598.488378378</v>
      </c>
      <c r="D97" s="11" t="n">
        <f aca="false">(D$92*C$51)-(MIN(D$92,$C$19-1)*C$64+MAX(0,D$92-($C$19-1))*C$64+INDEX($E$72:$E$78,MIN(D$92,6)+1)+IF($C$16="Mensual fijo",$C$14/$C$7,0))</f>
        <v>-90617.5054054054</v>
      </c>
      <c r="E97" s="11" t="n">
        <f aca="false">(E$92*C$51)-(MIN(E$92,$C$19-1)*C$64+MAX(0,E$92-($C$19-1))*C$64+INDEX($E$72:$E$78,MIN(E$92,6)+1)+IF($C$16="Mensual fijo",$C$14/$C$7,0))</f>
        <v>-54866.9775675676</v>
      </c>
      <c r="F97" s="11" t="n">
        <f aca="false">(F$92*C$51)-(MIN(F$92,$C$19-1)*C$64+MAX(0,F$92-($C$19-1))*C$64+INDEX($E$72:$E$78,MIN(F$92,6)+1)+IF($C$16="Mensual fijo",$C$14/$C$7,0))</f>
        <v>-31205.7043243243</v>
      </c>
      <c r="G97" s="11" t="n">
        <f aca="false">(G$92*C$51)-(MIN(G$92,$C$19-1)*C$64+MAX(0,G$92-($C$19-1))*C$64+INDEX($E$72:$E$78,MIN(G$92,6)+1)+IF($C$16="Mensual fijo",$C$14/$C$7,0))</f>
        <v>-5324.00432432431</v>
      </c>
      <c r="H97" s="11" t="n">
        <f aca="false">(H$92*C$51)-(MIN(H$92,$C$19-1)*C$64+MAX(0,H$92-($C$19-1))*C$64+INDEX($E$72:$E$78,MIN(H$92,6)+1)+IF($C$16="Mensual fijo",$C$14/$C$7,0))</f>
        <v>45997.4837837839</v>
      </c>
      <c r="I97" s="11" t="n">
        <f aca="false">(I$92*C$51)-(MIN(I$92,$C$19-1)*C$64+MAX(0,I$92-($C$19-1))*C$64+INDEX($E$72:$E$78,MIN(I$92,6)+1)+IF($C$16="Mensual fijo",$C$14/$C$7,0))</f>
        <v>56366.4337837838</v>
      </c>
      <c r="J97" s="11" t="n">
        <f aca="false">(J$92*C$51)-(MIN(J$92,$C$19-1)*C$64+MAX(0,J$92-($C$19-1))*C$64+INDEX($E$72:$E$78,MIN(J$92,6)+1)+IF($C$16="Mensual fijo",$C$14/$C$7,0))</f>
        <v>66735.3837837838</v>
      </c>
      <c r="K97" s="11" t="n">
        <f aca="false">(K$92*C$51)-(MIN(K$92,$C$19-1)*C$64+MAX(0,K$92-($C$19-1))*C$64+INDEX($E$72:$E$78,MIN(K$92,6)+1)+IF($C$16="Mensual fijo",$C$14/$C$7,0))</f>
        <v>77104.3337837838</v>
      </c>
      <c r="L97" s="11" t="n">
        <f aca="false">(L$92*C$51)-(MIN(L$92,$C$19-1)*C$64+MAX(0,L$92-($C$19-1))*C$64+INDEX($E$72:$E$78,MIN(L$92,6)+1)+IF($C$16="Mensual fijo",$C$14/$C$7,0))</f>
        <v>87473.2837837838</v>
      </c>
      <c r="M97" s="11" t="n">
        <f aca="false">(M$92*C$51)-(MIN(M$92,$C$19-1)*C$64+MAX(0,M$92-($C$19-1))*C$64+INDEX($E$72:$E$78,MIN(M$92,6)+1)+IF($C$16="Mensual fijo",$C$14/$C$7,0))</f>
        <v>97842.2337837837</v>
      </c>
      <c r="N97" s="11" t="n">
        <f aca="false">(N$92*C$51)-(MIN(N$92,$C$19-1)*C$64+MAX(0,N$92-($C$19-1))*C$64+INDEX($E$72:$E$78,MIN(N$92,6)+1)+IF($C$16="Mensual fijo",$C$14/$C$7,0))</f>
        <v>108211.183783784</v>
      </c>
      <c r="O97" s="37" t="n">
        <f aca="false">IFERROR(INDEX($C$92:$N$92,MATCH(1,INDEX(--(C97:N97&gt;=0),0),0)),"no cruza")</f>
        <v>6</v>
      </c>
    </row>
    <row r="98" customFormat="false" ht="15" hidden="false" customHeight="false" outlineLevel="0" collapsed="false">
      <c r="B98" s="10" t="s">
        <v>320</v>
      </c>
      <c r="C98" s="11" t="n">
        <f aca="false">(C$92*D$51)-(MIN(C$92,$C$19-1)*D$64+MAX(0,C$92-($C$19-1))*D$64+INDEX($E$72:$E$78,MIN(C$92,6)+1)+IF($C$16="Mensual fijo",$C$14/$C$7,0))</f>
        <v>-158940.732972973</v>
      </c>
      <c r="D98" s="11" t="n">
        <f aca="false">(D$92*D$51)-(MIN(D$92,$C$19-1)*D$64+MAX(0,D$92-($C$19-1))*D$64+INDEX($E$72:$E$78,MIN(D$92,6)+1)+IF($C$16="Mensual fijo",$C$14/$C$7,0))</f>
        <v>-129301.994594595</v>
      </c>
      <c r="E98" s="11" t="n">
        <f aca="false">(E$92*D$51)-(MIN(E$92,$C$19-1)*D$64+MAX(0,E$92-($C$19-1))*D$64+INDEX($E$72:$E$78,MIN(E$92,6)+1)+IF($C$16="Mensual fijo",$C$14/$C$7,0))</f>
        <v>-112893.711351351</v>
      </c>
      <c r="F98" s="11" t="n">
        <f aca="false">(F$92*D$51)-(MIN(F$92,$C$19-1)*D$64+MAX(0,F$92-($C$19-1))*D$64+INDEX($E$72:$E$78,MIN(F$92,6)+1)+IF($C$16="Mensual fijo",$C$14/$C$7,0))</f>
        <v>-108574.682702703</v>
      </c>
      <c r="G98" s="11" t="n">
        <f aca="false">(G$92*D$51)-(MIN(G$92,$C$19-1)*D$64+MAX(0,G$92-($C$19-1))*D$64+INDEX($E$72:$E$78,MIN(G$92,6)+1)+IF($C$16="Mensual fijo",$C$14/$C$7,0))</f>
        <v>-102035.227297297</v>
      </c>
      <c r="H98" s="11" t="n">
        <f aca="false">(H$92*D$51)-(MIN(H$92,$C$19-1)*D$64+MAX(0,H$92-($C$19-1))*D$64+INDEX($E$72:$E$78,MIN(H$92,6)+1)+IF($C$16="Mensual fijo",$C$14/$C$7,0))</f>
        <v>-70055.9837837839</v>
      </c>
      <c r="I98" s="11" t="n">
        <f aca="false">(I$92*D$51)-(MIN(I$92,$C$19-1)*D$64+MAX(0,I$92-($C$19-1))*D$64+INDEX($E$72:$E$78,MIN(I$92,6)+1)+IF($C$16="Mensual fijo",$C$14/$C$7,0))</f>
        <v>-79029.2783783784</v>
      </c>
      <c r="J98" s="11" t="n">
        <f aca="false">(J$92*D$51)-(MIN(J$92,$C$19-1)*D$64+MAX(0,J$92-($C$19-1))*D$64+INDEX($E$72:$E$78,MIN(J$92,6)+1)+IF($C$16="Mensual fijo",$C$14/$C$7,0))</f>
        <v>-88002.5729729731</v>
      </c>
      <c r="K98" s="11" t="n">
        <f aca="false">(K$92*D$51)-(MIN(K$92,$C$19-1)*D$64+MAX(0,K$92-($C$19-1))*D$64+INDEX($E$72:$E$78,MIN(K$92,6)+1)+IF($C$16="Mensual fijo",$C$14/$C$7,0))</f>
        <v>-96975.8675675677</v>
      </c>
      <c r="L98" s="11" t="n">
        <f aca="false">(L$92*D$51)-(MIN(L$92,$C$19-1)*D$64+MAX(0,L$92-($C$19-1))*D$64+INDEX($E$72:$E$78,MIN(L$92,6)+1)+IF($C$16="Mensual fijo",$C$14/$C$7,0))</f>
        <v>-105949.162162162</v>
      </c>
      <c r="M98" s="11" t="n">
        <f aca="false">(M$92*D$51)-(MIN(M$92,$C$19-1)*D$64+MAX(0,M$92-($C$19-1))*D$64+INDEX($E$72:$E$78,MIN(M$92,6)+1)+IF($C$16="Mensual fijo",$C$14/$C$7,0))</f>
        <v>-114922.456756757</v>
      </c>
      <c r="N98" s="11" t="n">
        <f aca="false">(N$92*D$51)-(MIN(N$92,$C$19-1)*D$64+MAX(0,N$92-($C$19-1))*D$64+INDEX($E$72:$E$78,MIN(N$92,6)+1)+IF($C$16="Mensual fijo",$C$14/$C$7,0))</f>
        <v>-123895.751351352</v>
      </c>
      <c r="O98" s="37" t="str">
        <f aca="false">IFERROR(INDEX($C$92:$N$92,MATCH(1,INDEX(--(C98:N98&gt;=0),0),0)),"no cruza")</f>
        <v>no cruza</v>
      </c>
    </row>
    <row r="99" customFormat="false" ht="15" hidden="false" customHeight="false" outlineLevel="0" collapsed="false">
      <c r="B99" s="10" t="s">
        <v>321</v>
      </c>
      <c r="C99" s="11" t="n">
        <f aca="false">(C$92*E$51)-(MIN(C$92,$C$19-1)*E$64+MAX(0,C$92-($C$19-1))*E$64+INDEX($E$72:$E$78,MIN(C$92,6)+1)+IF($C$16="Mensual fijo",$C$14/$C$7,0))</f>
        <v>-189713.08</v>
      </c>
      <c r="D99" s="11" t="n">
        <f aca="false">(D$92*E$51)-(MIN(D$92,$C$19-1)*E$64+MAX(0,D$92-($C$19-1))*E$64+INDEX($E$72:$E$78,MIN(D$92,6)+1)+IF($C$16="Mensual fijo",$C$14/$C$7,0))</f>
        <v>-190846.688648649</v>
      </c>
      <c r="E99" s="11" t="n">
        <f aca="false">(E$92*E$51)-(MIN(E$92,$C$19-1)*E$64+MAX(0,E$92-($C$19-1))*E$64+INDEX($E$72:$E$78,MIN(E$92,6)+1)+IF($C$16="Mensual fijo",$C$14/$C$7,0))</f>
        <v>-205210.752432433</v>
      </c>
      <c r="F99" s="11" t="n">
        <f aca="false">(F$92*E$51)-(MIN(F$92,$C$19-1)*E$64+MAX(0,F$92-($C$19-1))*E$64+INDEX($E$72:$E$78,MIN(F$92,6)+1)+IF($C$16="Mensual fijo",$C$14/$C$7,0))</f>
        <v>-231664.070810811</v>
      </c>
      <c r="G99" s="11" t="n">
        <f aca="false">(G$92*E$51)-(MIN(G$92,$C$19-1)*E$64+MAX(0,G$92-($C$19-1))*E$64+INDEX($E$72:$E$78,MIN(G$92,6)+1)+IF($C$16="Mensual fijo",$C$14/$C$7,0))</f>
        <v>-255896.962432432</v>
      </c>
      <c r="H99" s="11" t="n">
        <f aca="false">(H$92*E$51)-(MIN(H$92,$C$19-1)*E$64+MAX(0,H$92-($C$19-1))*E$64+INDEX($E$72:$E$78,MIN(H$92,6)+1)+IF($C$16="Mensual fijo",$C$14/$C$7,0))</f>
        <v>-254690.065945946</v>
      </c>
      <c r="I99" s="11" t="n">
        <f aca="false">(I$92*E$51)-(MIN(I$92,$C$19-1)*E$64+MAX(0,I$92-($C$19-1))*E$64+INDEX($E$72:$E$78,MIN(I$92,6)+1)+IF($C$16="Mensual fijo",$C$14/$C$7,0))</f>
        <v>-294435.707567568</v>
      </c>
      <c r="J99" s="11" t="n">
        <f aca="false">(J$92*E$51)-(MIN(J$92,$C$19-1)*E$64+MAX(0,J$92-($C$19-1))*E$64+INDEX($E$72:$E$78,MIN(J$92,6)+1)+IF($C$16="Mensual fijo",$C$14/$C$7,0))</f>
        <v>-334181.349189189</v>
      </c>
      <c r="K99" s="11" t="n">
        <f aca="false">(K$92*E$51)-(MIN(K$92,$C$19-1)*E$64+MAX(0,K$92-($C$19-1))*E$64+INDEX($E$72:$E$78,MIN(K$92,6)+1)+IF($C$16="Mensual fijo",$C$14/$C$7,0))</f>
        <v>-373926.990810811</v>
      </c>
      <c r="L99" s="11" t="n">
        <f aca="false">(L$92*E$51)-(MIN(L$92,$C$19-1)*E$64+MAX(0,L$92-($C$19-1))*E$64+INDEX($E$72:$E$78,MIN(L$92,6)+1)+IF($C$16="Mensual fijo",$C$14/$C$7,0))</f>
        <v>-413672.632432433</v>
      </c>
      <c r="M99" s="11" t="n">
        <f aca="false">(M$92*E$51)-(MIN(M$92,$C$19-1)*E$64+MAX(0,M$92-($C$19-1))*E$64+INDEX($E$72:$E$78,MIN(M$92,6)+1)+IF($C$16="Mensual fijo",$C$14/$C$7,0))</f>
        <v>-453418.274054054</v>
      </c>
      <c r="N99" s="11" t="n">
        <f aca="false">(N$92*E$51)-(MIN(N$92,$C$19-1)*E$64+MAX(0,N$92-($C$19-1))*E$64+INDEX($E$72:$E$78,MIN(N$92,6)+1)+IF($C$16="Mensual fijo",$C$14/$C$7,0))</f>
        <v>-493163.915675676</v>
      </c>
      <c r="O99" s="37" t="str">
        <f aca="false">IFERROR(INDEX($C$92:$N$92,MATCH(1,INDEX(--(C99:N99&gt;=0),0),0)),"no cruza")</f>
        <v>no cruza</v>
      </c>
    </row>
    <row r="100" customFormat="false" ht="15" hidden="false" customHeight="false" outlineLevel="0" collapsed="false">
      <c r="B100" s="10" t="s">
        <v>322</v>
      </c>
      <c r="C100" s="11" t="n">
        <f aca="false">(C$92*F$51)-(MIN(C$92,$C$19-1)*F$64+MAX(0,C$92-($C$19-1))*F$64+INDEX($E$72:$E$78,MIN(C$92,6)+1)+IF($C$16="Mensual fijo",$C$14/$C$7,0))</f>
        <v>-191858.986486486</v>
      </c>
      <c r="D100" s="11" t="n">
        <f aca="false">(D$92*F$51)-(MIN(D$92,$C$19-1)*F$64+MAX(0,D$92-($C$19-1))*F$64+INDEX($E$72:$E$78,MIN(D$92,6)+1)+IF($C$16="Mensual fijo",$C$14/$C$7,0))</f>
        <v>-195138.501621622</v>
      </c>
      <c r="E100" s="11" t="n">
        <f aca="false">(E$92*F$51)-(MIN(E$92,$C$19-1)*F$64+MAX(0,E$92-($C$19-1))*F$64+INDEX($E$72:$E$78,MIN(E$92,6)+1)+IF($C$16="Mensual fijo",$C$14/$C$7,0))</f>
        <v>-211648.471891892</v>
      </c>
      <c r="F100" s="11" t="n">
        <f aca="false">(F$92*F$51)-(MIN(F$92,$C$19-1)*F$64+MAX(0,F$92-($C$19-1))*F$64+INDEX($E$72:$E$78,MIN(F$92,6)+1)+IF($C$16="Mensual fijo",$C$14/$C$7,0))</f>
        <v>-240247.696756757</v>
      </c>
      <c r="G100" s="11" t="n">
        <f aca="false">(G$92*F$51)-(MIN(G$92,$C$19-1)*F$64+MAX(0,G$92-($C$19-1))*F$64+INDEX($E$72:$E$78,MIN(G$92,6)+1)+IF($C$16="Mensual fijo",$C$14/$C$7,0))</f>
        <v>-266626.494864865</v>
      </c>
      <c r="H100" s="11" t="n">
        <f aca="false">(H$92*F$51)-(MIN(H$92,$C$19-1)*F$64+MAX(0,H$92-($C$19-1))*F$64+INDEX($E$72:$E$78,MIN(H$92,6)+1)+IF($C$16="Mensual fijo",$C$14/$C$7,0))</f>
        <v>-267565.504864865</v>
      </c>
      <c r="I100" s="11" t="n">
        <f aca="false">(I$92*F$51)-(MIN(I$92,$C$19-1)*F$64+MAX(0,I$92-($C$19-1))*F$64+INDEX($E$72:$E$78,MIN(I$92,6)+1)+IF($C$16="Mensual fijo",$C$14/$C$7,0))</f>
        <v>-309457.052972973</v>
      </c>
      <c r="J100" s="11" t="n">
        <f aca="false">(J$92*F$51)-(MIN(J$92,$C$19-1)*F$64+MAX(0,J$92-($C$19-1))*F$64+INDEX($E$72:$E$78,MIN(J$92,6)+1)+IF($C$16="Mensual fijo",$C$14/$C$7,0))</f>
        <v>-351348.601081081</v>
      </c>
      <c r="K100" s="11" t="n">
        <f aca="false">(K$92*F$51)-(MIN(K$92,$C$19-1)*F$64+MAX(0,K$92-($C$19-1))*F$64+INDEX($E$72:$E$78,MIN(K$92,6)+1)+IF($C$16="Mensual fijo",$C$14/$C$7,0))</f>
        <v>-393240.14918919</v>
      </c>
      <c r="L100" s="11" t="n">
        <f aca="false">(L$92*F$51)-(MIN(L$92,$C$19-1)*F$64+MAX(0,L$92-($C$19-1))*F$64+INDEX($E$72:$E$78,MIN(L$92,6)+1)+IF($C$16="Mensual fijo",$C$14/$C$7,0))</f>
        <v>-435131.697297298</v>
      </c>
      <c r="M100" s="11" t="n">
        <f aca="false">(M$92*F$51)-(MIN(M$92,$C$19-1)*F$64+MAX(0,M$92-($C$19-1))*F$64+INDEX($E$72:$E$78,MIN(M$92,6)+1)+IF($C$16="Mensual fijo",$C$14/$C$7,0))</f>
        <v>-477023.245405406</v>
      </c>
      <c r="N100" s="11" t="n">
        <f aca="false">(N$92*F$51)-(MIN(N$92,$C$19-1)*F$64+MAX(0,N$92-($C$19-1))*F$64+INDEX($E$72:$E$78,MIN(N$92,6)+1)+IF($C$16="Mensual fijo",$C$14/$C$7,0))</f>
        <v>-518914.793513514</v>
      </c>
      <c r="O100" s="37" t="str">
        <f aca="false">IFERROR(INDEX($C$92:$N$92,MATCH(1,INDEX(--(C100:N100&gt;=0),0),0)),"no cruza")</f>
        <v>no cruza</v>
      </c>
    </row>
    <row r="101" customFormat="false" ht="15" hidden="false" customHeight="false" outlineLevel="0" collapsed="false">
      <c r="B101" s="10" t="s">
        <v>323</v>
      </c>
      <c r="C101" s="11" t="n">
        <f aca="false">(C$92*C$51)-(MIN(C$92,$C$19-1)*C$64+MAX(0,C$92-($C$19-1))*C$65+INDEX($E$72:$E$78,MIN(C$92,6)+1)+IF($C$16="Mensual fijo",$C$14/$C$7,0))</f>
        <v>-139598.488378378</v>
      </c>
      <c r="D101" s="11" t="n">
        <f aca="false">(D$92*C$51)-(MIN(D$92,$C$19-1)*C$64+MAX(0,D$92-($C$19-1))*C$65+INDEX($E$72:$E$78,MIN(D$92,6)+1)+IF($C$16="Mensual fijo",$C$14/$C$7,0))</f>
        <v>-90617.5054054054</v>
      </c>
      <c r="E101" s="11" t="n">
        <f aca="false">(E$92*C$51)-(MIN(E$92,$C$19-1)*C$64+MAX(0,E$92-($C$19-1))*C$65+INDEX($E$72:$E$78,MIN(E$92,6)+1)+IF($C$16="Mensual fijo",$C$14/$C$7,0))</f>
        <v>-54866.9775675676</v>
      </c>
      <c r="F101" s="11" t="n">
        <f aca="false">(F$92*C$51)-(MIN(F$92,$C$19-1)*C$64+MAX(0,F$92-($C$19-1))*C$65+INDEX($E$72:$E$78,MIN(F$92,6)+1)+IF($C$16="Mensual fijo",$C$14/$C$7,0))</f>
        <v>-31205.7043243243</v>
      </c>
      <c r="G101" s="11" t="n">
        <f aca="false">(G$92*C$51)-(MIN(G$92,$C$19-1)*C$64+MAX(0,G$92-($C$19-1))*C$65+INDEX($E$72:$E$78,MIN(G$92,6)+1)+IF($C$16="Mensual fijo",$C$14/$C$7,0))</f>
        <v>-5324.00432432431</v>
      </c>
      <c r="H101" s="11" t="n">
        <f aca="false">(H$92*C$51)-(MIN(H$92,$C$19-1)*C$64+MAX(0,H$92-($C$19-1))*C$65+INDEX($E$72:$E$78,MIN(H$92,6)+1)+IF($C$16="Mensual fijo",$C$14/$C$7,0))</f>
        <v>70100.7114864865</v>
      </c>
      <c r="I101" s="11" t="n">
        <f aca="false">(I$92*C$51)-(MIN(I$92,$C$19-1)*C$64+MAX(0,I$92-($C$19-1))*C$65+INDEX($E$72:$E$78,MIN(I$92,6)+1)+IF($C$16="Mensual fijo",$C$14/$C$7,0))</f>
        <v>104572.889189189</v>
      </c>
      <c r="J101" s="11" t="n">
        <f aca="false">(J$92*C$51)-(MIN(J$92,$C$19-1)*C$64+MAX(0,J$92-($C$19-1))*C$65+INDEX($E$72:$E$78,MIN(J$92,6)+1)+IF($C$16="Mensual fijo",$C$14/$C$7,0))</f>
        <v>139045.066891892</v>
      </c>
      <c r="K101" s="11" t="n">
        <f aca="false">(K$92*C$51)-(MIN(K$92,$C$19-1)*C$64+MAX(0,K$92-($C$19-1))*C$65+INDEX($E$72:$E$78,MIN(K$92,6)+1)+IF($C$16="Mensual fijo",$C$14/$C$7,0))</f>
        <v>173517.244594595</v>
      </c>
      <c r="L101" s="11" t="n">
        <f aca="false">(L$92*C$51)-(MIN(L$92,$C$19-1)*C$64+MAX(0,L$92-($C$19-1))*C$65+INDEX($E$72:$E$78,MIN(L$92,6)+1)+IF($C$16="Mensual fijo",$C$14/$C$7,0))</f>
        <v>207989.422297297</v>
      </c>
      <c r="M101" s="11" t="n">
        <f aca="false">(M$92*C$51)-(MIN(M$92,$C$19-1)*C$64+MAX(0,M$92-($C$19-1))*C$65+INDEX($E$72:$E$78,MIN(M$92,6)+1)+IF($C$16="Mensual fijo",$C$14/$C$7,0))</f>
        <v>242461.6</v>
      </c>
      <c r="N101" s="11" t="n">
        <f aca="false">(N$92*C$51)-(MIN(N$92,$C$19-1)*C$64+MAX(0,N$92-($C$19-1))*C$65+INDEX($E$72:$E$78,MIN(N$92,6)+1)+IF($C$16="Mensual fijo",$C$14/$C$7,0))</f>
        <v>276933.777702703</v>
      </c>
      <c r="O101" s="37" t="n">
        <f aca="false">IFERROR(INDEX($C$92:$N$92,MATCH(1,INDEX(--(C101:N101&gt;=0),0),0)),"no cruza")</f>
        <v>6</v>
      </c>
    </row>
    <row r="102" customFormat="false" ht="15" hidden="false" customHeight="false" outlineLevel="0" collapsed="false">
      <c r="B102" s="10" t="s">
        <v>324</v>
      </c>
      <c r="C102" s="11" t="n">
        <f aca="false">(C$92*D$51)-(MIN(C$92,$C$19-1)*D$64+MAX(0,C$92-($C$19-1))*D$65+INDEX($E$72:$E$78,MIN(C$92,6)+1)+IF($C$16="Mensual fijo",$C$14/$C$7,0))</f>
        <v>-158940.732972973</v>
      </c>
      <c r="D102" s="11" t="n">
        <f aca="false">(D$92*D$51)-(MIN(D$92,$C$19-1)*D$64+MAX(0,D$92-($C$19-1))*D$65+INDEX($E$72:$E$78,MIN(D$92,6)+1)+IF($C$16="Mensual fijo",$C$14/$C$7,0))</f>
        <v>-129301.994594595</v>
      </c>
      <c r="E102" s="11" t="n">
        <f aca="false">(E$92*D$51)-(MIN(E$92,$C$19-1)*D$64+MAX(0,E$92-($C$19-1))*D$65+INDEX($E$72:$E$78,MIN(E$92,6)+1)+IF($C$16="Mensual fijo",$C$14/$C$7,0))</f>
        <v>-112893.711351351</v>
      </c>
      <c r="F102" s="11" t="n">
        <f aca="false">(F$92*D$51)-(MIN(F$92,$C$19-1)*D$64+MAX(0,F$92-($C$19-1))*D$65+INDEX($E$72:$E$78,MIN(F$92,6)+1)+IF($C$16="Mensual fijo",$C$14/$C$7,0))</f>
        <v>-108574.682702703</v>
      </c>
      <c r="G102" s="11" t="n">
        <f aca="false">(G$92*D$51)-(MIN(G$92,$C$19-1)*D$64+MAX(0,G$92-($C$19-1))*D$65+INDEX($E$72:$E$78,MIN(G$92,6)+1)+IF($C$16="Mensual fijo",$C$14/$C$7,0))</f>
        <v>-102035.227297297</v>
      </c>
      <c r="H102" s="11" t="n">
        <f aca="false">(H$92*D$51)-(MIN(H$92,$C$19-1)*D$64+MAX(0,H$92-($C$19-1))*D$65+INDEX($E$72:$E$78,MIN(H$92,6)+1)+IF($C$16="Mensual fijo",$C$14/$C$7,0))</f>
        <v>-28936.4310810812</v>
      </c>
      <c r="I102" s="11" t="n">
        <f aca="false">(I$92*D$51)-(MIN(I$92,$C$19-1)*D$64+MAX(0,I$92-($C$19-1))*D$65+INDEX($E$72:$E$78,MIN(I$92,6)+1)+IF($C$16="Mensual fijo",$C$14/$C$7,0))</f>
        <v>3209.82702702703</v>
      </c>
      <c r="J102" s="11" t="n">
        <f aca="false">(J$92*D$51)-(MIN(J$92,$C$19-1)*D$64+MAX(0,J$92-($C$19-1))*D$65+INDEX($E$72:$E$78,MIN(J$92,6)+1)+IF($C$16="Mensual fijo",$C$14/$C$7,0))</f>
        <v>35356.0851351351</v>
      </c>
      <c r="K102" s="11" t="n">
        <f aca="false">(K$92*D$51)-(MIN(K$92,$C$19-1)*D$64+MAX(0,K$92-($C$19-1))*D$65+INDEX($E$72:$E$78,MIN(K$92,6)+1)+IF($C$16="Mensual fijo",$C$14/$C$7,0))</f>
        <v>67502.3432432432</v>
      </c>
      <c r="L102" s="11" t="n">
        <f aca="false">(L$92*D$51)-(MIN(L$92,$C$19-1)*D$64+MAX(0,L$92-($C$19-1))*D$65+INDEX($E$72:$E$78,MIN(L$92,6)+1)+IF($C$16="Mensual fijo",$C$14/$C$7,0))</f>
        <v>99648.6013513514</v>
      </c>
      <c r="M102" s="11" t="n">
        <f aca="false">(M$92*D$51)-(MIN(M$92,$C$19-1)*D$64+MAX(0,M$92-($C$19-1))*D$65+INDEX($E$72:$E$78,MIN(M$92,6)+1)+IF($C$16="Mensual fijo",$C$14/$C$7,0))</f>
        <v>131794.85945946</v>
      </c>
      <c r="N102" s="11" t="n">
        <f aca="false">(N$92*D$51)-(MIN(N$92,$C$19-1)*D$64+MAX(0,N$92-($C$19-1))*D$65+INDEX($E$72:$E$78,MIN(N$92,6)+1)+IF($C$16="Mensual fijo",$C$14/$C$7,0))</f>
        <v>163941.117567568</v>
      </c>
      <c r="O102" s="37" t="n">
        <f aca="false">IFERROR(INDEX($C$92:$N$92,MATCH(1,INDEX(--(C102:N102&gt;=0),0),0)),"no cruza")</f>
        <v>7</v>
      </c>
    </row>
    <row r="103" customFormat="false" ht="15" hidden="false" customHeight="false" outlineLevel="0" collapsed="false">
      <c r="B103" s="10" t="s">
        <v>325</v>
      </c>
      <c r="C103" s="11" t="n">
        <f aca="false">(C$92*E$51)-(MIN(C$92,$C$19-1)*E$64+MAX(0,C$92-($C$19-1))*E$65+INDEX($E$72:$E$78,MIN(C$92,6)+1)+IF($C$16="Mensual fijo",$C$14/$C$7,0))</f>
        <v>-189713.08</v>
      </c>
      <c r="D103" s="11" t="n">
        <f aca="false">(D$92*E$51)-(MIN(D$92,$C$19-1)*E$64+MAX(0,D$92-($C$19-1))*E$65+INDEX($E$72:$E$78,MIN(D$92,6)+1)+IF($C$16="Mensual fijo",$C$14/$C$7,0))</f>
        <v>-190846.688648649</v>
      </c>
      <c r="E103" s="11" t="n">
        <f aca="false">(E$92*E$51)-(MIN(E$92,$C$19-1)*E$64+MAX(0,E$92-($C$19-1))*E$65+INDEX($E$72:$E$78,MIN(E$92,6)+1)+IF($C$16="Mensual fijo",$C$14/$C$7,0))</f>
        <v>-205210.752432433</v>
      </c>
      <c r="F103" s="11" t="n">
        <f aca="false">(F$92*E$51)-(MIN(F$92,$C$19-1)*E$64+MAX(0,F$92-($C$19-1))*E$65+INDEX($E$72:$E$78,MIN(F$92,6)+1)+IF($C$16="Mensual fijo",$C$14/$C$7,0))</f>
        <v>-231664.070810811</v>
      </c>
      <c r="G103" s="11" t="n">
        <f aca="false">(G$92*E$51)-(MIN(G$92,$C$19-1)*E$64+MAX(0,G$92-($C$19-1))*E$65+INDEX($E$72:$E$78,MIN(G$92,6)+1)+IF($C$16="Mensual fijo",$C$14/$C$7,0))</f>
        <v>-255896.962432432</v>
      </c>
      <c r="H103" s="11" t="n">
        <f aca="false">(H$92*E$51)-(MIN(H$92,$C$19-1)*E$64+MAX(0,H$92-($C$19-1))*E$65+INDEX($E$72:$E$78,MIN(H$92,6)+1)+IF($C$16="Mensual fijo",$C$14/$C$7,0))</f>
        <v>-204196.83972973</v>
      </c>
      <c r="I103" s="11" t="n">
        <f aca="false">(I$92*E$51)-(MIN(I$92,$C$19-1)*E$64+MAX(0,I$92-($C$19-1))*E$65+INDEX($E$72:$E$78,MIN(I$92,6)+1)+IF($C$16="Mensual fijo",$C$14/$C$7,0))</f>
        <v>-193449.255135135</v>
      </c>
      <c r="J103" s="11" t="n">
        <f aca="false">(J$92*E$51)-(MIN(J$92,$C$19-1)*E$64+MAX(0,J$92-($C$19-1))*E$65+INDEX($E$72:$E$78,MIN(J$92,6)+1)+IF($C$16="Mensual fijo",$C$14/$C$7,0))</f>
        <v>-182701.670540541</v>
      </c>
      <c r="K103" s="11" t="n">
        <f aca="false">(K$92*E$51)-(MIN(K$92,$C$19-1)*E$64+MAX(0,K$92-($C$19-1))*E$65+INDEX($E$72:$E$78,MIN(K$92,6)+1)+IF($C$16="Mensual fijo",$C$14/$C$7,0))</f>
        <v>-171954.085945946</v>
      </c>
      <c r="L103" s="11" t="n">
        <f aca="false">(L$92*E$51)-(MIN(L$92,$C$19-1)*E$64+MAX(0,L$92-($C$19-1))*E$65+INDEX($E$72:$E$78,MIN(L$92,6)+1)+IF($C$16="Mensual fijo",$C$14/$C$7,0))</f>
        <v>-161206.501351352</v>
      </c>
      <c r="M103" s="11" t="n">
        <f aca="false">(M$92*E$51)-(MIN(M$92,$C$19-1)*E$64+MAX(0,M$92-($C$19-1))*E$65+INDEX($E$72:$E$78,MIN(M$92,6)+1)+IF($C$16="Mensual fijo",$C$14/$C$7,0))</f>
        <v>-150458.916756757</v>
      </c>
      <c r="N103" s="11" t="n">
        <f aca="false">(N$92*E$51)-(MIN(N$92,$C$19-1)*E$64+MAX(0,N$92-($C$19-1))*E$65+INDEX($E$72:$E$78,MIN(N$92,6)+1)+IF($C$16="Mensual fijo",$C$14/$C$7,0))</f>
        <v>-139711.332162162</v>
      </c>
      <c r="O103" s="37" t="str">
        <f aca="false">IFERROR(INDEX($C$92:$N$92,MATCH(1,INDEX(--(C103:N103&gt;=0),0),0)),"no cruza")</f>
        <v>no cruza</v>
      </c>
    </row>
    <row r="104" customFormat="false" ht="15" hidden="false" customHeight="false" outlineLevel="0" collapsed="false">
      <c r="B104" s="10" t="s">
        <v>326</v>
      </c>
      <c r="C104" s="11" t="n">
        <f aca="false">(C$92*F$51)-(MIN(C$92,$C$19-1)*F$64+MAX(0,C$92-($C$19-1))*F$65+INDEX($E$72:$E$78,MIN(C$92,6)+1)+IF($C$16="Mensual fijo",$C$14/$C$7,0))</f>
        <v>-191858.986486486</v>
      </c>
      <c r="D104" s="11" t="n">
        <f aca="false">(D$92*F$51)-(MIN(D$92,$C$19-1)*F$64+MAX(0,D$92-($C$19-1))*F$65+INDEX($E$72:$E$78,MIN(D$92,6)+1)+IF($C$16="Mensual fijo",$C$14/$C$7,0))</f>
        <v>-195138.501621622</v>
      </c>
      <c r="E104" s="11" t="n">
        <f aca="false">(E$92*F$51)-(MIN(E$92,$C$19-1)*F$64+MAX(0,E$92-($C$19-1))*F$65+INDEX($E$72:$E$78,MIN(E$92,6)+1)+IF($C$16="Mensual fijo",$C$14/$C$7,0))</f>
        <v>-211648.471891892</v>
      </c>
      <c r="F104" s="11" t="n">
        <f aca="false">(F$92*F$51)-(MIN(F$92,$C$19-1)*F$64+MAX(0,F$92-($C$19-1))*F$65+INDEX($E$72:$E$78,MIN(F$92,6)+1)+IF($C$16="Mensual fijo",$C$14/$C$7,0))</f>
        <v>-240247.696756757</v>
      </c>
      <c r="G104" s="11" t="n">
        <f aca="false">(G$92*F$51)-(MIN(G$92,$C$19-1)*F$64+MAX(0,G$92-($C$19-1))*F$65+INDEX($E$72:$E$78,MIN(G$92,6)+1)+IF($C$16="Mensual fijo",$C$14/$C$7,0))</f>
        <v>-266626.494864865</v>
      </c>
      <c r="H104" s="11" t="n">
        <f aca="false">(H$92*F$51)-(MIN(H$92,$C$19-1)*F$64+MAX(0,H$92-($C$19-1))*F$65+INDEX($E$72:$E$78,MIN(H$92,6)+1)+IF($C$16="Mensual fijo",$C$14/$C$7,0))</f>
        <v>-211511.325405406</v>
      </c>
      <c r="I104" s="11" t="n">
        <f aca="false">(I$92*F$51)-(MIN(I$92,$C$19-1)*F$64+MAX(0,I$92-($C$19-1))*F$65+INDEX($E$72:$E$78,MIN(I$92,6)+1)+IF($C$16="Mensual fijo",$C$14/$C$7,0))</f>
        <v>-197348.694054054</v>
      </c>
      <c r="J104" s="11" t="n">
        <f aca="false">(J$92*F$51)-(MIN(J$92,$C$19-1)*F$64+MAX(0,J$92-($C$19-1))*F$65+INDEX($E$72:$E$78,MIN(J$92,6)+1)+IF($C$16="Mensual fijo",$C$14/$C$7,0))</f>
        <v>-183186.062702703</v>
      </c>
      <c r="K104" s="11" t="n">
        <f aca="false">(K$92*F$51)-(MIN(K$92,$C$19-1)*F$64+MAX(0,K$92-($C$19-1))*F$65+INDEX($E$72:$E$78,MIN(K$92,6)+1)+IF($C$16="Mensual fijo",$C$14/$C$7,0))</f>
        <v>-169023.431351352</v>
      </c>
      <c r="L104" s="11" t="n">
        <f aca="false">(L$92*F$51)-(MIN(L$92,$C$19-1)*F$64+MAX(0,L$92-($C$19-1))*F$65+INDEX($E$72:$E$78,MIN(L$92,6)+1)+IF($C$16="Mensual fijo",$C$14/$C$7,0))</f>
        <v>-154860.8</v>
      </c>
      <c r="M104" s="11" t="n">
        <f aca="false">(M$92*F$51)-(MIN(M$92,$C$19-1)*F$64+MAX(0,M$92-($C$19-1))*F$65+INDEX($E$72:$E$78,MIN(M$92,6)+1)+IF($C$16="Mensual fijo",$C$14/$C$7,0))</f>
        <v>-140698.168648649</v>
      </c>
      <c r="N104" s="11" t="n">
        <f aca="false">(N$92*F$51)-(MIN(N$92,$C$19-1)*F$64+MAX(0,N$92-($C$19-1))*F$65+INDEX($E$72:$E$78,MIN(N$92,6)+1)+IF($C$16="Mensual fijo",$C$14/$C$7,0))</f>
        <v>-126535.537297298</v>
      </c>
      <c r="O104" s="37" t="str">
        <f aca="false">IFERROR(INDEX($C$92:$N$92,MATCH(1,INDEX(--(C104:N104&gt;=0),0),0)),"no cruza")</f>
        <v>no cruza</v>
      </c>
    </row>
    <row r="105" customFormat="false" ht="15" hidden="false" customHeight="false" outlineLevel="0" collapsed="false">
      <c r="B105" s="10" t="s">
        <v>327</v>
      </c>
      <c r="C105" s="11" t="n">
        <f aca="false">(C$92*C$51)-(MIN(C$92,$C$19-1)*C$66+MAX(0,C$92-($C$19-1))*C$67+INDEX($F$72:$F$78,MIN(C$92,6)+1)+IF($C$16="Mensual fijo",$C$14/$C$7,0))</f>
        <v>-176595.640540541</v>
      </c>
      <c r="D105" s="11" t="n">
        <f aca="false">(D$92*C$51)-(MIN(D$92,$C$19-1)*C$66+MAX(0,D$92-($C$19-1))*C$67+INDEX($F$72:$F$78,MIN(D$92,6)+1)+IF($C$16="Mensual fijo",$C$14/$C$7,0))</f>
        <v>-110657.541891892</v>
      </c>
      <c r="E105" s="11" t="n">
        <f aca="false">(E$92*C$51)-(MIN(E$92,$C$19-1)*C$66+MAX(0,E$92-($C$19-1))*C$67+INDEX($F$72:$F$78,MIN(E$92,6)+1)+IF($C$16="Mensual fijo",$C$14/$C$7,0))</f>
        <v>-44719.4432432433</v>
      </c>
      <c r="F105" s="11" t="n">
        <f aca="false">(F$92*C$51)-(MIN(F$92,$C$19-1)*C$66+MAX(0,F$92-($C$19-1))*C$67+INDEX($F$72:$F$78,MIN(F$92,6)+1)+IF($C$16="Mensual fijo",$C$14/$C$7,0))</f>
        <v>21218.6554054054</v>
      </c>
      <c r="G105" s="11" t="n">
        <f aca="false">(G$92*C$51)-(MIN(G$92,$C$19-1)*C$66+MAX(0,G$92-($C$19-1))*C$67+INDEX($F$72:$F$78,MIN(G$92,6)+1)+IF($C$16="Mensual fijo",$C$14/$C$7,0))</f>
        <v>87156.754054054</v>
      </c>
      <c r="H105" s="11" t="n">
        <f aca="false">(H$92*C$51)-(MIN(H$92,$C$19-1)*C$66+MAX(0,H$92-($C$19-1))*C$67+INDEX($F$72:$F$78,MIN(H$92,6)+1)+IF($C$16="Mensual fijo",$C$14/$C$7,0))</f>
        <v>112440.267567568</v>
      </c>
      <c r="I105" s="11" t="n">
        <f aca="false">(I$92*C$51)-(MIN(I$92,$C$19-1)*C$66+MAX(0,I$92-($C$19-1))*C$67+INDEX($F$72:$F$78,MIN(I$92,6)+1)+IF($C$16="Mensual fijo",$C$14/$C$7,0))</f>
        <v>137723.781081081</v>
      </c>
      <c r="J105" s="11" t="n">
        <f aca="false">(J$92*C$51)-(MIN(J$92,$C$19-1)*C$66+MAX(0,J$92-($C$19-1))*C$67+INDEX($F$72:$F$78,MIN(J$92,6)+1)+IF($C$16="Mensual fijo",$C$14/$C$7,0))</f>
        <v>163007.294594595</v>
      </c>
      <c r="K105" s="11" t="n">
        <f aca="false">(K$92*C$51)-(MIN(K$92,$C$19-1)*C$66+MAX(0,K$92-($C$19-1))*C$67+INDEX($F$72:$F$78,MIN(K$92,6)+1)+IF($C$16="Mensual fijo",$C$14/$C$7,0))</f>
        <v>188290.808108108</v>
      </c>
      <c r="L105" s="11" t="n">
        <f aca="false">(L$92*C$51)-(MIN(L$92,$C$19-1)*C$66+MAX(0,L$92-($C$19-1))*C$67+INDEX($F$72:$F$78,MIN(L$92,6)+1)+IF($C$16="Mensual fijo",$C$14/$C$7,0))</f>
        <v>213574.321621622</v>
      </c>
      <c r="M105" s="11" t="n">
        <f aca="false">(M$92*C$51)-(MIN(M$92,$C$19-1)*C$66+MAX(0,M$92-($C$19-1))*C$67+INDEX($F$72:$F$78,MIN(M$92,6)+1)+IF($C$16="Mensual fijo",$C$14/$C$7,0))</f>
        <v>238857.835135135</v>
      </c>
      <c r="N105" s="11" t="n">
        <f aca="false">(N$92*C$51)-(MIN(N$92,$C$19-1)*C$66+MAX(0,N$92-($C$19-1))*C$67+INDEX($F$72:$F$78,MIN(N$92,6)+1)+IF($C$16="Mensual fijo",$C$14/$C$7,0))</f>
        <v>264141.348648649</v>
      </c>
      <c r="O105" s="37" t="n">
        <f aca="false">IFERROR(INDEX($C$92:$N$92,MATCH(1,INDEX(--(C105:N105&gt;=0),0),0)),"no cruza")</f>
        <v>4</v>
      </c>
    </row>
    <row r="106" customFormat="false" ht="15" hidden="false" customHeight="false" outlineLevel="0" collapsed="false">
      <c r="B106" s="10" t="s">
        <v>328</v>
      </c>
      <c r="C106" s="11" t="n">
        <f aca="false">(C$92*D$51)-(MIN(C$92,$C$19-1)*D$66+MAX(0,C$92-($C$19-1))*D$67+INDEX($F$72:$F$78,MIN(C$92,6)+1)+IF($C$16="Mensual fijo",$C$14/$C$7,0))</f>
        <v>-180140.37027027</v>
      </c>
      <c r="D106" s="11" t="n">
        <f aca="false">(D$92*D$51)-(MIN(D$92,$C$19-1)*D$66+MAX(0,D$92-($C$19-1))*D$67+INDEX($F$72:$F$78,MIN(D$92,6)+1)+IF($C$16="Mensual fijo",$C$14/$C$7,0))</f>
        <v>-117747.001351351</v>
      </c>
      <c r="E106" s="11" t="n">
        <f aca="false">(E$92*D$51)-(MIN(E$92,$C$19-1)*D$66+MAX(0,E$92-($C$19-1))*D$67+INDEX($F$72:$F$78,MIN(E$92,6)+1)+IF($C$16="Mensual fijo",$C$14/$C$7,0))</f>
        <v>-55353.6324324324</v>
      </c>
      <c r="F106" s="11" t="n">
        <f aca="false">(F$92*D$51)-(MIN(F$92,$C$19-1)*D$66+MAX(0,F$92-($C$19-1))*D$67+INDEX($F$72:$F$78,MIN(F$92,6)+1)+IF($C$16="Mensual fijo",$C$14/$C$7,0))</f>
        <v>7039.73648648651</v>
      </c>
      <c r="G106" s="11" t="n">
        <f aca="false">(G$92*D$51)-(MIN(G$92,$C$19-1)*D$66+MAX(0,G$92-($C$19-1))*D$67+INDEX($F$72:$F$78,MIN(G$92,6)+1)+IF($C$16="Mensual fijo",$C$14/$C$7,0))</f>
        <v>69433.1054054055</v>
      </c>
      <c r="H106" s="11" t="n">
        <f aca="false">(H$92*D$51)-(MIN(H$92,$C$19-1)*D$66+MAX(0,H$92-($C$19-1))*D$67+INDEX($F$72:$F$78,MIN(H$92,6)+1)+IF($C$16="Mensual fijo",$C$14/$C$7,0))</f>
        <v>109407.024324324</v>
      </c>
      <c r="I106" s="11" t="n">
        <f aca="false">(I$92*D$51)-(MIN(I$92,$C$19-1)*D$66+MAX(0,I$92-($C$19-1))*D$67+INDEX($F$72:$F$78,MIN(I$92,6)+1)+IF($C$16="Mensual fijo",$C$14/$C$7,0))</f>
        <v>149380.943243243</v>
      </c>
      <c r="J106" s="11" t="n">
        <f aca="false">(J$92*D$51)-(MIN(J$92,$C$19-1)*D$66+MAX(0,J$92-($C$19-1))*D$67+INDEX($F$72:$F$78,MIN(J$92,6)+1)+IF($C$16="Mensual fijo",$C$14/$C$7,0))</f>
        <v>189354.862162162</v>
      </c>
      <c r="K106" s="11" t="n">
        <f aca="false">(K$92*D$51)-(MIN(K$92,$C$19-1)*D$66+MAX(0,K$92-($C$19-1))*D$67+INDEX($F$72:$F$78,MIN(K$92,6)+1)+IF($C$16="Mensual fijo",$C$14/$C$7,0))</f>
        <v>229328.781081081</v>
      </c>
      <c r="L106" s="11" t="n">
        <f aca="false">(L$92*D$51)-(MIN(L$92,$C$19-1)*D$66+MAX(0,L$92-($C$19-1))*D$67+INDEX($F$72:$F$78,MIN(L$92,6)+1)+IF($C$16="Mensual fijo",$C$14/$C$7,0))</f>
        <v>269302.7</v>
      </c>
      <c r="M106" s="11" t="n">
        <f aca="false">(M$92*D$51)-(MIN(M$92,$C$19-1)*D$66+MAX(0,M$92-($C$19-1))*D$67+INDEX($F$72:$F$78,MIN(M$92,6)+1)+IF($C$16="Mensual fijo",$C$14/$C$7,0))</f>
        <v>309276.618918919</v>
      </c>
      <c r="N106" s="11" t="n">
        <f aca="false">(N$92*D$51)-(MIN(N$92,$C$19-1)*D$66+MAX(0,N$92-($C$19-1))*D$67+INDEX($F$72:$F$78,MIN(N$92,6)+1)+IF($C$16="Mensual fijo",$C$14/$C$7,0))</f>
        <v>349250.537837838</v>
      </c>
      <c r="O106" s="37" t="n">
        <f aca="false">IFERROR(INDEX($C$92:$N$92,MATCH(1,INDEX(--(C106:N106&gt;=0),0),0)),"no cruza")</f>
        <v>4</v>
      </c>
    </row>
    <row r="107" customFormat="false" ht="15" hidden="false" customHeight="false" outlineLevel="0" collapsed="false">
      <c r="B107" s="10" t="s">
        <v>329</v>
      </c>
      <c r="C107" s="11" t="n">
        <f aca="false">(C$92*E$51)-(MIN(C$92,$C$19-1)*E$66+MAX(0,C$92-($C$19-1))*E$67+INDEX($F$72:$F$78,MIN(C$92,6)+1)+IF($C$16="Mensual fijo",$C$14/$C$7,0))</f>
        <v>-203327.532432432</v>
      </c>
      <c r="D107" s="11" t="n">
        <f aca="false">(D$92*E$51)-(MIN(D$92,$C$19-1)*E$66+MAX(0,D$92-($C$19-1))*E$67+INDEX($F$72:$F$78,MIN(D$92,6)+1)+IF($C$16="Mensual fijo",$C$14/$C$7,0))</f>
        <v>-164121.325675676</v>
      </c>
      <c r="E107" s="11" t="n">
        <f aca="false">(E$92*E$51)-(MIN(E$92,$C$19-1)*E$66+MAX(0,E$92-($C$19-1))*E$67+INDEX($F$72:$F$78,MIN(E$92,6)+1)+IF($C$16="Mensual fijo",$C$14/$C$7,0))</f>
        <v>-124915.118918919</v>
      </c>
      <c r="F107" s="11" t="n">
        <f aca="false">(F$92*E$51)-(MIN(F$92,$C$19-1)*E$66+MAX(0,F$92-($C$19-1))*E$67+INDEX($F$72:$F$78,MIN(F$92,6)+1)+IF($C$16="Mensual fijo",$C$14/$C$7,0))</f>
        <v>-85708.9121621621</v>
      </c>
      <c r="G107" s="11" t="n">
        <f aca="false">(G$92*E$51)-(MIN(G$92,$C$19-1)*E$66+MAX(0,G$92-($C$19-1))*E$67+INDEX($F$72:$F$78,MIN(G$92,6)+1)+IF($C$16="Mensual fijo",$C$14/$C$7,0))</f>
        <v>-46502.7054054054</v>
      </c>
      <c r="H107" s="11" t="n">
        <f aca="false">(H$92*E$51)-(MIN(H$92,$C$19-1)*E$66+MAX(0,H$92-($C$19-1))*E$67+INDEX($F$72:$F$78,MIN(H$92,6)+1)+IF($C$16="Mensual fijo",$C$14/$C$7,0))</f>
        <v>-22830.8135135135</v>
      </c>
      <c r="I107" s="11" t="n">
        <f aca="false">(I$92*E$51)-(MIN(I$92,$C$19-1)*E$66+MAX(0,I$92-($C$19-1))*E$67+INDEX($F$72:$F$78,MIN(I$92,6)+1)+IF($C$16="Mensual fijo",$C$14/$C$7,0))</f>
        <v>841.078378378414</v>
      </c>
      <c r="J107" s="11" t="n">
        <f aca="false">(J$92*E$51)-(MIN(J$92,$C$19-1)*E$66+MAX(0,J$92-($C$19-1))*E$67+INDEX($F$72:$F$78,MIN(J$92,6)+1)+IF($C$16="Mensual fijo",$C$14/$C$7,0))</f>
        <v>24512.9702702703</v>
      </c>
      <c r="K107" s="11" t="n">
        <f aca="false">(K$92*E$51)-(MIN(K$92,$C$19-1)*E$66+MAX(0,K$92-($C$19-1))*E$67+INDEX($F$72:$F$78,MIN(K$92,6)+1)+IF($C$16="Mensual fijo",$C$14/$C$7,0))</f>
        <v>48184.8621621622</v>
      </c>
      <c r="L107" s="11" t="n">
        <f aca="false">(L$92*E$51)-(MIN(L$92,$C$19-1)*E$66+MAX(0,L$92-($C$19-1))*E$67+INDEX($F$72:$F$78,MIN(L$92,6)+1)+IF($C$16="Mensual fijo",$C$14/$C$7,0))</f>
        <v>71856.754054054</v>
      </c>
      <c r="M107" s="11" t="n">
        <f aca="false">(M$92*E$51)-(MIN(M$92,$C$19-1)*E$66+MAX(0,M$92-($C$19-1))*E$67+INDEX($F$72:$F$78,MIN(M$92,6)+1)+IF($C$16="Mensual fijo",$C$14/$C$7,0))</f>
        <v>95528.6459459461</v>
      </c>
      <c r="N107" s="11" t="n">
        <f aca="false">(N$92*E$51)-(MIN(N$92,$C$19-1)*E$66+MAX(0,N$92-($C$19-1))*E$67+INDEX($F$72:$F$78,MIN(N$92,6)+1)+IF($C$16="Mensual fijo",$C$14/$C$7,0))</f>
        <v>119200.537837838</v>
      </c>
      <c r="O107" s="37" t="n">
        <f aca="false">IFERROR(INDEX($C$92:$N$92,MATCH(1,INDEX(--(C107:N107&gt;=0),0),0)),"no cruza")</f>
        <v>7</v>
      </c>
    </row>
    <row r="108" customFormat="false" ht="15" hidden="false" customHeight="false" outlineLevel="0" collapsed="false">
      <c r="B108" s="10" t="s">
        <v>330</v>
      </c>
      <c r="C108" s="11" t="n">
        <f aca="false">(C$92*F$51)-(MIN(C$92,$C$19-1)*F$66+MAX(0,C$92-($C$19-1))*F$67+INDEX($F$72:$F$78,MIN(C$92,6)+1)+IF($C$16="Mensual fijo",$C$14/$C$7,0))</f>
        <v>-195448.018918919</v>
      </c>
      <c r="D108" s="11" t="n">
        <f aca="false">(D$92*F$51)-(MIN(D$92,$C$19-1)*F$66+MAX(0,D$92-($C$19-1))*F$67+INDEX($F$72:$F$78,MIN(D$92,6)+1)+IF($C$16="Mensual fijo",$C$14/$C$7,0))</f>
        <v>-148362.298648649</v>
      </c>
      <c r="E108" s="11" t="n">
        <f aca="false">(E$92*F$51)-(MIN(E$92,$C$19-1)*F$66+MAX(0,E$92-($C$19-1))*F$67+INDEX($F$72:$F$78,MIN(E$92,6)+1)+IF($C$16="Mensual fijo",$C$14/$C$7,0))</f>
        <v>-101276.578378378</v>
      </c>
      <c r="F108" s="11" t="n">
        <f aca="false">(F$92*F$51)-(MIN(F$92,$C$19-1)*F$66+MAX(0,F$92-($C$19-1))*F$67+INDEX($F$72:$F$78,MIN(F$92,6)+1)+IF($C$16="Mensual fijo",$C$14/$C$7,0))</f>
        <v>-54190.8581081081</v>
      </c>
      <c r="G108" s="11" t="n">
        <f aca="false">(G$92*F$51)-(MIN(G$92,$C$19-1)*F$66+MAX(0,G$92-($C$19-1))*F$67+INDEX($F$72:$F$78,MIN(G$92,6)+1)+IF($C$16="Mensual fijo",$C$14/$C$7,0))</f>
        <v>-7105.1378378378</v>
      </c>
      <c r="H108" s="11" t="n">
        <f aca="false">(H$92*F$51)-(MIN(H$92,$C$19-1)*F$66+MAX(0,H$92-($C$19-1))*F$67+INDEX($F$72:$F$78,MIN(H$92,6)+1)+IF($C$16="Mensual fijo",$C$14/$C$7,0))</f>
        <v>17961.672972973</v>
      </c>
      <c r="I108" s="11" t="n">
        <f aca="false">(I$92*F$51)-(MIN(I$92,$C$19-1)*F$66+MAX(0,I$92-($C$19-1))*F$67+INDEX($F$72:$F$78,MIN(I$92,6)+1)+IF($C$16="Mensual fijo",$C$14/$C$7,0))</f>
        <v>43028.4837837839</v>
      </c>
      <c r="J108" s="11" t="n">
        <f aca="false">(J$92*F$51)-(MIN(J$92,$C$19-1)*F$66+MAX(0,J$92-($C$19-1))*F$67+INDEX($F$72:$F$78,MIN(J$92,6)+1)+IF($C$16="Mensual fijo",$C$14/$C$7,0))</f>
        <v>68095.2945945946</v>
      </c>
      <c r="K108" s="11" t="n">
        <f aca="false">(K$92*F$51)-(MIN(K$92,$C$19-1)*F$66+MAX(0,K$92-($C$19-1))*F$67+INDEX($F$72:$F$78,MIN(K$92,6)+1)+IF($C$16="Mensual fijo",$C$14/$C$7,0))</f>
        <v>93162.1054054054</v>
      </c>
      <c r="L108" s="11" t="n">
        <f aca="false">(L$92*F$51)-(MIN(L$92,$C$19-1)*F$66+MAX(0,L$92-($C$19-1))*F$67+INDEX($F$72:$F$78,MIN(L$92,6)+1)+IF($C$16="Mensual fijo",$C$14/$C$7,0))</f>
        <v>118228.916216216</v>
      </c>
      <c r="M108" s="11" t="n">
        <f aca="false">(M$92*F$51)-(MIN(M$92,$C$19-1)*F$66+MAX(0,M$92-($C$19-1))*F$67+INDEX($F$72:$F$78,MIN(M$92,6)+1)+IF($C$16="Mensual fijo",$C$14/$C$7,0))</f>
        <v>143295.727027027</v>
      </c>
      <c r="N108" s="11" t="n">
        <f aca="false">(N$92*F$51)-(MIN(N$92,$C$19-1)*F$66+MAX(0,N$92-($C$19-1))*F$67+INDEX($F$72:$F$78,MIN(N$92,6)+1)+IF($C$16="Mensual fijo",$C$14/$C$7,0))</f>
        <v>168362.537837838</v>
      </c>
      <c r="O108" s="37" t="n">
        <f aca="false">IFERROR(INDEX($C$92:$N$92,MATCH(1,INDEX(--(C108:N108&gt;=0),0),0)),"no cruza")</f>
        <v>6</v>
      </c>
    </row>
    <row r="109" customFormat="false" ht="27.75" hidden="false" customHeight="true" outlineLevel="0" collapsed="false">
      <c r="B109" s="28" t="s">
        <v>331</v>
      </c>
      <c r="C109" s="28"/>
      <c r="D109" s="28"/>
      <c r="E109" s="28"/>
      <c r="F109" s="28"/>
      <c r="G109" s="28"/>
      <c r="H109" s="28"/>
      <c r="I109" s="28"/>
      <c r="J109" s="28"/>
      <c r="K109" s="28"/>
      <c r="L109" s="28"/>
      <c r="M109" s="28"/>
      <c r="N109" s="28"/>
      <c r="O109" s="28"/>
    </row>
    <row r="111" customFormat="false" ht="15" hidden="false" customHeight="false" outlineLevel="0" collapsed="false">
      <c r="B111" s="3" t="s">
        <v>332</v>
      </c>
      <c r="C111" s="3"/>
      <c r="D111" s="3"/>
      <c r="E111" s="3"/>
      <c r="F111" s="3"/>
      <c r="G111" s="3"/>
      <c r="H111" s="3"/>
      <c r="I111" s="3"/>
      <c r="J111" s="3"/>
      <c r="K111" s="3"/>
    </row>
    <row r="112" customFormat="false" ht="27.75" hidden="false" customHeight="true" outlineLevel="0" collapsed="false">
      <c r="B112" s="28" t="s">
        <v>333</v>
      </c>
      <c r="C112" s="28"/>
      <c r="D112" s="28"/>
      <c r="E112" s="28"/>
      <c r="F112" s="28"/>
      <c r="G112" s="28"/>
      <c r="H112" s="28"/>
      <c r="I112" s="28"/>
      <c r="J112" s="28"/>
      <c r="K112" s="28"/>
    </row>
    <row r="114" customFormat="false" ht="27.75" hidden="false" customHeight="true" outlineLevel="0" collapsed="false">
      <c r="B114" s="5" t="s">
        <v>334</v>
      </c>
      <c r="C114" s="5" t="s">
        <v>335</v>
      </c>
      <c r="D114" s="5" t="s">
        <v>336</v>
      </c>
      <c r="E114" s="5" t="s">
        <v>337</v>
      </c>
      <c r="F114" s="5" t="s">
        <v>338</v>
      </c>
      <c r="G114" s="5" t="s">
        <v>339</v>
      </c>
      <c r="H114" s="5" t="s">
        <v>340</v>
      </c>
      <c r="I114" s="5" t="s">
        <v>341</v>
      </c>
    </row>
    <row r="115" customFormat="false" ht="15" hidden="false" customHeight="false" outlineLevel="0" collapsed="false">
      <c r="B115" s="26" t="n">
        <v>1</v>
      </c>
      <c r="C115" s="38" t="n">
        <f aca="false">IF($C$31="Constante",$C$32,IF($C$31="Perfil 2024",INDEX($C$33:$M$33,MOD(B115-1,COUNT($C$33:$M$33))+1),INDEX($C$34:$M$34,MOD(B115-1,COUNT($C$34:$M$34))+1)))</f>
        <v>5</v>
      </c>
      <c r="D115" s="38" t="n">
        <f aca="false">C115*(1-$C$23)</f>
        <v>5</v>
      </c>
      <c r="E115" s="38" t="n">
        <f aca="false">D115</f>
        <v>5</v>
      </c>
      <c r="F115" s="26" t="n">
        <f aca="false">COUNTIF($E$157:$E$216,B115)</f>
        <v>5</v>
      </c>
      <c r="G115" s="11" t="n">
        <f aca="false">IF(F115=0,IF(B115&lt;=MAX($E$157:$E$216),$E$72,0),INDEX($E$72:$E$78,MIN(F115,6)+1))</f>
        <v>40952.5381081081</v>
      </c>
      <c r="H115" s="11" t="n">
        <f aca="false">IF(F115=0,IF(B115&lt;=MAX($E$157:$E$216),$F$72,0),INDEX($F$72:$F$78,MIN(F115,6)+1))</f>
        <v>0</v>
      </c>
      <c r="I115" s="11" t="n">
        <f aca="false">IF(AND($C$16="Mensual fijo",F115&gt;0),$C$14/$C$7,0)</f>
        <v>16216.2162162162</v>
      </c>
    </row>
    <row r="116" customFormat="false" ht="15" hidden="false" customHeight="false" outlineLevel="0" collapsed="false">
      <c r="B116" s="26" t="n">
        <v>2</v>
      </c>
      <c r="C116" s="38" t="n">
        <f aca="false">IF($C$31="Constante",$C$32,IF($C$31="Perfil 2024",INDEX($C$33:$M$33,MOD(B116-1,COUNT($C$33:$M$33))+1),INDEX($C$34:$M$34,MOD(B116-1,COUNT($C$34:$M$34))+1)))</f>
        <v>5</v>
      </c>
      <c r="D116" s="38" t="n">
        <f aca="false">C116*(1-$C$23)</f>
        <v>5</v>
      </c>
      <c r="E116" s="38" t="n">
        <f aca="false">E115+D116</f>
        <v>10</v>
      </c>
      <c r="F116" s="26" t="n">
        <f aca="false">COUNTIF($E$157:$E$216,B116)</f>
        <v>5</v>
      </c>
      <c r="G116" s="11" t="n">
        <f aca="false">IF(F116=0,IF(B116&lt;=MAX($E$157:$E$216),$E$72,0),INDEX($E$72:$E$78,MIN(F116,6)+1))</f>
        <v>40952.5381081081</v>
      </c>
      <c r="H116" s="11" t="n">
        <f aca="false">IF(F116=0,IF(B116&lt;=MAX($E$157:$E$216),$F$72,0),INDEX($F$72:$F$78,MIN(F116,6)+1))</f>
        <v>0</v>
      </c>
      <c r="I116" s="11" t="n">
        <f aca="false">IF(AND($C$16="Mensual fijo",F116&gt;0),$C$14/$C$7,0)</f>
        <v>16216.2162162162</v>
      </c>
    </row>
    <row r="117" customFormat="false" ht="15" hidden="false" customHeight="false" outlineLevel="0" collapsed="false">
      <c r="B117" s="26" t="n">
        <v>3</v>
      </c>
      <c r="C117" s="38" t="n">
        <f aca="false">IF($C$31="Constante",$C$32,IF($C$31="Perfil 2024",INDEX($C$33:$M$33,MOD(B117-1,COUNT($C$33:$M$33))+1),INDEX($C$34:$M$34,MOD(B117-1,COUNT($C$34:$M$34))+1)))</f>
        <v>5</v>
      </c>
      <c r="D117" s="38" t="n">
        <f aca="false">C117*(1-$C$23)</f>
        <v>5</v>
      </c>
      <c r="E117" s="38" t="n">
        <f aca="false">E116+D117</f>
        <v>15</v>
      </c>
      <c r="F117" s="26" t="n">
        <f aca="false">COUNTIF($E$157:$E$216,B117)</f>
        <v>5</v>
      </c>
      <c r="G117" s="11" t="n">
        <f aca="false">IF(F117=0,IF(B117&lt;=MAX($E$157:$E$216),$E$72,0),INDEX($E$72:$E$78,MIN(F117,6)+1))</f>
        <v>40952.5381081081</v>
      </c>
      <c r="H117" s="11" t="n">
        <f aca="false">IF(F117=0,IF(B117&lt;=MAX($E$157:$E$216),$F$72,0),INDEX($F$72:$F$78,MIN(F117,6)+1))</f>
        <v>0</v>
      </c>
      <c r="I117" s="11" t="n">
        <f aca="false">IF(AND($C$16="Mensual fijo",F117&gt;0),$C$14/$C$7,0)</f>
        <v>16216.2162162162</v>
      </c>
    </row>
    <row r="118" customFormat="false" ht="15" hidden="false" customHeight="false" outlineLevel="0" collapsed="false">
      <c r="B118" s="26" t="n">
        <v>4</v>
      </c>
      <c r="C118" s="38" t="n">
        <f aca="false">IF($C$31="Constante",$C$32,IF($C$31="Perfil 2024",INDEX($C$33:$M$33,MOD(B118-1,COUNT($C$33:$M$33))+1),INDEX($C$34:$M$34,MOD(B118-1,COUNT($C$34:$M$34))+1)))</f>
        <v>5</v>
      </c>
      <c r="D118" s="38" t="n">
        <f aca="false">C118*(1-$C$23)</f>
        <v>5</v>
      </c>
      <c r="E118" s="38" t="n">
        <f aca="false">E117+D118</f>
        <v>20</v>
      </c>
      <c r="F118" s="26" t="n">
        <f aca="false">COUNTIF($E$157:$E$216,B118)</f>
        <v>5</v>
      </c>
      <c r="G118" s="11" t="n">
        <f aca="false">IF(F118=0,IF(B118&lt;=MAX($E$157:$E$216),$E$72,0),INDEX($E$72:$E$78,MIN(F118,6)+1))</f>
        <v>40952.5381081081</v>
      </c>
      <c r="H118" s="11" t="n">
        <f aca="false">IF(F118=0,IF(B118&lt;=MAX($E$157:$E$216),$F$72,0),INDEX($F$72:$F$78,MIN(F118,6)+1))</f>
        <v>0</v>
      </c>
      <c r="I118" s="11" t="n">
        <f aca="false">IF(AND($C$16="Mensual fijo",F118&gt;0),$C$14/$C$7,0)</f>
        <v>16216.2162162162</v>
      </c>
    </row>
    <row r="119" customFormat="false" ht="15" hidden="false" customHeight="false" outlineLevel="0" collapsed="false">
      <c r="B119" s="26" t="n">
        <v>5</v>
      </c>
      <c r="C119" s="38" t="n">
        <f aca="false">IF($C$31="Constante",$C$32,IF($C$31="Perfil 2024",INDEX($C$33:$M$33,MOD(B119-1,COUNT($C$33:$M$33))+1),INDEX($C$34:$M$34,MOD(B119-1,COUNT($C$34:$M$34))+1)))</f>
        <v>5</v>
      </c>
      <c r="D119" s="38" t="n">
        <f aca="false">C119*(1-$C$23)</f>
        <v>5</v>
      </c>
      <c r="E119" s="38" t="n">
        <f aca="false">E118+D119</f>
        <v>25</v>
      </c>
      <c r="F119" s="26" t="n">
        <f aca="false">COUNTIF($E$157:$E$216,B119)</f>
        <v>5</v>
      </c>
      <c r="G119" s="11" t="n">
        <f aca="false">IF(F119=0,IF(B119&lt;=MAX($E$157:$E$216),$E$72,0),INDEX($E$72:$E$78,MIN(F119,6)+1))</f>
        <v>40952.5381081081</v>
      </c>
      <c r="H119" s="11" t="n">
        <f aca="false">IF(F119=0,IF(B119&lt;=MAX($E$157:$E$216),$F$72,0),INDEX($F$72:$F$78,MIN(F119,6)+1))</f>
        <v>0</v>
      </c>
      <c r="I119" s="11" t="n">
        <f aca="false">IF(AND($C$16="Mensual fijo",F119&gt;0),$C$14/$C$7,0)</f>
        <v>16216.2162162162</v>
      </c>
    </row>
    <row r="120" customFormat="false" ht="15" hidden="false" customHeight="false" outlineLevel="0" collapsed="false">
      <c r="B120" s="26" t="n">
        <v>6</v>
      </c>
      <c r="C120" s="38" t="n">
        <f aca="false">IF($C$31="Constante",$C$32,IF($C$31="Perfil 2024",INDEX($C$33:$M$33,MOD(B120-1,COUNT($C$33:$M$33))+1),INDEX($C$34:$M$34,MOD(B120-1,COUNT($C$34:$M$34))+1)))</f>
        <v>5</v>
      </c>
      <c r="D120" s="38" t="n">
        <f aca="false">C120*(1-$C$23)</f>
        <v>5</v>
      </c>
      <c r="E120" s="38" t="n">
        <f aca="false">E119+D120</f>
        <v>30</v>
      </c>
      <c r="F120" s="26" t="n">
        <f aca="false">COUNTIF($E$157:$E$216,B120)</f>
        <v>5</v>
      </c>
      <c r="G120" s="11" t="n">
        <f aca="false">IF(F120=0,IF(B120&lt;=MAX($E$157:$E$216),$E$72,0),INDEX($E$72:$E$78,MIN(F120,6)+1))</f>
        <v>40952.5381081081</v>
      </c>
      <c r="H120" s="11" t="n">
        <f aca="false">IF(F120=0,IF(B120&lt;=MAX($E$157:$E$216),$F$72,0),INDEX($F$72:$F$78,MIN(F120,6)+1))</f>
        <v>0</v>
      </c>
      <c r="I120" s="11" t="n">
        <f aca="false">IF(AND($C$16="Mensual fijo",F120&gt;0),$C$14/$C$7,0)</f>
        <v>16216.2162162162</v>
      </c>
    </row>
    <row r="121" customFormat="false" ht="15" hidden="false" customHeight="false" outlineLevel="0" collapsed="false">
      <c r="B121" s="26" t="n">
        <v>7</v>
      </c>
      <c r="C121" s="38" t="n">
        <f aca="false">IF($C$31="Constante",$C$32,IF($C$31="Perfil 2024",INDEX($C$33:$M$33,MOD(B121-1,COUNT($C$33:$M$33))+1),INDEX($C$34:$M$34,MOD(B121-1,COUNT($C$34:$M$34))+1)))</f>
        <v>5</v>
      </c>
      <c r="D121" s="38" t="n">
        <f aca="false">C121*(1-$C$23)</f>
        <v>5</v>
      </c>
      <c r="E121" s="38" t="n">
        <f aca="false">E120+D121</f>
        <v>35</v>
      </c>
      <c r="F121" s="26" t="n">
        <f aca="false">COUNTIF($E$157:$E$216,B121)</f>
        <v>5</v>
      </c>
      <c r="G121" s="11" t="n">
        <f aca="false">IF(F121=0,IF(B121&lt;=MAX($E$157:$E$216),$E$72,0),INDEX($E$72:$E$78,MIN(F121,6)+1))</f>
        <v>40952.5381081081</v>
      </c>
      <c r="H121" s="11" t="n">
        <f aca="false">IF(F121=0,IF(B121&lt;=MAX($E$157:$E$216),$F$72,0),INDEX($F$72:$F$78,MIN(F121,6)+1))</f>
        <v>0</v>
      </c>
      <c r="I121" s="11" t="n">
        <f aca="false">IF(AND($C$16="Mensual fijo",F121&gt;0),$C$14/$C$7,0)</f>
        <v>16216.2162162162</v>
      </c>
    </row>
    <row r="122" customFormat="false" ht="15" hidden="false" customHeight="false" outlineLevel="0" collapsed="false">
      <c r="B122" s="26" t="n">
        <v>8</v>
      </c>
      <c r="C122" s="38" t="n">
        <f aca="false">IF($C$31="Constante",$C$32,IF($C$31="Perfil 2024",INDEX($C$33:$M$33,MOD(B122-1,COUNT($C$33:$M$33))+1),INDEX($C$34:$M$34,MOD(B122-1,COUNT($C$34:$M$34))+1)))</f>
        <v>5</v>
      </c>
      <c r="D122" s="38" t="n">
        <f aca="false">C122*(1-$C$23)</f>
        <v>5</v>
      </c>
      <c r="E122" s="38" t="n">
        <f aca="false">E121+D122</f>
        <v>40</v>
      </c>
      <c r="F122" s="26" t="n">
        <f aca="false">COUNTIF($E$157:$E$216,B122)</f>
        <v>0</v>
      </c>
      <c r="G122" s="11" t="n">
        <f aca="false">IF(F122=0,IF(B122&lt;=MAX($E$157:$E$216),$E$72,0),INDEX($E$72:$E$78,MIN(F122,6)+1))</f>
        <v>0</v>
      </c>
      <c r="H122" s="11" t="n">
        <f aca="false">IF(F122=0,IF(B122&lt;=MAX($E$157:$E$216),$F$72,0),INDEX($F$72:$F$78,MIN(F122,6)+1))</f>
        <v>0</v>
      </c>
      <c r="I122" s="11" t="n">
        <f aca="false">IF(AND($C$16="Mensual fijo",F122&gt;0),$C$14/$C$7,0)</f>
        <v>0</v>
      </c>
    </row>
    <row r="123" customFormat="false" ht="15" hidden="false" customHeight="false" outlineLevel="0" collapsed="false">
      <c r="B123" s="26" t="n">
        <v>9</v>
      </c>
      <c r="C123" s="38" t="n">
        <f aca="false">IF($C$31="Constante",$C$32,IF($C$31="Perfil 2024",INDEX($C$33:$M$33,MOD(B123-1,COUNT($C$33:$M$33))+1),INDEX($C$34:$M$34,MOD(B123-1,COUNT($C$34:$M$34))+1)))</f>
        <v>5</v>
      </c>
      <c r="D123" s="38" t="n">
        <f aca="false">C123*(1-$C$23)</f>
        <v>5</v>
      </c>
      <c r="E123" s="38" t="n">
        <f aca="false">E122+D123</f>
        <v>45</v>
      </c>
      <c r="F123" s="26" t="n">
        <f aca="false">COUNTIF($E$157:$E$216,B123)</f>
        <v>0</v>
      </c>
      <c r="G123" s="11" t="n">
        <f aca="false">IF(F123=0,IF(B123&lt;=MAX($E$157:$E$216),$E$72,0),INDEX($E$72:$E$78,MIN(F123,6)+1))</f>
        <v>0</v>
      </c>
      <c r="H123" s="11" t="n">
        <f aca="false">IF(F123=0,IF(B123&lt;=MAX($E$157:$E$216),$F$72,0),INDEX($F$72:$F$78,MIN(F123,6)+1))</f>
        <v>0</v>
      </c>
      <c r="I123" s="11" t="n">
        <f aca="false">IF(AND($C$16="Mensual fijo",F123&gt;0),$C$14/$C$7,0)</f>
        <v>0</v>
      </c>
    </row>
    <row r="124" customFormat="false" ht="15" hidden="false" customHeight="false" outlineLevel="0" collapsed="false">
      <c r="B124" s="26" t="n">
        <v>10</v>
      </c>
      <c r="C124" s="38" t="n">
        <f aca="false">IF($C$31="Constante",$C$32,IF($C$31="Perfil 2024",INDEX($C$33:$M$33,MOD(B124-1,COUNT($C$33:$M$33))+1),INDEX($C$34:$M$34,MOD(B124-1,COUNT($C$34:$M$34))+1)))</f>
        <v>5</v>
      </c>
      <c r="D124" s="38" t="n">
        <f aca="false">C124*(1-$C$23)</f>
        <v>5</v>
      </c>
      <c r="E124" s="38" t="n">
        <f aca="false">E123+D124</f>
        <v>50</v>
      </c>
      <c r="F124" s="26" t="n">
        <f aca="false">COUNTIF($E$157:$E$216,B124)</f>
        <v>0</v>
      </c>
      <c r="G124" s="11" t="n">
        <f aca="false">IF(F124=0,IF(B124&lt;=MAX($E$157:$E$216),$E$72,0),INDEX($E$72:$E$78,MIN(F124,6)+1))</f>
        <v>0</v>
      </c>
      <c r="H124" s="11" t="n">
        <f aca="false">IF(F124=0,IF(B124&lt;=MAX($E$157:$E$216),$F$72,0),INDEX($F$72:$F$78,MIN(F124,6)+1))</f>
        <v>0</v>
      </c>
      <c r="I124" s="11" t="n">
        <f aca="false">IF(AND($C$16="Mensual fijo",F124&gt;0),$C$14/$C$7,0)</f>
        <v>0</v>
      </c>
    </row>
    <row r="125" customFormat="false" ht="15" hidden="false" customHeight="false" outlineLevel="0" collapsed="false">
      <c r="B125" s="26" t="n">
        <v>11</v>
      </c>
      <c r="C125" s="38" t="n">
        <f aca="false">IF($C$31="Constante",$C$32,IF($C$31="Perfil 2024",INDEX($C$33:$M$33,MOD(B125-1,COUNT($C$33:$M$33))+1),INDEX($C$34:$M$34,MOD(B125-1,COUNT($C$34:$M$34))+1)))</f>
        <v>5</v>
      </c>
      <c r="D125" s="38" t="n">
        <f aca="false">C125*(1-$C$23)</f>
        <v>5</v>
      </c>
      <c r="E125" s="38" t="n">
        <f aca="false">E124+D125</f>
        <v>55</v>
      </c>
      <c r="F125" s="26" t="n">
        <f aca="false">COUNTIF($E$157:$E$216,B125)</f>
        <v>0</v>
      </c>
      <c r="G125" s="11" t="n">
        <f aca="false">IF(F125=0,IF(B125&lt;=MAX($E$157:$E$216),$E$72,0),INDEX($E$72:$E$78,MIN(F125,6)+1))</f>
        <v>0</v>
      </c>
      <c r="H125" s="11" t="n">
        <f aca="false">IF(F125=0,IF(B125&lt;=MAX($E$157:$E$216),$F$72,0),INDEX($F$72:$F$78,MIN(F125,6)+1))</f>
        <v>0</v>
      </c>
      <c r="I125" s="11" t="n">
        <f aca="false">IF(AND($C$16="Mensual fijo",F125&gt;0),$C$14/$C$7,0)</f>
        <v>0</v>
      </c>
    </row>
    <row r="126" customFormat="false" ht="15" hidden="false" customHeight="false" outlineLevel="0" collapsed="false">
      <c r="B126" s="26" t="n">
        <v>12</v>
      </c>
      <c r="C126" s="38" t="n">
        <f aca="false">IF($C$31="Constante",$C$32,IF($C$31="Perfil 2024",INDEX($C$33:$M$33,MOD(B126-1,COUNT($C$33:$M$33))+1),INDEX($C$34:$M$34,MOD(B126-1,COUNT($C$34:$M$34))+1)))</f>
        <v>5</v>
      </c>
      <c r="D126" s="38" t="n">
        <f aca="false">C126*(1-$C$23)</f>
        <v>5</v>
      </c>
      <c r="E126" s="38" t="n">
        <f aca="false">E125+D126</f>
        <v>60</v>
      </c>
      <c r="F126" s="26" t="n">
        <f aca="false">COUNTIF($E$157:$E$216,B126)</f>
        <v>0</v>
      </c>
      <c r="G126" s="11" t="n">
        <f aca="false">IF(F126=0,IF(B126&lt;=MAX($E$157:$E$216),$E$72,0),INDEX($E$72:$E$78,MIN(F126,6)+1))</f>
        <v>0</v>
      </c>
      <c r="H126" s="11" t="n">
        <f aca="false">IF(F126=0,IF(B126&lt;=MAX($E$157:$E$216),$F$72,0),INDEX($F$72:$F$78,MIN(F126,6)+1))</f>
        <v>0</v>
      </c>
      <c r="I126" s="11" t="n">
        <f aca="false">IF(AND($C$16="Mensual fijo",F126&gt;0),$C$14/$C$7,0)</f>
        <v>0</v>
      </c>
    </row>
    <row r="127" customFormat="false" ht="15" hidden="false" customHeight="false" outlineLevel="0" collapsed="false">
      <c r="B127" s="26" t="n">
        <v>13</v>
      </c>
      <c r="C127" s="38" t="n">
        <f aca="false">IF($C$31="Constante",$C$32,IF($C$31="Perfil 2024",INDEX($C$33:$M$33,MOD(B127-1,COUNT($C$33:$M$33))+1),INDEX($C$34:$M$34,MOD(B127-1,COUNT($C$34:$M$34))+1)))</f>
        <v>5</v>
      </c>
      <c r="D127" s="38" t="n">
        <f aca="false">C127*(1-$C$23)</f>
        <v>5</v>
      </c>
      <c r="E127" s="38" t="n">
        <f aca="false">E126+D127</f>
        <v>65</v>
      </c>
      <c r="F127" s="26" t="n">
        <f aca="false">COUNTIF($E$157:$E$216,B127)</f>
        <v>0</v>
      </c>
      <c r="G127" s="11" t="n">
        <f aca="false">IF(F127=0,IF(B127&lt;=MAX($E$157:$E$216),$E$72,0),INDEX($E$72:$E$78,MIN(F127,6)+1))</f>
        <v>0</v>
      </c>
      <c r="H127" s="11" t="n">
        <f aca="false">IF(F127=0,IF(B127&lt;=MAX($E$157:$E$216),$F$72,0),INDEX($F$72:$F$78,MIN(F127,6)+1))</f>
        <v>0</v>
      </c>
      <c r="I127" s="11" t="n">
        <f aca="false">IF(AND($C$16="Mensual fijo",F127&gt;0),$C$14/$C$7,0)</f>
        <v>0</v>
      </c>
    </row>
    <row r="128" customFormat="false" ht="15" hidden="false" customHeight="false" outlineLevel="0" collapsed="false">
      <c r="B128" s="26" t="n">
        <v>14</v>
      </c>
      <c r="C128" s="38" t="n">
        <f aca="false">IF($C$31="Constante",$C$32,IF($C$31="Perfil 2024",INDEX($C$33:$M$33,MOD(B128-1,COUNT($C$33:$M$33))+1),INDEX($C$34:$M$34,MOD(B128-1,COUNT($C$34:$M$34))+1)))</f>
        <v>5</v>
      </c>
      <c r="D128" s="38" t="n">
        <f aca="false">C128*(1-$C$23)</f>
        <v>5</v>
      </c>
      <c r="E128" s="38" t="n">
        <f aca="false">E127+D128</f>
        <v>70</v>
      </c>
      <c r="F128" s="26" t="n">
        <f aca="false">COUNTIF($E$157:$E$216,B128)</f>
        <v>0</v>
      </c>
      <c r="G128" s="11" t="n">
        <f aca="false">IF(F128=0,IF(B128&lt;=MAX($E$157:$E$216),$E$72,0),INDEX($E$72:$E$78,MIN(F128,6)+1))</f>
        <v>0</v>
      </c>
      <c r="H128" s="11" t="n">
        <f aca="false">IF(F128=0,IF(B128&lt;=MAX($E$157:$E$216),$F$72,0),INDEX($F$72:$F$78,MIN(F128,6)+1))</f>
        <v>0</v>
      </c>
      <c r="I128" s="11" t="n">
        <f aca="false">IF(AND($C$16="Mensual fijo",F128&gt;0),$C$14/$C$7,0)</f>
        <v>0</v>
      </c>
    </row>
    <row r="129" customFormat="false" ht="15" hidden="false" customHeight="false" outlineLevel="0" collapsed="false">
      <c r="B129" s="26" t="n">
        <v>15</v>
      </c>
      <c r="C129" s="38" t="n">
        <f aca="false">IF($C$31="Constante",$C$32,IF($C$31="Perfil 2024",INDEX($C$33:$M$33,MOD(B129-1,COUNT($C$33:$M$33))+1),INDEX($C$34:$M$34,MOD(B129-1,COUNT($C$34:$M$34))+1)))</f>
        <v>5</v>
      </c>
      <c r="D129" s="38" t="n">
        <f aca="false">C129*(1-$C$23)</f>
        <v>5</v>
      </c>
      <c r="E129" s="38" t="n">
        <f aca="false">E128+D129</f>
        <v>75</v>
      </c>
      <c r="F129" s="26" t="n">
        <f aca="false">COUNTIF($E$157:$E$216,B129)</f>
        <v>0</v>
      </c>
      <c r="G129" s="11" t="n">
        <f aca="false">IF(F129=0,IF(B129&lt;=MAX($E$157:$E$216),$E$72,0),INDEX($E$72:$E$78,MIN(F129,6)+1))</f>
        <v>0</v>
      </c>
      <c r="H129" s="11" t="n">
        <f aca="false">IF(F129=0,IF(B129&lt;=MAX($E$157:$E$216),$F$72,0),INDEX($F$72:$F$78,MIN(F129,6)+1))</f>
        <v>0</v>
      </c>
      <c r="I129" s="11" t="n">
        <f aca="false">IF(AND($C$16="Mensual fijo",F129&gt;0),$C$14/$C$7,0)</f>
        <v>0</v>
      </c>
    </row>
    <row r="130" customFormat="false" ht="15" hidden="false" customHeight="false" outlineLevel="0" collapsed="false">
      <c r="B130" s="26" t="n">
        <v>16</v>
      </c>
      <c r="C130" s="38" t="n">
        <f aca="false">IF($C$31="Constante",$C$32,IF($C$31="Perfil 2024",INDEX($C$33:$M$33,MOD(B130-1,COUNT($C$33:$M$33))+1),INDEX($C$34:$M$34,MOD(B130-1,COUNT($C$34:$M$34))+1)))</f>
        <v>5</v>
      </c>
      <c r="D130" s="38" t="n">
        <f aca="false">C130*(1-$C$23)</f>
        <v>5</v>
      </c>
      <c r="E130" s="38" t="n">
        <f aca="false">E129+D130</f>
        <v>80</v>
      </c>
      <c r="F130" s="26" t="n">
        <f aca="false">COUNTIF($E$157:$E$216,B130)</f>
        <v>0</v>
      </c>
      <c r="G130" s="11" t="n">
        <f aca="false">IF(F130=0,IF(B130&lt;=MAX($E$157:$E$216),$E$72,0),INDEX($E$72:$E$78,MIN(F130,6)+1))</f>
        <v>0</v>
      </c>
      <c r="H130" s="11" t="n">
        <f aca="false">IF(F130=0,IF(B130&lt;=MAX($E$157:$E$216),$F$72,0),INDEX($F$72:$F$78,MIN(F130,6)+1))</f>
        <v>0</v>
      </c>
      <c r="I130" s="11" t="n">
        <f aca="false">IF(AND($C$16="Mensual fijo",F130&gt;0),$C$14/$C$7,0)</f>
        <v>0</v>
      </c>
    </row>
    <row r="131" customFormat="false" ht="15" hidden="false" customHeight="false" outlineLevel="0" collapsed="false">
      <c r="B131" s="26" t="n">
        <v>17</v>
      </c>
      <c r="C131" s="38" t="n">
        <f aca="false">IF($C$31="Constante",$C$32,IF($C$31="Perfil 2024",INDEX($C$33:$M$33,MOD(B131-1,COUNT($C$33:$M$33))+1),INDEX($C$34:$M$34,MOD(B131-1,COUNT($C$34:$M$34))+1)))</f>
        <v>5</v>
      </c>
      <c r="D131" s="38" t="n">
        <f aca="false">C131*(1-$C$23)</f>
        <v>5</v>
      </c>
      <c r="E131" s="38" t="n">
        <f aca="false">E130+D131</f>
        <v>85</v>
      </c>
      <c r="F131" s="26" t="n">
        <f aca="false">COUNTIF($E$157:$E$216,B131)</f>
        <v>0</v>
      </c>
      <c r="G131" s="11" t="n">
        <f aca="false">IF(F131=0,IF(B131&lt;=MAX($E$157:$E$216),$E$72,0),INDEX($E$72:$E$78,MIN(F131,6)+1))</f>
        <v>0</v>
      </c>
      <c r="H131" s="11" t="n">
        <f aca="false">IF(F131=0,IF(B131&lt;=MAX($E$157:$E$216),$F$72,0),INDEX($F$72:$F$78,MIN(F131,6)+1))</f>
        <v>0</v>
      </c>
      <c r="I131" s="11" t="n">
        <f aca="false">IF(AND($C$16="Mensual fijo",F131&gt;0),$C$14/$C$7,0)</f>
        <v>0</v>
      </c>
    </row>
    <row r="132" customFormat="false" ht="15" hidden="false" customHeight="false" outlineLevel="0" collapsed="false">
      <c r="B132" s="26" t="n">
        <v>18</v>
      </c>
      <c r="C132" s="38" t="n">
        <f aca="false">IF($C$31="Constante",$C$32,IF($C$31="Perfil 2024",INDEX($C$33:$M$33,MOD(B132-1,COUNT($C$33:$M$33))+1),INDEX($C$34:$M$34,MOD(B132-1,COUNT($C$34:$M$34))+1)))</f>
        <v>5</v>
      </c>
      <c r="D132" s="38" t="n">
        <f aca="false">C132*(1-$C$23)</f>
        <v>5</v>
      </c>
      <c r="E132" s="38" t="n">
        <f aca="false">E131+D132</f>
        <v>90</v>
      </c>
      <c r="F132" s="26" t="n">
        <f aca="false">COUNTIF($E$157:$E$216,B132)</f>
        <v>0</v>
      </c>
      <c r="G132" s="11" t="n">
        <f aca="false">IF(F132=0,IF(B132&lt;=MAX($E$157:$E$216),$E$72,0),INDEX($E$72:$E$78,MIN(F132,6)+1))</f>
        <v>0</v>
      </c>
      <c r="H132" s="11" t="n">
        <f aca="false">IF(F132=0,IF(B132&lt;=MAX($E$157:$E$216),$F$72,0),INDEX($F$72:$F$78,MIN(F132,6)+1))</f>
        <v>0</v>
      </c>
      <c r="I132" s="11" t="n">
        <f aca="false">IF(AND($C$16="Mensual fijo",F132&gt;0),$C$14/$C$7,0)</f>
        <v>0</v>
      </c>
    </row>
    <row r="133" customFormat="false" ht="15" hidden="false" customHeight="false" outlineLevel="0" collapsed="false">
      <c r="B133" s="26" t="n">
        <v>19</v>
      </c>
      <c r="C133" s="38" t="n">
        <f aca="false">IF($C$31="Constante",$C$32,IF($C$31="Perfil 2024",INDEX($C$33:$M$33,MOD(B133-1,COUNT($C$33:$M$33))+1),INDEX($C$34:$M$34,MOD(B133-1,COUNT($C$34:$M$34))+1)))</f>
        <v>5</v>
      </c>
      <c r="D133" s="38" t="n">
        <f aca="false">C133*(1-$C$23)</f>
        <v>5</v>
      </c>
      <c r="E133" s="38" t="n">
        <f aca="false">E132+D133</f>
        <v>95</v>
      </c>
      <c r="F133" s="26" t="n">
        <f aca="false">COUNTIF($E$157:$E$216,B133)</f>
        <v>0</v>
      </c>
      <c r="G133" s="11" t="n">
        <f aca="false">IF(F133=0,IF(B133&lt;=MAX($E$157:$E$216),$E$72,0),INDEX($E$72:$E$78,MIN(F133,6)+1))</f>
        <v>0</v>
      </c>
      <c r="H133" s="11" t="n">
        <f aca="false">IF(F133=0,IF(B133&lt;=MAX($E$157:$E$216),$F$72,0),INDEX($F$72:$F$78,MIN(F133,6)+1))</f>
        <v>0</v>
      </c>
      <c r="I133" s="11" t="n">
        <f aca="false">IF(AND($C$16="Mensual fijo",F133&gt;0),$C$14/$C$7,0)</f>
        <v>0</v>
      </c>
    </row>
    <row r="134" customFormat="false" ht="15" hidden="false" customHeight="false" outlineLevel="0" collapsed="false">
      <c r="B134" s="26" t="n">
        <v>20</v>
      </c>
      <c r="C134" s="38" t="n">
        <f aca="false">IF($C$31="Constante",$C$32,IF($C$31="Perfil 2024",INDEX($C$33:$M$33,MOD(B134-1,COUNT($C$33:$M$33))+1),INDEX($C$34:$M$34,MOD(B134-1,COUNT($C$34:$M$34))+1)))</f>
        <v>5</v>
      </c>
      <c r="D134" s="38" t="n">
        <f aca="false">C134*(1-$C$23)</f>
        <v>5</v>
      </c>
      <c r="E134" s="38" t="n">
        <f aca="false">E133+D134</f>
        <v>100</v>
      </c>
      <c r="F134" s="26" t="n">
        <f aca="false">COUNTIF($E$157:$E$216,B134)</f>
        <v>0</v>
      </c>
      <c r="G134" s="11" t="n">
        <f aca="false">IF(F134=0,IF(B134&lt;=MAX($E$157:$E$216),$E$72,0),INDEX($E$72:$E$78,MIN(F134,6)+1))</f>
        <v>0</v>
      </c>
      <c r="H134" s="11" t="n">
        <f aca="false">IF(F134=0,IF(B134&lt;=MAX($E$157:$E$216),$F$72,0),INDEX($F$72:$F$78,MIN(F134,6)+1))</f>
        <v>0</v>
      </c>
      <c r="I134" s="11" t="n">
        <f aca="false">IF(AND($C$16="Mensual fijo",F134&gt;0),$C$14/$C$7,0)</f>
        <v>0</v>
      </c>
    </row>
    <row r="135" customFormat="false" ht="15" hidden="false" customHeight="false" outlineLevel="0" collapsed="false">
      <c r="B135" s="26" t="n">
        <v>21</v>
      </c>
      <c r="C135" s="38" t="n">
        <f aca="false">IF($C$31="Constante",$C$32,IF($C$31="Perfil 2024",INDEX($C$33:$M$33,MOD(B135-1,COUNT($C$33:$M$33))+1),INDEX($C$34:$M$34,MOD(B135-1,COUNT($C$34:$M$34))+1)))</f>
        <v>5</v>
      </c>
      <c r="D135" s="38" t="n">
        <f aca="false">C135*(1-$C$23)</f>
        <v>5</v>
      </c>
      <c r="E135" s="38" t="n">
        <f aca="false">E134+D135</f>
        <v>105</v>
      </c>
      <c r="F135" s="26" t="n">
        <f aca="false">COUNTIF($E$157:$E$216,B135)</f>
        <v>0</v>
      </c>
      <c r="G135" s="11" t="n">
        <f aca="false">IF(F135=0,IF(B135&lt;=MAX($E$157:$E$216),$E$72,0),INDEX($E$72:$E$78,MIN(F135,6)+1))</f>
        <v>0</v>
      </c>
      <c r="H135" s="11" t="n">
        <f aca="false">IF(F135=0,IF(B135&lt;=MAX($E$157:$E$216),$F$72,0),INDEX($F$72:$F$78,MIN(F135,6)+1))</f>
        <v>0</v>
      </c>
      <c r="I135" s="11" t="n">
        <f aca="false">IF(AND($C$16="Mensual fijo",F135&gt;0),$C$14/$C$7,0)</f>
        <v>0</v>
      </c>
    </row>
    <row r="136" customFormat="false" ht="15" hidden="false" customHeight="false" outlineLevel="0" collapsed="false">
      <c r="B136" s="26" t="n">
        <v>22</v>
      </c>
      <c r="C136" s="38" t="n">
        <f aca="false">IF($C$31="Constante",$C$32,IF($C$31="Perfil 2024",INDEX($C$33:$M$33,MOD(B136-1,COUNT($C$33:$M$33))+1),INDEX($C$34:$M$34,MOD(B136-1,COUNT($C$34:$M$34))+1)))</f>
        <v>5</v>
      </c>
      <c r="D136" s="38" t="n">
        <f aca="false">C136*(1-$C$23)</f>
        <v>5</v>
      </c>
      <c r="E136" s="38" t="n">
        <f aca="false">E135+D136</f>
        <v>110</v>
      </c>
      <c r="F136" s="26" t="n">
        <f aca="false">COUNTIF($E$157:$E$216,B136)</f>
        <v>0</v>
      </c>
      <c r="G136" s="11" t="n">
        <f aca="false">IF(F136=0,IF(B136&lt;=MAX($E$157:$E$216),$E$72,0),INDEX($E$72:$E$78,MIN(F136,6)+1))</f>
        <v>0</v>
      </c>
      <c r="H136" s="11" t="n">
        <f aca="false">IF(F136=0,IF(B136&lt;=MAX($E$157:$E$216),$F$72,0),INDEX($F$72:$F$78,MIN(F136,6)+1))</f>
        <v>0</v>
      </c>
      <c r="I136" s="11" t="n">
        <f aca="false">IF(AND($C$16="Mensual fijo",F136&gt;0),$C$14/$C$7,0)</f>
        <v>0</v>
      </c>
    </row>
    <row r="137" customFormat="false" ht="15" hidden="false" customHeight="false" outlineLevel="0" collapsed="false">
      <c r="B137" s="26" t="n">
        <v>23</v>
      </c>
      <c r="C137" s="38" t="n">
        <f aca="false">IF($C$31="Constante",$C$32,IF($C$31="Perfil 2024",INDEX($C$33:$M$33,MOD(B137-1,COUNT($C$33:$M$33))+1),INDEX($C$34:$M$34,MOD(B137-1,COUNT($C$34:$M$34))+1)))</f>
        <v>5</v>
      </c>
      <c r="D137" s="38" t="n">
        <f aca="false">C137*(1-$C$23)</f>
        <v>5</v>
      </c>
      <c r="E137" s="38" t="n">
        <f aca="false">E136+D137</f>
        <v>115</v>
      </c>
      <c r="F137" s="26" t="n">
        <f aca="false">COUNTIF($E$157:$E$216,B137)</f>
        <v>0</v>
      </c>
      <c r="G137" s="11" t="n">
        <f aca="false">IF(F137=0,IF(B137&lt;=MAX($E$157:$E$216),$E$72,0),INDEX($E$72:$E$78,MIN(F137,6)+1))</f>
        <v>0</v>
      </c>
      <c r="H137" s="11" t="n">
        <f aca="false">IF(F137=0,IF(B137&lt;=MAX($E$157:$E$216),$F$72,0),INDEX($F$72:$F$78,MIN(F137,6)+1))</f>
        <v>0</v>
      </c>
      <c r="I137" s="11" t="n">
        <f aca="false">IF(AND($C$16="Mensual fijo",F137&gt;0),$C$14/$C$7,0)</f>
        <v>0</v>
      </c>
    </row>
    <row r="138" customFormat="false" ht="15" hidden="false" customHeight="false" outlineLevel="0" collapsed="false">
      <c r="B138" s="26" t="n">
        <v>24</v>
      </c>
      <c r="C138" s="38" t="n">
        <f aca="false">IF($C$31="Constante",$C$32,IF($C$31="Perfil 2024",INDEX($C$33:$M$33,MOD(B138-1,COUNT($C$33:$M$33))+1),INDEX($C$34:$M$34,MOD(B138-1,COUNT($C$34:$M$34))+1)))</f>
        <v>5</v>
      </c>
      <c r="D138" s="38" t="n">
        <f aca="false">C138*(1-$C$23)</f>
        <v>5</v>
      </c>
      <c r="E138" s="38" t="n">
        <f aca="false">E137+D138</f>
        <v>120</v>
      </c>
      <c r="F138" s="26" t="n">
        <f aca="false">COUNTIF($E$157:$E$216,B138)</f>
        <v>0</v>
      </c>
      <c r="G138" s="11" t="n">
        <f aca="false">IF(F138=0,IF(B138&lt;=MAX($E$157:$E$216),$E$72,0),INDEX($E$72:$E$78,MIN(F138,6)+1))</f>
        <v>0</v>
      </c>
      <c r="H138" s="11" t="n">
        <f aca="false">IF(F138=0,IF(B138&lt;=MAX($E$157:$E$216),$F$72,0),INDEX($F$72:$F$78,MIN(F138,6)+1))</f>
        <v>0</v>
      </c>
      <c r="I138" s="11" t="n">
        <f aca="false">IF(AND($C$16="Mensual fijo",F138&gt;0),$C$14/$C$7,0)</f>
        <v>0</v>
      </c>
    </row>
    <row r="139" customFormat="false" ht="15" hidden="false" customHeight="false" outlineLevel="0" collapsed="false">
      <c r="B139" s="26" t="n">
        <v>25</v>
      </c>
      <c r="C139" s="38" t="n">
        <f aca="false">IF($C$31="Constante",$C$32,IF($C$31="Perfil 2024",INDEX($C$33:$M$33,MOD(B139-1,COUNT($C$33:$M$33))+1),INDEX($C$34:$M$34,MOD(B139-1,COUNT($C$34:$M$34))+1)))</f>
        <v>5</v>
      </c>
      <c r="D139" s="38" t="n">
        <f aca="false">C139*(1-$C$23)</f>
        <v>5</v>
      </c>
      <c r="E139" s="38" t="n">
        <f aca="false">E138+D139</f>
        <v>125</v>
      </c>
      <c r="F139" s="26" t="n">
        <f aca="false">COUNTIF($E$157:$E$216,B139)</f>
        <v>0</v>
      </c>
      <c r="G139" s="11" t="n">
        <f aca="false">IF(F139=0,IF(B139&lt;=MAX($E$157:$E$216),$E$72,0),INDEX($E$72:$E$78,MIN(F139,6)+1))</f>
        <v>0</v>
      </c>
      <c r="H139" s="11" t="n">
        <f aca="false">IF(F139=0,IF(B139&lt;=MAX($E$157:$E$216),$F$72,0),INDEX($F$72:$F$78,MIN(F139,6)+1))</f>
        <v>0</v>
      </c>
      <c r="I139" s="11" t="n">
        <f aca="false">IF(AND($C$16="Mensual fijo",F139&gt;0),$C$14/$C$7,0)</f>
        <v>0</v>
      </c>
    </row>
    <row r="140" customFormat="false" ht="15" hidden="false" customHeight="false" outlineLevel="0" collapsed="false">
      <c r="B140" s="26" t="n">
        <v>26</v>
      </c>
      <c r="C140" s="38" t="n">
        <f aca="false">IF($C$31="Constante",$C$32,IF($C$31="Perfil 2024",INDEX($C$33:$M$33,MOD(B140-1,COUNT($C$33:$M$33))+1),INDEX($C$34:$M$34,MOD(B140-1,COUNT($C$34:$M$34))+1)))</f>
        <v>5</v>
      </c>
      <c r="D140" s="38" t="n">
        <f aca="false">C140*(1-$C$23)</f>
        <v>5</v>
      </c>
      <c r="E140" s="38" t="n">
        <f aca="false">E139+D140</f>
        <v>130</v>
      </c>
      <c r="F140" s="26" t="n">
        <f aca="false">COUNTIF($E$157:$E$216,B140)</f>
        <v>0</v>
      </c>
      <c r="G140" s="11" t="n">
        <f aca="false">IF(F140=0,IF(B140&lt;=MAX($E$157:$E$216),$E$72,0),INDEX($E$72:$E$78,MIN(F140,6)+1))</f>
        <v>0</v>
      </c>
      <c r="H140" s="11" t="n">
        <f aca="false">IF(F140=0,IF(B140&lt;=MAX($E$157:$E$216),$F$72,0),INDEX($F$72:$F$78,MIN(F140,6)+1))</f>
        <v>0</v>
      </c>
      <c r="I140" s="11" t="n">
        <f aca="false">IF(AND($C$16="Mensual fijo",F140&gt;0),$C$14/$C$7,0)</f>
        <v>0</v>
      </c>
    </row>
    <row r="141" customFormat="false" ht="15" hidden="false" customHeight="false" outlineLevel="0" collapsed="false">
      <c r="B141" s="26" t="n">
        <v>27</v>
      </c>
      <c r="C141" s="38" t="n">
        <f aca="false">IF($C$31="Constante",$C$32,IF($C$31="Perfil 2024",INDEX($C$33:$M$33,MOD(B141-1,COUNT($C$33:$M$33))+1),INDEX($C$34:$M$34,MOD(B141-1,COUNT($C$34:$M$34))+1)))</f>
        <v>5</v>
      </c>
      <c r="D141" s="38" t="n">
        <f aca="false">C141*(1-$C$23)</f>
        <v>5</v>
      </c>
      <c r="E141" s="38" t="n">
        <f aca="false">E140+D141</f>
        <v>135</v>
      </c>
      <c r="F141" s="26" t="n">
        <f aca="false">COUNTIF($E$157:$E$216,B141)</f>
        <v>0</v>
      </c>
      <c r="G141" s="11" t="n">
        <f aca="false">IF(F141=0,IF(B141&lt;=MAX($E$157:$E$216),$E$72,0),INDEX($E$72:$E$78,MIN(F141,6)+1))</f>
        <v>0</v>
      </c>
      <c r="H141" s="11" t="n">
        <f aca="false">IF(F141=0,IF(B141&lt;=MAX($E$157:$E$216),$F$72,0),INDEX($F$72:$F$78,MIN(F141,6)+1))</f>
        <v>0</v>
      </c>
      <c r="I141" s="11" t="n">
        <f aca="false">IF(AND($C$16="Mensual fijo",F141&gt;0),$C$14/$C$7,0)</f>
        <v>0</v>
      </c>
    </row>
    <row r="142" customFormat="false" ht="15" hidden="false" customHeight="false" outlineLevel="0" collapsed="false">
      <c r="B142" s="26" t="n">
        <v>28</v>
      </c>
      <c r="C142" s="38" t="n">
        <f aca="false">IF($C$31="Constante",$C$32,IF($C$31="Perfil 2024",INDEX($C$33:$M$33,MOD(B142-1,COUNT($C$33:$M$33))+1),INDEX($C$34:$M$34,MOD(B142-1,COUNT($C$34:$M$34))+1)))</f>
        <v>5</v>
      </c>
      <c r="D142" s="38" t="n">
        <f aca="false">C142*(1-$C$23)</f>
        <v>5</v>
      </c>
      <c r="E142" s="38" t="n">
        <f aca="false">E141+D142</f>
        <v>140</v>
      </c>
      <c r="F142" s="26" t="n">
        <f aca="false">COUNTIF($E$157:$E$216,B142)</f>
        <v>0</v>
      </c>
      <c r="G142" s="11" t="n">
        <f aca="false">IF(F142=0,IF(B142&lt;=MAX($E$157:$E$216),$E$72,0),INDEX($E$72:$E$78,MIN(F142,6)+1))</f>
        <v>0</v>
      </c>
      <c r="H142" s="11" t="n">
        <f aca="false">IF(F142=0,IF(B142&lt;=MAX($E$157:$E$216),$F$72,0),INDEX($F$72:$F$78,MIN(F142,6)+1))</f>
        <v>0</v>
      </c>
      <c r="I142" s="11" t="n">
        <f aca="false">IF(AND($C$16="Mensual fijo",F142&gt;0),$C$14/$C$7,0)</f>
        <v>0</v>
      </c>
    </row>
    <row r="143" customFormat="false" ht="15" hidden="false" customHeight="false" outlineLevel="0" collapsed="false">
      <c r="B143" s="26" t="n">
        <v>29</v>
      </c>
      <c r="C143" s="38" t="n">
        <f aca="false">IF($C$31="Constante",$C$32,IF($C$31="Perfil 2024",INDEX($C$33:$M$33,MOD(B143-1,COUNT($C$33:$M$33))+1),INDEX($C$34:$M$34,MOD(B143-1,COUNT($C$34:$M$34))+1)))</f>
        <v>5</v>
      </c>
      <c r="D143" s="38" t="n">
        <f aca="false">C143*(1-$C$23)</f>
        <v>5</v>
      </c>
      <c r="E143" s="38" t="n">
        <f aca="false">E142+D143</f>
        <v>145</v>
      </c>
      <c r="F143" s="26" t="n">
        <f aca="false">COUNTIF($E$157:$E$216,B143)</f>
        <v>0</v>
      </c>
      <c r="G143" s="11" t="n">
        <f aca="false">IF(F143=0,IF(B143&lt;=MAX($E$157:$E$216),$E$72,0),INDEX($E$72:$E$78,MIN(F143,6)+1))</f>
        <v>0</v>
      </c>
      <c r="H143" s="11" t="n">
        <f aca="false">IF(F143=0,IF(B143&lt;=MAX($E$157:$E$216),$F$72,0),INDEX($F$72:$F$78,MIN(F143,6)+1))</f>
        <v>0</v>
      </c>
      <c r="I143" s="11" t="n">
        <f aca="false">IF(AND($C$16="Mensual fijo",F143&gt;0),$C$14/$C$7,0)</f>
        <v>0</v>
      </c>
    </row>
    <row r="144" customFormat="false" ht="15" hidden="false" customHeight="false" outlineLevel="0" collapsed="false">
      <c r="B144" s="26" t="n">
        <v>30</v>
      </c>
      <c r="C144" s="38" t="n">
        <f aca="false">IF($C$31="Constante",$C$32,IF($C$31="Perfil 2024",INDEX($C$33:$M$33,MOD(B144-1,COUNT($C$33:$M$33))+1),INDEX($C$34:$M$34,MOD(B144-1,COUNT($C$34:$M$34))+1)))</f>
        <v>5</v>
      </c>
      <c r="D144" s="38" t="n">
        <f aca="false">C144*(1-$C$23)</f>
        <v>5</v>
      </c>
      <c r="E144" s="38" t="n">
        <f aca="false">E143+D144</f>
        <v>150</v>
      </c>
      <c r="F144" s="26" t="n">
        <f aca="false">COUNTIF($E$157:$E$216,B144)</f>
        <v>0</v>
      </c>
      <c r="G144" s="11" t="n">
        <f aca="false">IF(F144=0,IF(B144&lt;=MAX($E$157:$E$216),$E$72,0),INDEX($E$72:$E$78,MIN(F144,6)+1))</f>
        <v>0</v>
      </c>
      <c r="H144" s="11" t="n">
        <f aca="false">IF(F144=0,IF(B144&lt;=MAX($E$157:$E$216),$F$72,0),INDEX($F$72:$F$78,MIN(F144,6)+1))</f>
        <v>0</v>
      </c>
      <c r="I144" s="11" t="n">
        <f aca="false">IF(AND($C$16="Mensual fijo",F144&gt;0),$C$14/$C$7,0)</f>
        <v>0</v>
      </c>
    </row>
    <row r="145" customFormat="false" ht="15" hidden="false" customHeight="false" outlineLevel="0" collapsed="false">
      <c r="B145" s="26" t="n">
        <v>31</v>
      </c>
      <c r="C145" s="38" t="n">
        <f aca="false">IF($C$31="Constante",$C$32,IF($C$31="Perfil 2024",INDEX($C$33:$M$33,MOD(B145-1,COUNT($C$33:$M$33))+1),INDEX($C$34:$M$34,MOD(B145-1,COUNT($C$34:$M$34))+1)))</f>
        <v>5</v>
      </c>
      <c r="D145" s="38" t="n">
        <f aca="false">C145*(1-$C$23)</f>
        <v>5</v>
      </c>
      <c r="E145" s="38" t="n">
        <f aca="false">E144+D145</f>
        <v>155</v>
      </c>
      <c r="F145" s="26" t="n">
        <f aca="false">COUNTIF($E$157:$E$216,B145)</f>
        <v>0</v>
      </c>
      <c r="G145" s="11" t="n">
        <f aca="false">IF(F145=0,IF(B145&lt;=MAX($E$157:$E$216),$E$72,0),INDEX($E$72:$E$78,MIN(F145,6)+1))</f>
        <v>0</v>
      </c>
      <c r="H145" s="11" t="n">
        <f aca="false">IF(F145=0,IF(B145&lt;=MAX($E$157:$E$216),$F$72,0),INDEX($F$72:$F$78,MIN(F145,6)+1))</f>
        <v>0</v>
      </c>
      <c r="I145" s="11" t="n">
        <f aca="false">IF(AND($C$16="Mensual fijo",F145&gt;0),$C$14/$C$7,0)</f>
        <v>0</v>
      </c>
    </row>
    <row r="146" customFormat="false" ht="15" hidden="false" customHeight="false" outlineLevel="0" collapsed="false">
      <c r="B146" s="26" t="n">
        <v>32</v>
      </c>
      <c r="C146" s="38" t="n">
        <f aca="false">IF($C$31="Constante",$C$32,IF($C$31="Perfil 2024",INDEX($C$33:$M$33,MOD(B146-1,COUNT($C$33:$M$33))+1),INDEX($C$34:$M$34,MOD(B146-1,COUNT($C$34:$M$34))+1)))</f>
        <v>5</v>
      </c>
      <c r="D146" s="38" t="n">
        <f aca="false">C146*(1-$C$23)</f>
        <v>5</v>
      </c>
      <c r="E146" s="38" t="n">
        <f aca="false">E145+D146</f>
        <v>160</v>
      </c>
      <c r="F146" s="26" t="n">
        <f aca="false">COUNTIF($E$157:$E$216,B146)</f>
        <v>0</v>
      </c>
      <c r="G146" s="11" t="n">
        <f aca="false">IF(F146=0,IF(B146&lt;=MAX($E$157:$E$216),$E$72,0),INDEX($E$72:$E$78,MIN(F146,6)+1))</f>
        <v>0</v>
      </c>
      <c r="H146" s="11" t="n">
        <f aca="false">IF(F146=0,IF(B146&lt;=MAX($E$157:$E$216),$F$72,0),INDEX($F$72:$F$78,MIN(F146,6)+1))</f>
        <v>0</v>
      </c>
      <c r="I146" s="11" t="n">
        <f aca="false">IF(AND($C$16="Mensual fijo",F146&gt;0),$C$14/$C$7,0)</f>
        <v>0</v>
      </c>
    </row>
    <row r="147" customFormat="false" ht="15" hidden="false" customHeight="false" outlineLevel="0" collapsed="false">
      <c r="B147" s="26" t="n">
        <v>33</v>
      </c>
      <c r="C147" s="38" t="n">
        <f aca="false">IF($C$31="Constante",$C$32,IF($C$31="Perfil 2024",INDEX($C$33:$M$33,MOD(B147-1,COUNT($C$33:$M$33))+1),INDEX($C$34:$M$34,MOD(B147-1,COUNT($C$34:$M$34))+1)))</f>
        <v>5</v>
      </c>
      <c r="D147" s="38" t="n">
        <f aca="false">C147*(1-$C$23)</f>
        <v>5</v>
      </c>
      <c r="E147" s="38" t="n">
        <f aca="false">E146+D147</f>
        <v>165</v>
      </c>
      <c r="F147" s="26" t="n">
        <f aca="false">COUNTIF($E$157:$E$216,B147)</f>
        <v>0</v>
      </c>
      <c r="G147" s="11" t="n">
        <f aca="false">IF(F147=0,IF(B147&lt;=MAX($E$157:$E$216),$E$72,0),INDEX($E$72:$E$78,MIN(F147,6)+1))</f>
        <v>0</v>
      </c>
      <c r="H147" s="11" t="n">
        <f aca="false">IF(F147=0,IF(B147&lt;=MAX($E$157:$E$216),$F$72,0),INDEX($F$72:$F$78,MIN(F147,6)+1))</f>
        <v>0</v>
      </c>
      <c r="I147" s="11" t="n">
        <f aca="false">IF(AND($C$16="Mensual fijo",F147&gt;0),$C$14/$C$7,0)</f>
        <v>0</v>
      </c>
    </row>
    <row r="148" customFormat="false" ht="15" hidden="false" customHeight="false" outlineLevel="0" collapsed="false">
      <c r="B148" s="26" t="n">
        <v>34</v>
      </c>
      <c r="C148" s="38" t="n">
        <f aca="false">IF($C$31="Constante",$C$32,IF($C$31="Perfil 2024",INDEX($C$33:$M$33,MOD(B148-1,COUNT($C$33:$M$33))+1),INDEX($C$34:$M$34,MOD(B148-1,COUNT($C$34:$M$34))+1)))</f>
        <v>5</v>
      </c>
      <c r="D148" s="38" t="n">
        <f aca="false">C148*(1-$C$23)</f>
        <v>5</v>
      </c>
      <c r="E148" s="38" t="n">
        <f aca="false">E147+D148</f>
        <v>170</v>
      </c>
      <c r="F148" s="26" t="n">
        <f aca="false">COUNTIF($E$157:$E$216,B148)</f>
        <v>0</v>
      </c>
      <c r="G148" s="11" t="n">
        <f aca="false">IF(F148=0,IF(B148&lt;=MAX($E$157:$E$216),$E$72,0),INDEX($E$72:$E$78,MIN(F148,6)+1))</f>
        <v>0</v>
      </c>
      <c r="H148" s="11" t="n">
        <f aca="false">IF(F148=0,IF(B148&lt;=MAX($E$157:$E$216),$F$72,0),INDEX($F$72:$F$78,MIN(F148,6)+1))</f>
        <v>0</v>
      </c>
      <c r="I148" s="11" t="n">
        <f aca="false">IF(AND($C$16="Mensual fijo",F148&gt;0),$C$14/$C$7,0)</f>
        <v>0</v>
      </c>
    </row>
    <row r="149" customFormat="false" ht="15" hidden="false" customHeight="false" outlineLevel="0" collapsed="false">
      <c r="B149" s="26" t="n">
        <v>35</v>
      </c>
      <c r="C149" s="38" t="n">
        <f aca="false">IF($C$31="Constante",$C$32,IF($C$31="Perfil 2024",INDEX($C$33:$M$33,MOD(B149-1,COUNT($C$33:$M$33))+1),INDEX($C$34:$M$34,MOD(B149-1,COUNT($C$34:$M$34))+1)))</f>
        <v>5</v>
      </c>
      <c r="D149" s="38" t="n">
        <f aca="false">C149*(1-$C$23)</f>
        <v>5</v>
      </c>
      <c r="E149" s="38" t="n">
        <f aca="false">E148+D149</f>
        <v>175</v>
      </c>
      <c r="F149" s="26" t="n">
        <f aca="false">COUNTIF($E$157:$E$216,B149)</f>
        <v>0</v>
      </c>
      <c r="G149" s="11" t="n">
        <f aca="false">IF(F149=0,IF(B149&lt;=MAX($E$157:$E$216),$E$72,0),INDEX($E$72:$E$78,MIN(F149,6)+1))</f>
        <v>0</v>
      </c>
      <c r="H149" s="11" t="n">
        <f aca="false">IF(F149=0,IF(B149&lt;=MAX($E$157:$E$216),$F$72,0),INDEX($F$72:$F$78,MIN(F149,6)+1))</f>
        <v>0</v>
      </c>
      <c r="I149" s="11" t="n">
        <f aca="false">IF(AND($C$16="Mensual fijo",F149&gt;0),$C$14/$C$7,0)</f>
        <v>0</v>
      </c>
    </row>
    <row r="150" customFormat="false" ht="15" hidden="false" customHeight="false" outlineLevel="0" collapsed="false">
      <c r="B150" s="26" t="n">
        <v>36</v>
      </c>
      <c r="C150" s="38" t="n">
        <f aca="false">IF($C$31="Constante",$C$32,IF($C$31="Perfil 2024",INDEX($C$33:$M$33,MOD(B150-1,COUNT($C$33:$M$33))+1),INDEX($C$34:$M$34,MOD(B150-1,COUNT($C$34:$M$34))+1)))</f>
        <v>5</v>
      </c>
      <c r="D150" s="38" t="n">
        <f aca="false">C150*(1-$C$23)</f>
        <v>5</v>
      </c>
      <c r="E150" s="38" t="n">
        <f aca="false">E149+D150</f>
        <v>180</v>
      </c>
      <c r="F150" s="26" t="n">
        <f aca="false">COUNTIF($E$157:$E$216,B150)</f>
        <v>0</v>
      </c>
      <c r="G150" s="11" t="n">
        <f aca="false">IF(F150=0,IF(B150&lt;=MAX($E$157:$E$216),$E$72,0),INDEX($E$72:$E$78,MIN(F150,6)+1))</f>
        <v>0</v>
      </c>
      <c r="H150" s="11" t="n">
        <f aca="false">IF(F150=0,IF(B150&lt;=MAX($E$157:$E$216),$F$72,0),INDEX($F$72:$F$78,MIN(F150,6)+1))</f>
        <v>0</v>
      </c>
      <c r="I150" s="11" t="n">
        <f aca="false">IF(AND($C$16="Mensual fijo",F150&gt;0),$C$14/$C$7,0)</f>
        <v>0</v>
      </c>
    </row>
    <row r="151" customFormat="false" ht="15" hidden="false" customHeight="false" outlineLevel="0" collapsed="false">
      <c r="B151" s="39" t="s">
        <v>342</v>
      </c>
      <c r="F151" s="40" t="n">
        <f aca="false">SUM(F115:F150)</f>
        <v>35</v>
      </c>
      <c r="G151" s="30" t="n">
        <f aca="false">SUM(G115:G150)</f>
        <v>286667.766756757</v>
      </c>
      <c r="H151" s="30" t="n">
        <f aca="false">SUM(H115:H150)</f>
        <v>0</v>
      </c>
      <c r="I151" s="30" t="n">
        <f aca="false">SUM(I115:I150)</f>
        <v>113513.513513514</v>
      </c>
    </row>
    <row r="153" customFormat="false" ht="15" hidden="false" customHeight="false" outlineLevel="0" collapsed="false">
      <c r="B153" s="3" t="s">
        <v>343</v>
      </c>
      <c r="C153" s="3"/>
      <c r="D153" s="3"/>
      <c r="E153" s="3"/>
      <c r="F153" s="3"/>
      <c r="G153" s="3"/>
      <c r="H153" s="3"/>
      <c r="I153" s="3"/>
      <c r="J153" s="3"/>
      <c r="K153" s="3"/>
    </row>
    <row r="154" customFormat="false" ht="27.75" hidden="false" customHeight="true" outlineLevel="0" collapsed="false">
      <c r="B154" s="28" t="s">
        <v>344</v>
      </c>
      <c r="C154" s="28"/>
      <c r="D154" s="28"/>
      <c r="E154" s="28"/>
      <c r="F154" s="28"/>
      <c r="G154" s="28"/>
      <c r="H154" s="28"/>
      <c r="I154" s="28"/>
      <c r="J154" s="28"/>
      <c r="K154" s="28"/>
    </row>
    <row r="156" customFormat="false" ht="39.75" hidden="false" customHeight="true" outlineLevel="0" collapsed="false">
      <c r="B156" s="5" t="s">
        <v>345</v>
      </c>
      <c r="C156" s="5" t="s">
        <v>346</v>
      </c>
      <c r="D156" s="5" t="s">
        <v>347</v>
      </c>
      <c r="E156" s="5" t="s">
        <v>334</v>
      </c>
      <c r="F156" s="5" t="s">
        <v>348</v>
      </c>
      <c r="G156" s="5" t="s">
        <v>129</v>
      </c>
      <c r="H156" s="5" t="s">
        <v>111</v>
      </c>
      <c r="I156" s="5" t="s">
        <v>308</v>
      </c>
      <c r="J156" s="5" t="s">
        <v>309</v>
      </c>
      <c r="K156" s="5" t="s">
        <v>112</v>
      </c>
    </row>
    <row r="157" customFormat="false" ht="15" hidden="false" customHeight="false" outlineLevel="0" collapsed="false">
      <c r="B157" s="26" t="n">
        <v>1</v>
      </c>
      <c r="C157" s="10" t="str">
        <f aca="false">IF(B157&gt;$C$30,"",IF(INT(B157*$C$27/$C$30)&gt;INT((B157-1)*$C$27/$C$30),"Misma loc.","Otra loc."))</f>
        <v>Otra loc.</v>
      </c>
      <c r="D157" s="26" t="n">
        <f aca="false">IF(C157="","",IF(C157="Misma loc.",1,$C$29))</f>
        <v>2</v>
      </c>
      <c r="E157" s="26" t="n">
        <f aca="false">IF(C157="","",COUNTIF($E$115:$E$150,"&lt;"&amp;(B157-0.000001))+1)</f>
        <v>1</v>
      </c>
      <c r="F157" s="26" t="n">
        <f aca="false">IF(C157="","",COUNTIF($E$157:E157,E157))</f>
        <v>1</v>
      </c>
      <c r="G157" s="11" t="n">
        <f aca="false">IF(C157="","",INDEX($C$51:$F$51,D157))</f>
        <v>99473.8108108108</v>
      </c>
      <c r="H157" s="11" t="n">
        <f aca="false">IF(C157="","",IF(F157&gt;=$C$19,INDEX($C$63:$F$63,D157),INDEX($C$62:$F$62,D157)))</f>
        <v>85898.0227027027</v>
      </c>
      <c r="I157" s="11" t="n">
        <f aca="false">IF(C157="","",INDEX($C$64:$F$64,D157))</f>
        <v>108447.105405405</v>
      </c>
      <c r="J157" s="11" t="n">
        <f aca="false">IF(C157="","",IF(F157&gt;=$C$19,INDEX($C$65:$F$65,D157),INDEX($C$64:$F$64,D157)))</f>
        <v>108447.105405405</v>
      </c>
      <c r="K157" s="11" t="n">
        <f aca="false">IF(C157="","",IF(F157&gt;=$C$19,INDEX($C$67:$F$67,D157),INDEX($C$66:$F$66,D157)))</f>
        <v>82343.9464864865</v>
      </c>
    </row>
    <row r="158" customFormat="false" ht="15" hidden="false" customHeight="false" outlineLevel="0" collapsed="false">
      <c r="B158" s="26" t="n">
        <v>2</v>
      </c>
      <c r="C158" s="10" t="str">
        <f aca="false">IF(B158&gt;$C$30,"",IF(INT(B158*$C$27/$C$30)&gt;INT((B158-1)*$C$27/$C$30),"Misma loc.","Otra loc."))</f>
        <v>Otra loc.</v>
      </c>
      <c r="D158" s="26" t="n">
        <f aca="false">IF(C158="","",IF(C158="Misma loc.",1,$C$29))</f>
        <v>2</v>
      </c>
      <c r="E158" s="26" t="n">
        <f aca="false">IF(C158="","",COUNTIF($E$115:$E$150,"&lt;"&amp;(B158-0.000001))+1)</f>
        <v>1</v>
      </c>
      <c r="F158" s="26" t="n">
        <f aca="false">IF(C158="","",COUNTIF($E$157:E158,E158))</f>
        <v>2</v>
      </c>
      <c r="G158" s="11" t="n">
        <f aca="false">IF(C158="","",INDEX($C$51:$F$51,D158))</f>
        <v>99473.8108108108</v>
      </c>
      <c r="H158" s="11" t="n">
        <f aca="false">IF(C158="","",IF(F158&gt;=$C$19,INDEX($C$63:$F$63,D158),INDEX($C$62:$F$62,D158)))</f>
        <v>85898.0227027027</v>
      </c>
      <c r="I158" s="11" t="n">
        <f aca="false">IF(C158="","",INDEX($C$64:$F$64,D158))</f>
        <v>108447.105405405</v>
      </c>
      <c r="J158" s="11" t="n">
        <f aca="false">IF(C158="","",IF(F158&gt;=$C$19,INDEX($C$65:$F$65,D158),INDEX($C$64:$F$64,D158)))</f>
        <v>108447.105405405</v>
      </c>
      <c r="K158" s="11" t="n">
        <f aca="false">IF(C158="","",IF(F158&gt;=$C$19,INDEX($C$67:$F$67,D158),INDEX($C$66:$F$66,D158)))</f>
        <v>82343.9464864865</v>
      </c>
    </row>
    <row r="159" customFormat="false" ht="15" hidden="false" customHeight="false" outlineLevel="0" collapsed="false">
      <c r="B159" s="26" t="n">
        <v>3</v>
      </c>
      <c r="C159" s="10" t="str">
        <f aca="false">IF(B159&gt;$C$30,"",IF(INT(B159*$C$27/$C$30)&gt;INT((B159-1)*$C$27/$C$30),"Misma loc.","Otra loc."))</f>
        <v>Misma loc.</v>
      </c>
      <c r="D159" s="26" t="n">
        <f aca="false">IF(C159="","",IF(C159="Misma loc.",1,$C$29))</f>
        <v>1</v>
      </c>
      <c r="E159" s="26" t="n">
        <f aca="false">IF(C159="","",COUNTIF($E$115:$E$150,"&lt;"&amp;(B159-0.000001))+1)</f>
        <v>1</v>
      </c>
      <c r="F159" s="26" t="n">
        <f aca="false">IF(C159="","",COUNTIF($E$157:E159,E159))</f>
        <v>3</v>
      </c>
      <c r="G159" s="11" t="n">
        <f aca="false">IF(C159="","",INDEX($C$51:$F$51,D159))</f>
        <v>76047.4054054054</v>
      </c>
      <c r="H159" s="11" t="n">
        <f aca="false">IF(C159="","",IF(F159&gt;=$C$19,INDEX($C$63:$F$63,D159),INDEX($C$62:$F$62,D159)))</f>
        <v>55414.0110810811</v>
      </c>
      <c r="I159" s="11" t="n">
        <f aca="false">IF(C159="","",INDEX($C$64:$F$64,D159))</f>
        <v>65678.4554054054</v>
      </c>
      <c r="J159" s="11" t="n">
        <f aca="false">IF(C159="","",IF(F159&gt;=$C$19,INDEX($C$65:$F$65,D159),INDEX($C$64:$F$64,D159)))</f>
        <v>65678.4554054054</v>
      </c>
      <c r="K159" s="11" t="n">
        <f aca="false">IF(C159="","",IF(F159&gt;=$C$19,INDEX($C$67:$F$67,D159),INDEX($C$66:$F$66,D159)))</f>
        <v>55372.8113513514</v>
      </c>
    </row>
    <row r="160" customFormat="false" ht="15" hidden="false" customHeight="false" outlineLevel="0" collapsed="false">
      <c r="B160" s="26" t="n">
        <v>4</v>
      </c>
      <c r="C160" s="10" t="str">
        <f aca="false">IF(B160&gt;$C$30,"",IF(INT(B160*$C$27/$C$30)&gt;INT((B160-1)*$C$27/$C$30),"Misma loc.","Otra loc."))</f>
        <v>Otra loc.</v>
      </c>
      <c r="D160" s="26" t="n">
        <f aca="false">IF(C160="","",IF(C160="Misma loc.",1,$C$29))</f>
        <v>2</v>
      </c>
      <c r="E160" s="26" t="n">
        <f aca="false">IF(C160="","",COUNTIF($E$115:$E$150,"&lt;"&amp;(B160-0.000001))+1)</f>
        <v>1</v>
      </c>
      <c r="F160" s="26" t="n">
        <f aca="false">IF(C160="","",COUNTIF($E$157:E160,E160))</f>
        <v>4</v>
      </c>
      <c r="G160" s="11" t="n">
        <f aca="false">IF(C160="","",INDEX($C$51:$F$51,D160))</f>
        <v>99473.8108108108</v>
      </c>
      <c r="H160" s="11" t="n">
        <f aca="false">IF(C160="","",IF(F160&gt;=$C$19,INDEX($C$63:$F$63,D160),INDEX($C$62:$F$62,D160)))</f>
        <v>85898.0227027027</v>
      </c>
      <c r="I160" s="11" t="n">
        <f aca="false">IF(C160="","",INDEX($C$64:$F$64,D160))</f>
        <v>108447.105405405</v>
      </c>
      <c r="J160" s="11" t="n">
        <f aca="false">IF(C160="","",IF(F160&gt;=$C$19,INDEX($C$65:$F$65,D160),INDEX($C$64:$F$64,D160)))</f>
        <v>108447.105405405</v>
      </c>
      <c r="K160" s="11" t="n">
        <f aca="false">IF(C160="","",IF(F160&gt;=$C$19,INDEX($C$67:$F$67,D160),INDEX($C$66:$F$66,D160)))</f>
        <v>82343.9464864865</v>
      </c>
    </row>
    <row r="161" customFormat="false" ht="15" hidden="false" customHeight="false" outlineLevel="0" collapsed="false">
      <c r="B161" s="26" t="n">
        <v>5</v>
      </c>
      <c r="C161" s="10" t="str">
        <f aca="false">IF(B161&gt;$C$30,"",IF(INT(B161*$C$27/$C$30)&gt;INT((B161-1)*$C$27/$C$30),"Misma loc.","Otra loc."))</f>
        <v>Misma loc.</v>
      </c>
      <c r="D161" s="26" t="n">
        <f aca="false">IF(C161="","",IF(C161="Misma loc.",1,$C$29))</f>
        <v>1</v>
      </c>
      <c r="E161" s="26" t="n">
        <f aca="false">IF(C161="","",COUNTIF($E$115:$E$150,"&lt;"&amp;(B161-0.000001))+1)</f>
        <v>1</v>
      </c>
      <c r="F161" s="26" t="n">
        <f aca="false">IF(C161="","",COUNTIF($E$157:E161,E161))</f>
        <v>5</v>
      </c>
      <c r="G161" s="11" t="n">
        <f aca="false">IF(C161="","",INDEX($C$51:$F$51,D161))</f>
        <v>76047.4054054054</v>
      </c>
      <c r="H161" s="11" t="n">
        <f aca="false">IF(C161="","",IF(F161&gt;=$C$19,INDEX($C$63:$F$63,D161),INDEX($C$62:$F$62,D161)))</f>
        <v>55414.0110810811</v>
      </c>
      <c r="I161" s="11" t="n">
        <f aca="false">IF(C161="","",INDEX($C$64:$F$64,D161))</f>
        <v>65678.4554054054</v>
      </c>
      <c r="J161" s="11" t="n">
        <f aca="false">IF(C161="","",IF(F161&gt;=$C$19,INDEX($C$65:$F$65,D161),INDEX($C$64:$F$64,D161)))</f>
        <v>65678.4554054054</v>
      </c>
      <c r="K161" s="11" t="n">
        <f aca="false">IF(C161="","",IF(F161&gt;=$C$19,INDEX($C$67:$F$67,D161),INDEX($C$66:$F$66,D161)))</f>
        <v>55372.8113513514</v>
      </c>
    </row>
    <row r="162" customFormat="false" ht="15" hidden="false" customHeight="false" outlineLevel="0" collapsed="false">
      <c r="B162" s="26" t="n">
        <v>6</v>
      </c>
      <c r="C162" s="10" t="str">
        <f aca="false">IF(B162&gt;$C$30,"",IF(INT(B162*$C$27/$C$30)&gt;INT((B162-1)*$C$27/$C$30),"Misma loc.","Otra loc."))</f>
        <v>Otra loc.</v>
      </c>
      <c r="D162" s="26" t="n">
        <f aca="false">IF(C162="","",IF(C162="Misma loc.",1,$C$29))</f>
        <v>2</v>
      </c>
      <c r="E162" s="26" t="n">
        <f aca="false">IF(C162="","",COUNTIF($E$115:$E$150,"&lt;"&amp;(B162-0.000001))+1)</f>
        <v>2</v>
      </c>
      <c r="F162" s="26" t="n">
        <f aca="false">IF(C162="","",COUNTIF($E$157:E162,E162))</f>
        <v>1</v>
      </c>
      <c r="G162" s="11" t="n">
        <f aca="false">IF(C162="","",INDEX($C$51:$F$51,D162))</f>
        <v>99473.8108108108</v>
      </c>
      <c r="H162" s="11" t="n">
        <f aca="false">IF(C162="","",IF(F162&gt;=$C$19,INDEX($C$63:$F$63,D162),INDEX($C$62:$F$62,D162)))</f>
        <v>85898.0227027027</v>
      </c>
      <c r="I162" s="11" t="n">
        <f aca="false">IF(C162="","",INDEX($C$64:$F$64,D162))</f>
        <v>108447.105405405</v>
      </c>
      <c r="J162" s="11" t="n">
        <f aca="false">IF(C162="","",IF(F162&gt;=$C$19,INDEX($C$65:$F$65,D162),INDEX($C$64:$F$64,D162)))</f>
        <v>108447.105405405</v>
      </c>
      <c r="K162" s="11" t="n">
        <f aca="false">IF(C162="","",IF(F162&gt;=$C$19,INDEX($C$67:$F$67,D162),INDEX($C$66:$F$66,D162)))</f>
        <v>82343.9464864865</v>
      </c>
    </row>
    <row r="163" customFormat="false" ht="15" hidden="false" customHeight="false" outlineLevel="0" collapsed="false">
      <c r="B163" s="26" t="n">
        <v>7</v>
      </c>
      <c r="C163" s="10" t="str">
        <f aca="false">IF(B163&gt;$C$30,"",IF(INT(B163*$C$27/$C$30)&gt;INT((B163-1)*$C$27/$C$30),"Misma loc.","Otra loc."))</f>
        <v>Misma loc.</v>
      </c>
      <c r="D163" s="26" t="n">
        <f aca="false">IF(C163="","",IF(C163="Misma loc.",1,$C$29))</f>
        <v>1</v>
      </c>
      <c r="E163" s="26" t="n">
        <f aca="false">IF(C163="","",COUNTIF($E$115:$E$150,"&lt;"&amp;(B163-0.000001))+1)</f>
        <v>2</v>
      </c>
      <c r="F163" s="26" t="n">
        <f aca="false">IF(C163="","",COUNTIF($E$157:E163,E163))</f>
        <v>2</v>
      </c>
      <c r="G163" s="11" t="n">
        <f aca="false">IF(C163="","",INDEX($C$51:$F$51,D163))</f>
        <v>76047.4054054054</v>
      </c>
      <c r="H163" s="11" t="n">
        <f aca="false">IF(C163="","",IF(F163&gt;=$C$19,INDEX($C$63:$F$63,D163),INDEX($C$62:$F$62,D163)))</f>
        <v>55414.0110810811</v>
      </c>
      <c r="I163" s="11" t="n">
        <f aca="false">IF(C163="","",INDEX($C$64:$F$64,D163))</f>
        <v>65678.4554054054</v>
      </c>
      <c r="J163" s="11" t="n">
        <f aca="false">IF(C163="","",IF(F163&gt;=$C$19,INDEX($C$65:$F$65,D163),INDEX($C$64:$F$64,D163)))</f>
        <v>65678.4554054054</v>
      </c>
      <c r="K163" s="11" t="n">
        <f aca="false">IF(C163="","",IF(F163&gt;=$C$19,INDEX($C$67:$F$67,D163),INDEX($C$66:$F$66,D163)))</f>
        <v>55372.8113513514</v>
      </c>
    </row>
    <row r="164" customFormat="false" ht="15" hidden="false" customHeight="false" outlineLevel="0" collapsed="false">
      <c r="B164" s="26" t="n">
        <v>8</v>
      </c>
      <c r="C164" s="10" t="str">
        <f aca="false">IF(B164&gt;$C$30,"",IF(INT(B164*$C$27/$C$30)&gt;INT((B164-1)*$C$27/$C$30),"Misma loc.","Otra loc."))</f>
        <v>Otra loc.</v>
      </c>
      <c r="D164" s="26" t="n">
        <f aca="false">IF(C164="","",IF(C164="Misma loc.",1,$C$29))</f>
        <v>2</v>
      </c>
      <c r="E164" s="26" t="n">
        <f aca="false">IF(C164="","",COUNTIF($E$115:$E$150,"&lt;"&amp;(B164-0.000001))+1)</f>
        <v>2</v>
      </c>
      <c r="F164" s="26" t="n">
        <f aca="false">IF(C164="","",COUNTIF($E$157:E164,E164))</f>
        <v>3</v>
      </c>
      <c r="G164" s="11" t="n">
        <f aca="false">IF(C164="","",INDEX($C$51:$F$51,D164))</f>
        <v>99473.8108108108</v>
      </c>
      <c r="H164" s="11" t="n">
        <f aca="false">IF(C164="","",IF(F164&gt;=$C$19,INDEX($C$63:$F$63,D164),INDEX($C$62:$F$62,D164)))</f>
        <v>85898.0227027027</v>
      </c>
      <c r="I164" s="11" t="n">
        <f aca="false">IF(C164="","",INDEX($C$64:$F$64,D164))</f>
        <v>108447.105405405</v>
      </c>
      <c r="J164" s="11" t="n">
        <f aca="false">IF(C164="","",IF(F164&gt;=$C$19,INDEX($C$65:$F$65,D164),INDEX($C$64:$F$64,D164)))</f>
        <v>108447.105405405</v>
      </c>
      <c r="K164" s="11" t="n">
        <f aca="false">IF(C164="","",IF(F164&gt;=$C$19,INDEX($C$67:$F$67,D164),INDEX($C$66:$F$66,D164)))</f>
        <v>82343.9464864865</v>
      </c>
    </row>
    <row r="165" customFormat="false" ht="15" hidden="false" customHeight="false" outlineLevel="0" collapsed="false">
      <c r="B165" s="26" t="n">
        <v>9</v>
      </c>
      <c r="C165" s="10" t="str">
        <f aca="false">IF(B165&gt;$C$30,"",IF(INT(B165*$C$27/$C$30)&gt;INT((B165-1)*$C$27/$C$30),"Misma loc.","Otra loc."))</f>
        <v>Otra loc.</v>
      </c>
      <c r="D165" s="26" t="n">
        <f aca="false">IF(C165="","",IF(C165="Misma loc.",1,$C$29))</f>
        <v>2</v>
      </c>
      <c r="E165" s="26" t="n">
        <f aca="false">IF(C165="","",COUNTIF($E$115:$E$150,"&lt;"&amp;(B165-0.000001))+1)</f>
        <v>2</v>
      </c>
      <c r="F165" s="26" t="n">
        <f aca="false">IF(C165="","",COUNTIF($E$157:E165,E165))</f>
        <v>4</v>
      </c>
      <c r="G165" s="11" t="n">
        <f aca="false">IF(C165="","",INDEX($C$51:$F$51,D165))</f>
        <v>99473.8108108108</v>
      </c>
      <c r="H165" s="11" t="n">
        <f aca="false">IF(C165="","",IF(F165&gt;=$C$19,INDEX($C$63:$F$63,D165),INDEX($C$62:$F$62,D165)))</f>
        <v>85898.0227027027</v>
      </c>
      <c r="I165" s="11" t="n">
        <f aca="false">IF(C165="","",INDEX($C$64:$F$64,D165))</f>
        <v>108447.105405405</v>
      </c>
      <c r="J165" s="11" t="n">
        <f aca="false">IF(C165="","",IF(F165&gt;=$C$19,INDEX($C$65:$F$65,D165),INDEX($C$64:$F$64,D165)))</f>
        <v>108447.105405405</v>
      </c>
      <c r="K165" s="11" t="n">
        <f aca="false">IF(C165="","",IF(F165&gt;=$C$19,INDEX($C$67:$F$67,D165),INDEX($C$66:$F$66,D165)))</f>
        <v>82343.9464864865</v>
      </c>
    </row>
    <row r="166" customFormat="false" ht="15" hidden="false" customHeight="false" outlineLevel="0" collapsed="false">
      <c r="B166" s="26" t="n">
        <v>10</v>
      </c>
      <c r="C166" s="10" t="str">
        <f aca="false">IF(B166&gt;$C$30,"",IF(INT(B166*$C$27/$C$30)&gt;INT((B166-1)*$C$27/$C$30),"Misma loc.","Otra loc."))</f>
        <v>Misma loc.</v>
      </c>
      <c r="D166" s="26" t="n">
        <f aca="false">IF(C166="","",IF(C166="Misma loc.",1,$C$29))</f>
        <v>1</v>
      </c>
      <c r="E166" s="26" t="n">
        <f aca="false">IF(C166="","",COUNTIF($E$115:$E$150,"&lt;"&amp;(B166-0.000001))+1)</f>
        <v>2</v>
      </c>
      <c r="F166" s="26" t="n">
        <f aca="false">IF(C166="","",COUNTIF($E$157:E166,E166))</f>
        <v>5</v>
      </c>
      <c r="G166" s="11" t="n">
        <f aca="false">IF(C166="","",INDEX($C$51:$F$51,D166))</f>
        <v>76047.4054054054</v>
      </c>
      <c r="H166" s="11" t="n">
        <f aca="false">IF(C166="","",IF(F166&gt;=$C$19,INDEX($C$63:$F$63,D166),INDEX($C$62:$F$62,D166)))</f>
        <v>55414.0110810811</v>
      </c>
      <c r="I166" s="11" t="n">
        <f aca="false">IF(C166="","",INDEX($C$64:$F$64,D166))</f>
        <v>65678.4554054054</v>
      </c>
      <c r="J166" s="11" t="n">
        <f aca="false">IF(C166="","",IF(F166&gt;=$C$19,INDEX($C$65:$F$65,D166),INDEX($C$64:$F$64,D166)))</f>
        <v>65678.4554054054</v>
      </c>
      <c r="K166" s="11" t="n">
        <f aca="false">IF(C166="","",IF(F166&gt;=$C$19,INDEX($C$67:$F$67,D166),INDEX($C$66:$F$66,D166)))</f>
        <v>55372.8113513514</v>
      </c>
    </row>
    <row r="167" customFormat="false" ht="15" hidden="false" customHeight="false" outlineLevel="0" collapsed="false">
      <c r="B167" s="26" t="n">
        <v>11</v>
      </c>
      <c r="C167" s="10" t="str">
        <f aca="false">IF(B167&gt;$C$30,"",IF(INT(B167*$C$27/$C$30)&gt;INT((B167-1)*$C$27/$C$30),"Misma loc.","Otra loc."))</f>
        <v>Otra loc.</v>
      </c>
      <c r="D167" s="26" t="n">
        <f aca="false">IF(C167="","",IF(C167="Misma loc.",1,$C$29))</f>
        <v>2</v>
      </c>
      <c r="E167" s="26" t="n">
        <f aca="false">IF(C167="","",COUNTIF($E$115:$E$150,"&lt;"&amp;(B167-0.000001))+1)</f>
        <v>3</v>
      </c>
      <c r="F167" s="26" t="n">
        <f aca="false">IF(C167="","",COUNTIF($E$157:E167,E167))</f>
        <v>1</v>
      </c>
      <c r="G167" s="11" t="n">
        <f aca="false">IF(C167="","",INDEX($C$51:$F$51,D167))</f>
        <v>99473.8108108108</v>
      </c>
      <c r="H167" s="11" t="n">
        <f aca="false">IF(C167="","",IF(F167&gt;=$C$19,INDEX($C$63:$F$63,D167),INDEX($C$62:$F$62,D167)))</f>
        <v>85898.0227027027</v>
      </c>
      <c r="I167" s="11" t="n">
        <f aca="false">IF(C167="","",INDEX($C$64:$F$64,D167))</f>
        <v>108447.105405405</v>
      </c>
      <c r="J167" s="11" t="n">
        <f aca="false">IF(C167="","",IF(F167&gt;=$C$19,INDEX($C$65:$F$65,D167),INDEX($C$64:$F$64,D167)))</f>
        <v>108447.105405405</v>
      </c>
      <c r="K167" s="11" t="n">
        <f aca="false">IF(C167="","",IF(F167&gt;=$C$19,INDEX($C$67:$F$67,D167),INDEX($C$66:$F$66,D167)))</f>
        <v>82343.9464864865</v>
      </c>
    </row>
    <row r="168" customFormat="false" ht="15" hidden="false" customHeight="false" outlineLevel="0" collapsed="false">
      <c r="B168" s="26" t="n">
        <v>12</v>
      </c>
      <c r="C168" s="10" t="str">
        <f aca="false">IF(B168&gt;$C$30,"",IF(INT(B168*$C$27/$C$30)&gt;INT((B168-1)*$C$27/$C$30),"Misma loc.","Otra loc."))</f>
        <v>Misma loc.</v>
      </c>
      <c r="D168" s="26" t="n">
        <f aca="false">IF(C168="","",IF(C168="Misma loc.",1,$C$29))</f>
        <v>1</v>
      </c>
      <c r="E168" s="26" t="n">
        <f aca="false">IF(C168="","",COUNTIF($E$115:$E$150,"&lt;"&amp;(B168-0.000001))+1)</f>
        <v>3</v>
      </c>
      <c r="F168" s="26" t="n">
        <f aca="false">IF(C168="","",COUNTIF($E$157:E168,E168))</f>
        <v>2</v>
      </c>
      <c r="G168" s="11" t="n">
        <f aca="false">IF(C168="","",INDEX($C$51:$F$51,D168))</f>
        <v>76047.4054054054</v>
      </c>
      <c r="H168" s="11" t="n">
        <f aca="false">IF(C168="","",IF(F168&gt;=$C$19,INDEX($C$63:$F$63,D168),INDEX($C$62:$F$62,D168)))</f>
        <v>55414.0110810811</v>
      </c>
      <c r="I168" s="11" t="n">
        <f aca="false">IF(C168="","",INDEX($C$64:$F$64,D168))</f>
        <v>65678.4554054054</v>
      </c>
      <c r="J168" s="11" t="n">
        <f aca="false">IF(C168="","",IF(F168&gt;=$C$19,INDEX($C$65:$F$65,D168),INDEX($C$64:$F$64,D168)))</f>
        <v>65678.4554054054</v>
      </c>
      <c r="K168" s="11" t="n">
        <f aca="false">IF(C168="","",IF(F168&gt;=$C$19,INDEX($C$67:$F$67,D168),INDEX($C$66:$F$66,D168)))</f>
        <v>55372.8113513514</v>
      </c>
    </row>
    <row r="169" customFormat="false" ht="15" hidden="false" customHeight="false" outlineLevel="0" collapsed="false">
      <c r="B169" s="26" t="n">
        <v>13</v>
      </c>
      <c r="C169" s="10" t="str">
        <f aca="false">IF(B169&gt;$C$30,"",IF(INT(B169*$C$27/$C$30)&gt;INT((B169-1)*$C$27/$C$30),"Misma loc.","Otra loc."))</f>
        <v>Otra loc.</v>
      </c>
      <c r="D169" s="26" t="n">
        <f aca="false">IF(C169="","",IF(C169="Misma loc.",1,$C$29))</f>
        <v>2</v>
      </c>
      <c r="E169" s="26" t="n">
        <f aca="false">IF(C169="","",COUNTIF($E$115:$E$150,"&lt;"&amp;(B169-0.000001))+1)</f>
        <v>3</v>
      </c>
      <c r="F169" s="26" t="n">
        <f aca="false">IF(C169="","",COUNTIF($E$157:E169,E169))</f>
        <v>3</v>
      </c>
      <c r="G169" s="11" t="n">
        <f aca="false">IF(C169="","",INDEX($C$51:$F$51,D169))</f>
        <v>99473.8108108108</v>
      </c>
      <c r="H169" s="11" t="n">
        <f aca="false">IF(C169="","",IF(F169&gt;=$C$19,INDEX($C$63:$F$63,D169),INDEX($C$62:$F$62,D169)))</f>
        <v>85898.0227027027</v>
      </c>
      <c r="I169" s="11" t="n">
        <f aca="false">IF(C169="","",INDEX($C$64:$F$64,D169))</f>
        <v>108447.105405405</v>
      </c>
      <c r="J169" s="11" t="n">
        <f aca="false">IF(C169="","",IF(F169&gt;=$C$19,INDEX($C$65:$F$65,D169),INDEX($C$64:$F$64,D169)))</f>
        <v>108447.105405405</v>
      </c>
      <c r="K169" s="11" t="n">
        <f aca="false">IF(C169="","",IF(F169&gt;=$C$19,INDEX($C$67:$F$67,D169),INDEX($C$66:$F$66,D169)))</f>
        <v>82343.9464864865</v>
      </c>
    </row>
    <row r="170" customFormat="false" ht="15" hidden="false" customHeight="false" outlineLevel="0" collapsed="false">
      <c r="B170" s="26" t="n">
        <v>14</v>
      </c>
      <c r="C170" s="10" t="str">
        <f aca="false">IF(B170&gt;$C$30,"",IF(INT(B170*$C$27/$C$30)&gt;INT((B170-1)*$C$27/$C$30),"Misma loc.","Otra loc."))</f>
        <v>Misma loc.</v>
      </c>
      <c r="D170" s="26" t="n">
        <f aca="false">IF(C170="","",IF(C170="Misma loc.",1,$C$29))</f>
        <v>1</v>
      </c>
      <c r="E170" s="26" t="n">
        <f aca="false">IF(C170="","",COUNTIF($E$115:$E$150,"&lt;"&amp;(B170-0.000001))+1)</f>
        <v>3</v>
      </c>
      <c r="F170" s="26" t="n">
        <f aca="false">IF(C170="","",COUNTIF($E$157:E170,E170))</f>
        <v>4</v>
      </c>
      <c r="G170" s="11" t="n">
        <f aca="false">IF(C170="","",INDEX($C$51:$F$51,D170))</f>
        <v>76047.4054054054</v>
      </c>
      <c r="H170" s="11" t="n">
        <f aca="false">IF(C170="","",IF(F170&gt;=$C$19,INDEX($C$63:$F$63,D170),INDEX($C$62:$F$62,D170)))</f>
        <v>55414.0110810811</v>
      </c>
      <c r="I170" s="11" t="n">
        <f aca="false">IF(C170="","",INDEX($C$64:$F$64,D170))</f>
        <v>65678.4554054054</v>
      </c>
      <c r="J170" s="11" t="n">
        <f aca="false">IF(C170="","",IF(F170&gt;=$C$19,INDEX($C$65:$F$65,D170),INDEX($C$64:$F$64,D170)))</f>
        <v>65678.4554054054</v>
      </c>
      <c r="K170" s="11" t="n">
        <f aca="false">IF(C170="","",IF(F170&gt;=$C$19,INDEX($C$67:$F$67,D170),INDEX($C$66:$F$66,D170)))</f>
        <v>55372.8113513514</v>
      </c>
    </row>
    <row r="171" customFormat="false" ht="15" hidden="false" customHeight="false" outlineLevel="0" collapsed="false">
      <c r="B171" s="26" t="n">
        <v>15</v>
      </c>
      <c r="C171" s="10" t="str">
        <f aca="false">IF(B171&gt;$C$30,"",IF(INT(B171*$C$27/$C$30)&gt;INT((B171-1)*$C$27/$C$30),"Misma loc.","Otra loc."))</f>
        <v>Otra loc.</v>
      </c>
      <c r="D171" s="26" t="n">
        <f aca="false">IF(C171="","",IF(C171="Misma loc.",1,$C$29))</f>
        <v>2</v>
      </c>
      <c r="E171" s="26" t="n">
        <f aca="false">IF(C171="","",COUNTIF($E$115:$E$150,"&lt;"&amp;(B171-0.000001))+1)</f>
        <v>3</v>
      </c>
      <c r="F171" s="26" t="n">
        <f aca="false">IF(C171="","",COUNTIF($E$157:E171,E171))</f>
        <v>5</v>
      </c>
      <c r="G171" s="11" t="n">
        <f aca="false">IF(C171="","",INDEX($C$51:$F$51,D171))</f>
        <v>99473.8108108108</v>
      </c>
      <c r="H171" s="11" t="n">
        <f aca="false">IF(C171="","",IF(F171&gt;=$C$19,INDEX($C$63:$F$63,D171),INDEX($C$62:$F$62,D171)))</f>
        <v>85898.0227027027</v>
      </c>
      <c r="I171" s="11" t="n">
        <f aca="false">IF(C171="","",INDEX($C$64:$F$64,D171))</f>
        <v>108447.105405405</v>
      </c>
      <c r="J171" s="11" t="n">
        <f aca="false">IF(C171="","",IF(F171&gt;=$C$19,INDEX($C$65:$F$65,D171),INDEX($C$64:$F$64,D171)))</f>
        <v>108447.105405405</v>
      </c>
      <c r="K171" s="11" t="n">
        <f aca="false">IF(C171="","",IF(F171&gt;=$C$19,INDEX($C$67:$F$67,D171),INDEX($C$66:$F$66,D171)))</f>
        <v>82343.9464864865</v>
      </c>
    </row>
    <row r="172" customFormat="false" ht="15" hidden="false" customHeight="false" outlineLevel="0" collapsed="false">
      <c r="B172" s="26" t="n">
        <v>16</v>
      </c>
      <c r="C172" s="10" t="str">
        <f aca="false">IF(B172&gt;$C$30,"",IF(INT(B172*$C$27/$C$30)&gt;INT((B172-1)*$C$27/$C$30),"Misma loc.","Otra loc."))</f>
        <v>Otra loc.</v>
      </c>
      <c r="D172" s="26" t="n">
        <f aca="false">IF(C172="","",IF(C172="Misma loc.",1,$C$29))</f>
        <v>2</v>
      </c>
      <c r="E172" s="26" t="n">
        <f aca="false">IF(C172="","",COUNTIF($E$115:$E$150,"&lt;"&amp;(B172-0.000001))+1)</f>
        <v>4</v>
      </c>
      <c r="F172" s="26" t="n">
        <f aca="false">IF(C172="","",COUNTIF($E$157:E172,E172))</f>
        <v>1</v>
      </c>
      <c r="G172" s="11" t="n">
        <f aca="false">IF(C172="","",INDEX($C$51:$F$51,D172))</f>
        <v>99473.8108108108</v>
      </c>
      <c r="H172" s="11" t="n">
        <f aca="false">IF(C172="","",IF(F172&gt;=$C$19,INDEX($C$63:$F$63,D172),INDEX($C$62:$F$62,D172)))</f>
        <v>85898.0227027027</v>
      </c>
      <c r="I172" s="11" t="n">
        <f aca="false">IF(C172="","",INDEX($C$64:$F$64,D172))</f>
        <v>108447.105405405</v>
      </c>
      <c r="J172" s="11" t="n">
        <f aca="false">IF(C172="","",IF(F172&gt;=$C$19,INDEX($C$65:$F$65,D172),INDEX($C$64:$F$64,D172)))</f>
        <v>108447.105405405</v>
      </c>
      <c r="K172" s="11" t="n">
        <f aca="false">IF(C172="","",IF(F172&gt;=$C$19,INDEX($C$67:$F$67,D172),INDEX($C$66:$F$66,D172)))</f>
        <v>82343.9464864865</v>
      </c>
    </row>
    <row r="173" customFormat="false" ht="15" hidden="false" customHeight="false" outlineLevel="0" collapsed="false">
      <c r="B173" s="26" t="n">
        <v>17</v>
      </c>
      <c r="C173" s="10" t="str">
        <f aca="false">IF(B173&gt;$C$30,"",IF(INT(B173*$C$27/$C$30)&gt;INT((B173-1)*$C$27/$C$30),"Misma loc.","Otra loc."))</f>
        <v>Misma loc.</v>
      </c>
      <c r="D173" s="26" t="n">
        <f aca="false">IF(C173="","",IF(C173="Misma loc.",1,$C$29))</f>
        <v>1</v>
      </c>
      <c r="E173" s="26" t="n">
        <f aca="false">IF(C173="","",COUNTIF($E$115:$E$150,"&lt;"&amp;(B173-0.000001))+1)</f>
        <v>4</v>
      </c>
      <c r="F173" s="26" t="n">
        <f aca="false">IF(C173="","",COUNTIF($E$157:E173,E173))</f>
        <v>2</v>
      </c>
      <c r="G173" s="11" t="n">
        <f aca="false">IF(C173="","",INDEX($C$51:$F$51,D173))</f>
        <v>76047.4054054054</v>
      </c>
      <c r="H173" s="11" t="n">
        <f aca="false">IF(C173="","",IF(F173&gt;=$C$19,INDEX($C$63:$F$63,D173),INDEX($C$62:$F$62,D173)))</f>
        <v>55414.0110810811</v>
      </c>
      <c r="I173" s="11" t="n">
        <f aca="false">IF(C173="","",INDEX($C$64:$F$64,D173))</f>
        <v>65678.4554054054</v>
      </c>
      <c r="J173" s="11" t="n">
        <f aca="false">IF(C173="","",IF(F173&gt;=$C$19,INDEX($C$65:$F$65,D173),INDEX($C$64:$F$64,D173)))</f>
        <v>65678.4554054054</v>
      </c>
      <c r="K173" s="11" t="n">
        <f aca="false">IF(C173="","",IF(F173&gt;=$C$19,INDEX($C$67:$F$67,D173),INDEX($C$66:$F$66,D173)))</f>
        <v>55372.8113513514</v>
      </c>
    </row>
    <row r="174" customFormat="false" ht="15" hidden="false" customHeight="false" outlineLevel="0" collapsed="false">
      <c r="B174" s="26" t="n">
        <v>18</v>
      </c>
      <c r="C174" s="10" t="str">
        <f aca="false">IF(B174&gt;$C$30,"",IF(INT(B174*$C$27/$C$30)&gt;INT((B174-1)*$C$27/$C$30),"Misma loc.","Otra loc."))</f>
        <v>Otra loc.</v>
      </c>
      <c r="D174" s="26" t="n">
        <f aca="false">IF(C174="","",IF(C174="Misma loc.",1,$C$29))</f>
        <v>2</v>
      </c>
      <c r="E174" s="26" t="n">
        <f aca="false">IF(C174="","",COUNTIF($E$115:$E$150,"&lt;"&amp;(B174-0.000001))+1)</f>
        <v>4</v>
      </c>
      <c r="F174" s="26" t="n">
        <f aca="false">IF(C174="","",COUNTIF($E$157:E174,E174))</f>
        <v>3</v>
      </c>
      <c r="G174" s="11" t="n">
        <f aca="false">IF(C174="","",INDEX($C$51:$F$51,D174))</f>
        <v>99473.8108108108</v>
      </c>
      <c r="H174" s="11" t="n">
        <f aca="false">IF(C174="","",IF(F174&gt;=$C$19,INDEX($C$63:$F$63,D174),INDEX($C$62:$F$62,D174)))</f>
        <v>85898.0227027027</v>
      </c>
      <c r="I174" s="11" t="n">
        <f aca="false">IF(C174="","",INDEX($C$64:$F$64,D174))</f>
        <v>108447.105405405</v>
      </c>
      <c r="J174" s="11" t="n">
        <f aca="false">IF(C174="","",IF(F174&gt;=$C$19,INDEX($C$65:$F$65,D174),INDEX($C$64:$F$64,D174)))</f>
        <v>108447.105405405</v>
      </c>
      <c r="K174" s="11" t="n">
        <f aca="false">IF(C174="","",IF(F174&gt;=$C$19,INDEX($C$67:$F$67,D174),INDEX($C$66:$F$66,D174)))</f>
        <v>82343.9464864865</v>
      </c>
    </row>
    <row r="175" customFormat="false" ht="15" hidden="false" customHeight="false" outlineLevel="0" collapsed="false">
      <c r="B175" s="26" t="n">
        <v>19</v>
      </c>
      <c r="C175" s="10" t="str">
        <f aca="false">IF(B175&gt;$C$30,"",IF(INT(B175*$C$27/$C$30)&gt;INT((B175-1)*$C$27/$C$30),"Misma loc.","Otra loc."))</f>
        <v>Misma loc.</v>
      </c>
      <c r="D175" s="26" t="n">
        <f aca="false">IF(C175="","",IF(C175="Misma loc.",1,$C$29))</f>
        <v>1</v>
      </c>
      <c r="E175" s="26" t="n">
        <f aca="false">IF(C175="","",COUNTIF($E$115:$E$150,"&lt;"&amp;(B175-0.000001))+1)</f>
        <v>4</v>
      </c>
      <c r="F175" s="26" t="n">
        <f aca="false">IF(C175="","",COUNTIF($E$157:E175,E175))</f>
        <v>4</v>
      </c>
      <c r="G175" s="11" t="n">
        <f aca="false">IF(C175="","",INDEX($C$51:$F$51,D175))</f>
        <v>76047.4054054054</v>
      </c>
      <c r="H175" s="11" t="n">
        <f aca="false">IF(C175="","",IF(F175&gt;=$C$19,INDEX($C$63:$F$63,D175),INDEX($C$62:$F$62,D175)))</f>
        <v>55414.0110810811</v>
      </c>
      <c r="I175" s="11" t="n">
        <f aca="false">IF(C175="","",INDEX($C$64:$F$64,D175))</f>
        <v>65678.4554054054</v>
      </c>
      <c r="J175" s="11" t="n">
        <f aca="false">IF(C175="","",IF(F175&gt;=$C$19,INDEX($C$65:$F$65,D175),INDEX($C$64:$F$64,D175)))</f>
        <v>65678.4554054054</v>
      </c>
      <c r="K175" s="11" t="n">
        <f aca="false">IF(C175="","",IF(F175&gt;=$C$19,INDEX($C$67:$F$67,D175),INDEX($C$66:$F$66,D175)))</f>
        <v>55372.8113513514</v>
      </c>
    </row>
    <row r="176" customFormat="false" ht="15" hidden="false" customHeight="false" outlineLevel="0" collapsed="false">
      <c r="B176" s="26" t="n">
        <v>20</v>
      </c>
      <c r="C176" s="10" t="str">
        <f aca="false">IF(B176&gt;$C$30,"",IF(INT(B176*$C$27/$C$30)&gt;INT((B176-1)*$C$27/$C$30),"Misma loc.","Otra loc."))</f>
        <v>Otra loc.</v>
      </c>
      <c r="D176" s="26" t="n">
        <f aca="false">IF(C176="","",IF(C176="Misma loc.",1,$C$29))</f>
        <v>2</v>
      </c>
      <c r="E176" s="26" t="n">
        <f aca="false">IF(C176="","",COUNTIF($E$115:$E$150,"&lt;"&amp;(B176-0.000001))+1)</f>
        <v>4</v>
      </c>
      <c r="F176" s="26" t="n">
        <f aca="false">IF(C176="","",COUNTIF($E$157:E176,E176))</f>
        <v>5</v>
      </c>
      <c r="G176" s="11" t="n">
        <f aca="false">IF(C176="","",INDEX($C$51:$F$51,D176))</f>
        <v>99473.8108108108</v>
      </c>
      <c r="H176" s="11" t="n">
        <f aca="false">IF(C176="","",IF(F176&gt;=$C$19,INDEX($C$63:$F$63,D176),INDEX($C$62:$F$62,D176)))</f>
        <v>85898.0227027027</v>
      </c>
      <c r="I176" s="11" t="n">
        <f aca="false">IF(C176="","",INDEX($C$64:$F$64,D176))</f>
        <v>108447.105405405</v>
      </c>
      <c r="J176" s="11" t="n">
        <f aca="false">IF(C176="","",IF(F176&gt;=$C$19,INDEX($C$65:$F$65,D176),INDEX($C$64:$F$64,D176)))</f>
        <v>108447.105405405</v>
      </c>
      <c r="K176" s="11" t="n">
        <f aca="false">IF(C176="","",IF(F176&gt;=$C$19,INDEX($C$67:$F$67,D176),INDEX($C$66:$F$66,D176)))</f>
        <v>82343.9464864865</v>
      </c>
    </row>
    <row r="177" customFormat="false" ht="15" hidden="false" customHeight="false" outlineLevel="0" collapsed="false">
      <c r="B177" s="26" t="n">
        <v>21</v>
      </c>
      <c r="C177" s="10" t="str">
        <f aca="false">IF(B177&gt;$C$30,"",IF(INT(B177*$C$27/$C$30)&gt;INT((B177-1)*$C$27/$C$30),"Misma loc.","Otra loc."))</f>
        <v>Misma loc.</v>
      </c>
      <c r="D177" s="26" t="n">
        <f aca="false">IF(C177="","",IF(C177="Misma loc.",1,$C$29))</f>
        <v>1</v>
      </c>
      <c r="E177" s="26" t="n">
        <f aca="false">IF(C177="","",COUNTIF($E$115:$E$150,"&lt;"&amp;(B177-0.000001))+1)</f>
        <v>5</v>
      </c>
      <c r="F177" s="26" t="n">
        <f aca="false">IF(C177="","",COUNTIF($E$157:E177,E177))</f>
        <v>1</v>
      </c>
      <c r="G177" s="11" t="n">
        <f aca="false">IF(C177="","",INDEX($C$51:$F$51,D177))</f>
        <v>76047.4054054054</v>
      </c>
      <c r="H177" s="11" t="n">
        <f aca="false">IF(C177="","",IF(F177&gt;=$C$19,INDEX($C$63:$F$63,D177),INDEX($C$62:$F$62,D177)))</f>
        <v>55414.0110810811</v>
      </c>
      <c r="I177" s="11" t="n">
        <f aca="false">IF(C177="","",INDEX($C$64:$F$64,D177))</f>
        <v>65678.4554054054</v>
      </c>
      <c r="J177" s="11" t="n">
        <f aca="false">IF(C177="","",IF(F177&gt;=$C$19,INDEX($C$65:$F$65,D177),INDEX($C$64:$F$64,D177)))</f>
        <v>65678.4554054054</v>
      </c>
      <c r="K177" s="11" t="n">
        <f aca="false">IF(C177="","",IF(F177&gt;=$C$19,INDEX($C$67:$F$67,D177),INDEX($C$66:$F$66,D177)))</f>
        <v>55372.8113513514</v>
      </c>
    </row>
    <row r="178" customFormat="false" ht="15" hidden="false" customHeight="false" outlineLevel="0" collapsed="false">
      <c r="B178" s="26" t="n">
        <v>22</v>
      </c>
      <c r="C178" s="10" t="str">
        <f aca="false">IF(B178&gt;$C$30,"",IF(INT(B178*$C$27/$C$30)&gt;INT((B178-1)*$C$27/$C$30),"Misma loc.","Otra loc."))</f>
        <v>Otra loc.</v>
      </c>
      <c r="D178" s="26" t="n">
        <f aca="false">IF(C178="","",IF(C178="Misma loc.",1,$C$29))</f>
        <v>2</v>
      </c>
      <c r="E178" s="26" t="n">
        <f aca="false">IF(C178="","",COUNTIF($E$115:$E$150,"&lt;"&amp;(B178-0.000001))+1)</f>
        <v>5</v>
      </c>
      <c r="F178" s="26" t="n">
        <f aca="false">IF(C178="","",COUNTIF($E$157:E178,E178))</f>
        <v>2</v>
      </c>
      <c r="G178" s="11" t="n">
        <f aca="false">IF(C178="","",INDEX($C$51:$F$51,D178))</f>
        <v>99473.8108108108</v>
      </c>
      <c r="H178" s="11" t="n">
        <f aca="false">IF(C178="","",IF(F178&gt;=$C$19,INDEX($C$63:$F$63,D178),INDEX($C$62:$F$62,D178)))</f>
        <v>85898.0227027027</v>
      </c>
      <c r="I178" s="11" t="n">
        <f aca="false">IF(C178="","",INDEX($C$64:$F$64,D178))</f>
        <v>108447.105405405</v>
      </c>
      <c r="J178" s="11" t="n">
        <f aca="false">IF(C178="","",IF(F178&gt;=$C$19,INDEX($C$65:$F$65,D178),INDEX($C$64:$F$64,D178)))</f>
        <v>108447.105405405</v>
      </c>
      <c r="K178" s="11" t="n">
        <f aca="false">IF(C178="","",IF(F178&gt;=$C$19,INDEX($C$67:$F$67,D178),INDEX($C$66:$F$66,D178)))</f>
        <v>82343.9464864865</v>
      </c>
    </row>
    <row r="179" customFormat="false" ht="15" hidden="false" customHeight="false" outlineLevel="0" collapsed="false">
      <c r="B179" s="26" t="n">
        <v>23</v>
      </c>
      <c r="C179" s="10" t="str">
        <f aca="false">IF(B179&gt;$C$30,"",IF(INT(B179*$C$27/$C$30)&gt;INT((B179-1)*$C$27/$C$30),"Misma loc.","Otra loc."))</f>
        <v>Otra loc.</v>
      </c>
      <c r="D179" s="26" t="n">
        <f aca="false">IF(C179="","",IF(C179="Misma loc.",1,$C$29))</f>
        <v>2</v>
      </c>
      <c r="E179" s="26" t="n">
        <f aca="false">IF(C179="","",COUNTIF($E$115:$E$150,"&lt;"&amp;(B179-0.000001))+1)</f>
        <v>5</v>
      </c>
      <c r="F179" s="26" t="n">
        <f aca="false">IF(C179="","",COUNTIF($E$157:E179,E179))</f>
        <v>3</v>
      </c>
      <c r="G179" s="11" t="n">
        <f aca="false">IF(C179="","",INDEX($C$51:$F$51,D179))</f>
        <v>99473.8108108108</v>
      </c>
      <c r="H179" s="11" t="n">
        <f aca="false">IF(C179="","",IF(F179&gt;=$C$19,INDEX($C$63:$F$63,D179),INDEX($C$62:$F$62,D179)))</f>
        <v>85898.0227027027</v>
      </c>
      <c r="I179" s="11" t="n">
        <f aca="false">IF(C179="","",INDEX($C$64:$F$64,D179))</f>
        <v>108447.105405405</v>
      </c>
      <c r="J179" s="11" t="n">
        <f aca="false">IF(C179="","",IF(F179&gt;=$C$19,INDEX($C$65:$F$65,D179),INDEX($C$64:$F$64,D179)))</f>
        <v>108447.105405405</v>
      </c>
      <c r="K179" s="11" t="n">
        <f aca="false">IF(C179="","",IF(F179&gt;=$C$19,INDEX($C$67:$F$67,D179),INDEX($C$66:$F$66,D179)))</f>
        <v>82343.9464864865</v>
      </c>
    </row>
    <row r="180" customFormat="false" ht="15" hidden="false" customHeight="false" outlineLevel="0" collapsed="false">
      <c r="B180" s="26" t="n">
        <v>24</v>
      </c>
      <c r="C180" s="10" t="str">
        <f aca="false">IF(B180&gt;$C$30,"",IF(INT(B180*$C$27/$C$30)&gt;INT((B180-1)*$C$27/$C$30),"Misma loc.","Otra loc."))</f>
        <v>Misma loc.</v>
      </c>
      <c r="D180" s="26" t="n">
        <f aca="false">IF(C180="","",IF(C180="Misma loc.",1,$C$29))</f>
        <v>1</v>
      </c>
      <c r="E180" s="26" t="n">
        <f aca="false">IF(C180="","",COUNTIF($E$115:$E$150,"&lt;"&amp;(B180-0.000001))+1)</f>
        <v>5</v>
      </c>
      <c r="F180" s="26" t="n">
        <f aca="false">IF(C180="","",COUNTIF($E$157:E180,E180))</f>
        <v>4</v>
      </c>
      <c r="G180" s="11" t="n">
        <f aca="false">IF(C180="","",INDEX($C$51:$F$51,D180))</f>
        <v>76047.4054054054</v>
      </c>
      <c r="H180" s="11" t="n">
        <f aca="false">IF(C180="","",IF(F180&gt;=$C$19,INDEX($C$63:$F$63,D180),INDEX($C$62:$F$62,D180)))</f>
        <v>55414.0110810811</v>
      </c>
      <c r="I180" s="11" t="n">
        <f aca="false">IF(C180="","",INDEX($C$64:$F$64,D180))</f>
        <v>65678.4554054054</v>
      </c>
      <c r="J180" s="11" t="n">
        <f aca="false">IF(C180="","",IF(F180&gt;=$C$19,INDEX($C$65:$F$65,D180),INDEX($C$64:$F$64,D180)))</f>
        <v>65678.4554054054</v>
      </c>
      <c r="K180" s="11" t="n">
        <f aca="false">IF(C180="","",IF(F180&gt;=$C$19,INDEX($C$67:$F$67,D180),INDEX($C$66:$F$66,D180)))</f>
        <v>55372.8113513514</v>
      </c>
    </row>
    <row r="181" customFormat="false" ht="15" hidden="false" customHeight="false" outlineLevel="0" collapsed="false">
      <c r="B181" s="26" t="n">
        <v>25</v>
      </c>
      <c r="C181" s="10" t="str">
        <f aca="false">IF(B181&gt;$C$30,"",IF(INT(B181*$C$27/$C$30)&gt;INT((B181-1)*$C$27/$C$30),"Misma loc.","Otra loc."))</f>
        <v>Otra loc.</v>
      </c>
      <c r="D181" s="26" t="n">
        <f aca="false">IF(C181="","",IF(C181="Misma loc.",1,$C$29))</f>
        <v>2</v>
      </c>
      <c r="E181" s="26" t="n">
        <f aca="false">IF(C181="","",COUNTIF($E$115:$E$150,"&lt;"&amp;(B181-0.000001))+1)</f>
        <v>5</v>
      </c>
      <c r="F181" s="26" t="n">
        <f aca="false">IF(C181="","",COUNTIF($E$157:E181,E181))</f>
        <v>5</v>
      </c>
      <c r="G181" s="11" t="n">
        <f aca="false">IF(C181="","",INDEX($C$51:$F$51,D181))</f>
        <v>99473.8108108108</v>
      </c>
      <c r="H181" s="11" t="n">
        <f aca="false">IF(C181="","",IF(F181&gt;=$C$19,INDEX($C$63:$F$63,D181),INDEX($C$62:$F$62,D181)))</f>
        <v>85898.0227027027</v>
      </c>
      <c r="I181" s="11" t="n">
        <f aca="false">IF(C181="","",INDEX($C$64:$F$64,D181))</f>
        <v>108447.105405405</v>
      </c>
      <c r="J181" s="11" t="n">
        <f aca="false">IF(C181="","",IF(F181&gt;=$C$19,INDEX($C$65:$F$65,D181),INDEX($C$64:$F$64,D181)))</f>
        <v>108447.105405405</v>
      </c>
      <c r="K181" s="11" t="n">
        <f aca="false">IF(C181="","",IF(F181&gt;=$C$19,INDEX($C$67:$F$67,D181),INDEX($C$66:$F$66,D181)))</f>
        <v>82343.9464864865</v>
      </c>
    </row>
    <row r="182" customFormat="false" ht="15" hidden="false" customHeight="false" outlineLevel="0" collapsed="false">
      <c r="B182" s="26" t="n">
        <v>26</v>
      </c>
      <c r="C182" s="10" t="str">
        <f aca="false">IF(B182&gt;$C$30,"",IF(INT(B182*$C$27/$C$30)&gt;INT((B182-1)*$C$27/$C$30),"Misma loc.","Otra loc."))</f>
        <v>Misma loc.</v>
      </c>
      <c r="D182" s="26" t="n">
        <f aca="false">IF(C182="","",IF(C182="Misma loc.",1,$C$29))</f>
        <v>1</v>
      </c>
      <c r="E182" s="26" t="n">
        <f aca="false">IF(C182="","",COUNTIF($E$115:$E$150,"&lt;"&amp;(B182-0.000001))+1)</f>
        <v>6</v>
      </c>
      <c r="F182" s="26" t="n">
        <f aca="false">IF(C182="","",COUNTIF($E$157:E182,E182))</f>
        <v>1</v>
      </c>
      <c r="G182" s="11" t="n">
        <f aca="false">IF(C182="","",INDEX($C$51:$F$51,D182))</f>
        <v>76047.4054054054</v>
      </c>
      <c r="H182" s="11" t="n">
        <f aca="false">IF(C182="","",IF(F182&gt;=$C$19,INDEX($C$63:$F$63,D182),INDEX($C$62:$F$62,D182)))</f>
        <v>55414.0110810811</v>
      </c>
      <c r="I182" s="11" t="n">
        <f aca="false">IF(C182="","",INDEX($C$64:$F$64,D182))</f>
        <v>65678.4554054054</v>
      </c>
      <c r="J182" s="11" t="n">
        <f aca="false">IF(C182="","",IF(F182&gt;=$C$19,INDEX($C$65:$F$65,D182),INDEX($C$64:$F$64,D182)))</f>
        <v>65678.4554054054</v>
      </c>
      <c r="K182" s="11" t="n">
        <f aca="false">IF(C182="","",IF(F182&gt;=$C$19,INDEX($C$67:$F$67,D182),INDEX($C$66:$F$66,D182)))</f>
        <v>55372.8113513514</v>
      </c>
    </row>
    <row r="183" customFormat="false" ht="15" hidden="false" customHeight="false" outlineLevel="0" collapsed="false">
      <c r="B183" s="26" t="n">
        <v>27</v>
      </c>
      <c r="C183" s="10" t="str">
        <f aca="false">IF(B183&gt;$C$30,"",IF(INT(B183*$C$27/$C$30)&gt;INT((B183-1)*$C$27/$C$30),"Misma loc.","Otra loc."))</f>
        <v>Otra loc.</v>
      </c>
      <c r="D183" s="26" t="n">
        <f aca="false">IF(C183="","",IF(C183="Misma loc.",1,$C$29))</f>
        <v>2</v>
      </c>
      <c r="E183" s="26" t="n">
        <f aca="false">IF(C183="","",COUNTIF($E$115:$E$150,"&lt;"&amp;(B183-0.000001))+1)</f>
        <v>6</v>
      </c>
      <c r="F183" s="26" t="n">
        <f aca="false">IF(C183="","",COUNTIF($E$157:E183,E183))</f>
        <v>2</v>
      </c>
      <c r="G183" s="11" t="n">
        <f aca="false">IF(C183="","",INDEX($C$51:$F$51,D183))</f>
        <v>99473.8108108108</v>
      </c>
      <c r="H183" s="11" t="n">
        <f aca="false">IF(C183="","",IF(F183&gt;=$C$19,INDEX($C$63:$F$63,D183),INDEX($C$62:$F$62,D183)))</f>
        <v>85898.0227027027</v>
      </c>
      <c r="I183" s="11" t="n">
        <f aca="false">IF(C183="","",INDEX($C$64:$F$64,D183))</f>
        <v>108447.105405405</v>
      </c>
      <c r="J183" s="11" t="n">
        <f aca="false">IF(C183="","",IF(F183&gt;=$C$19,INDEX($C$65:$F$65,D183),INDEX($C$64:$F$64,D183)))</f>
        <v>108447.105405405</v>
      </c>
      <c r="K183" s="11" t="n">
        <f aca="false">IF(C183="","",IF(F183&gt;=$C$19,INDEX($C$67:$F$67,D183),INDEX($C$66:$F$66,D183)))</f>
        <v>82343.9464864865</v>
      </c>
    </row>
    <row r="184" customFormat="false" ht="15" hidden="false" customHeight="false" outlineLevel="0" collapsed="false">
      <c r="B184" s="26" t="n">
        <v>28</v>
      </c>
      <c r="C184" s="10" t="str">
        <f aca="false">IF(B184&gt;$C$30,"",IF(INT(B184*$C$27/$C$30)&gt;INT((B184-1)*$C$27/$C$30),"Misma loc.","Otra loc."))</f>
        <v>Misma loc.</v>
      </c>
      <c r="D184" s="26" t="n">
        <f aca="false">IF(C184="","",IF(C184="Misma loc.",1,$C$29))</f>
        <v>1</v>
      </c>
      <c r="E184" s="26" t="n">
        <f aca="false">IF(C184="","",COUNTIF($E$115:$E$150,"&lt;"&amp;(B184-0.000001))+1)</f>
        <v>6</v>
      </c>
      <c r="F184" s="26" t="n">
        <f aca="false">IF(C184="","",COUNTIF($E$157:E184,E184))</f>
        <v>3</v>
      </c>
      <c r="G184" s="11" t="n">
        <f aca="false">IF(C184="","",INDEX($C$51:$F$51,D184))</f>
        <v>76047.4054054054</v>
      </c>
      <c r="H184" s="11" t="n">
        <f aca="false">IF(C184="","",IF(F184&gt;=$C$19,INDEX($C$63:$F$63,D184),INDEX($C$62:$F$62,D184)))</f>
        <v>55414.0110810811</v>
      </c>
      <c r="I184" s="11" t="n">
        <f aca="false">IF(C184="","",INDEX($C$64:$F$64,D184))</f>
        <v>65678.4554054054</v>
      </c>
      <c r="J184" s="11" t="n">
        <f aca="false">IF(C184="","",IF(F184&gt;=$C$19,INDEX($C$65:$F$65,D184),INDEX($C$64:$F$64,D184)))</f>
        <v>65678.4554054054</v>
      </c>
      <c r="K184" s="11" t="n">
        <f aca="false">IF(C184="","",IF(F184&gt;=$C$19,INDEX($C$67:$F$67,D184),INDEX($C$66:$F$66,D184)))</f>
        <v>55372.8113513514</v>
      </c>
    </row>
    <row r="185" customFormat="false" ht="15" hidden="false" customHeight="false" outlineLevel="0" collapsed="false">
      <c r="B185" s="26" t="n">
        <v>29</v>
      </c>
      <c r="C185" s="10" t="str">
        <f aca="false">IF(B185&gt;$C$30,"",IF(INT(B185*$C$27/$C$30)&gt;INT((B185-1)*$C$27/$C$30),"Misma loc.","Otra loc."))</f>
        <v>Otra loc.</v>
      </c>
      <c r="D185" s="26" t="n">
        <f aca="false">IF(C185="","",IF(C185="Misma loc.",1,$C$29))</f>
        <v>2</v>
      </c>
      <c r="E185" s="26" t="n">
        <f aca="false">IF(C185="","",COUNTIF($E$115:$E$150,"&lt;"&amp;(B185-0.000001))+1)</f>
        <v>6</v>
      </c>
      <c r="F185" s="26" t="n">
        <f aca="false">IF(C185="","",COUNTIF($E$157:E185,E185))</f>
        <v>4</v>
      </c>
      <c r="G185" s="11" t="n">
        <f aca="false">IF(C185="","",INDEX($C$51:$F$51,D185))</f>
        <v>99473.8108108108</v>
      </c>
      <c r="H185" s="11" t="n">
        <f aca="false">IF(C185="","",IF(F185&gt;=$C$19,INDEX($C$63:$F$63,D185),INDEX($C$62:$F$62,D185)))</f>
        <v>85898.0227027027</v>
      </c>
      <c r="I185" s="11" t="n">
        <f aca="false">IF(C185="","",INDEX($C$64:$F$64,D185))</f>
        <v>108447.105405405</v>
      </c>
      <c r="J185" s="11" t="n">
        <f aca="false">IF(C185="","",IF(F185&gt;=$C$19,INDEX($C$65:$F$65,D185),INDEX($C$64:$F$64,D185)))</f>
        <v>108447.105405405</v>
      </c>
      <c r="K185" s="11" t="n">
        <f aca="false">IF(C185="","",IF(F185&gt;=$C$19,INDEX($C$67:$F$67,D185),INDEX($C$66:$F$66,D185)))</f>
        <v>82343.9464864865</v>
      </c>
    </row>
    <row r="186" customFormat="false" ht="15" hidden="false" customHeight="false" outlineLevel="0" collapsed="false">
      <c r="B186" s="26" t="n">
        <v>30</v>
      </c>
      <c r="C186" s="10" t="str">
        <f aca="false">IF(B186&gt;$C$30,"",IF(INT(B186*$C$27/$C$30)&gt;INT((B186-1)*$C$27/$C$30),"Misma loc.","Otra loc."))</f>
        <v>Otra loc.</v>
      </c>
      <c r="D186" s="26" t="n">
        <f aca="false">IF(C186="","",IF(C186="Misma loc.",1,$C$29))</f>
        <v>2</v>
      </c>
      <c r="E186" s="26" t="n">
        <f aca="false">IF(C186="","",COUNTIF($E$115:$E$150,"&lt;"&amp;(B186-0.000001))+1)</f>
        <v>6</v>
      </c>
      <c r="F186" s="26" t="n">
        <f aca="false">IF(C186="","",COUNTIF($E$157:E186,E186))</f>
        <v>5</v>
      </c>
      <c r="G186" s="11" t="n">
        <f aca="false">IF(C186="","",INDEX($C$51:$F$51,D186))</f>
        <v>99473.8108108108</v>
      </c>
      <c r="H186" s="11" t="n">
        <f aca="false">IF(C186="","",IF(F186&gt;=$C$19,INDEX($C$63:$F$63,D186),INDEX($C$62:$F$62,D186)))</f>
        <v>85898.0227027027</v>
      </c>
      <c r="I186" s="11" t="n">
        <f aca="false">IF(C186="","",INDEX($C$64:$F$64,D186))</f>
        <v>108447.105405405</v>
      </c>
      <c r="J186" s="11" t="n">
        <f aca="false">IF(C186="","",IF(F186&gt;=$C$19,INDEX($C$65:$F$65,D186),INDEX($C$64:$F$64,D186)))</f>
        <v>108447.105405405</v>
      </c>
      <c r="K186" s="11" t="n">
        <f aca="false">IF(C186="","",IF(F186&gt;=$C$19,INDEX($C$67:$F$67,D186),INDEX($C$66:$F$66,D186)))</f>
        <v>82343.9464864865</v>
      </c>
    </row>
    <row r="187" customFormat="false" ht="15" hidden="false" customHeight="false" outlineLevel="0" collapsed="false">
      <c r="B187" s="26" t="n">
        <v>31</v>
      </c>
      <c r="C187" s="10" t="str">
        <f aca="false">IF(B187&gt;$C$30,"",IF(INT(B187*$C$27/$C$30)&gt;INT((B187-1)*$C$27/$C$30),"Misma loc.","Otra loc."))</f>
        <v>Misma loc.</v>
      </c>
      <c r="D187" s="26" t="n">
        <f aca="false">IF(C187="","",IF(C187="Misma loc.",1,$C$29))</f>
        <v>1</v>
      </c>
      <c r="E187" s="26" t="n">
        <f aca="false">IF(C187="","",COUNTIF($E$115:$E$150,"&lt;"&amp;(B187-0.000001))+1)</f>
        <v>7</v>
      </c>
      <c r="F187" s="26" t="n">
        <f aca="false">IF(C187="","",COUNTIF($E$157:E187,E187))</f>
        <v>1</v>
      </c>
      <c r="G187" s="11" t="n">
        <f aca="false">IF(C187="","",INDEX($C$51:$F$51,D187))</f>
        <v>76047.4054054054</v>
      </c>
      <c r="H187" s="11" t="n">
        <f aca="false">IF(C187="","",IF(F187&gt;=$C$19,INDEX($C$63:$F$63,D187),INDEX($C$62:$F$62,D187)))</f>
        <v>55414.0110810811</v>
      </c>
      <c r="I187" s="11" t="n">
        <f aca="false">IF(C187="","",INDEX($C$64:$F$64,D187))</f>
        <v>65678.4554054054</v>
      </c>
      <c r="J187" s="11" t="n">
        <f aca="false">IF(C187="","",IF(F187&gt;=$C$19,INDEX($C$65:$F$65,D187),INDEX($C$64:$F$64,D187)))</f>
        <v>65678.4554054054</v>
      </c>
      <c r="K187" s="11" t="n">
        <f aca="false">IF(C187="","",IF(F187&gt;=$C$19,INDEX($C$67:$F$67,D187),INDEX($C$66:$F$66,D187)))</f>
        <v>55372.8113513514</v>
      </c>
    </row>
    <row r="188" customFormat="false" ht="15" hidden="false" customHeight="false" outlineLevel="0" collapsed="false">
      <c r="B188" s="26" t="n">
        <v>32</v>
      </c>
      <c r="C188" s="10" t="str">
        <f aca="false">IF(B188&gt;$C$30,"",IF(INT(B188*$C$27/$C$30)&gt;INT((B188-1)*$C$27/$C$30),"Misma loc.","Otra loc."))</f>
        <v>Otra loc.</v>
      </c>
      <c r="D188" s="26" t="n">
        <f aca="false">IF(C188="","",IF(C188="Misma loc.",1,$C$29))</f>
        <v>2</v>
      </c>
      <c r="E188" s="26" t="n">
        <f aca="false">IF(C188="","",COUNTIF($E$115:$E$150,"&lt;"&amp;(B188-0.000001))+1)</f>
        <v>7</v>
      </c>
      <c r="F188" s="26" t="n">
        <f aca="false">IF(C188="","",COUNTIF($E$157:E188,E188))</f>
        <v>2</v>
      </c>
      <c r="G188" s="11" t="n">
        <f aca="false">IF(C188="","",INDEX($C$51:$F$51,D188))</f>
        <v>99473.8108108108</v>
      </c>
      <c r="H188" s="11" t="n">
        <f aca="false">IF(C188="","",IF(F188&gt;=$C$19,INDEX($C$63:$F$63,D188),INDEX($C$62:$F$62,D188)))</f>
        <v>85898.0227027027</v>
      </c>
      <c r="I188" s="11" t="n">
        <f aca="false">IF(C188="","",INDEX($C$64:$F$64,D188))</f>
        <v>108447.105405405</v>
      </c>
      <c r="J188" s="11" t="n">
        <f aca="false">IF(C188="","",IF(F188&gt;=$C$19,INDEX($C$65:$F$65,D188),INDEX($C$64:$F$64,D188)))</f>
        <v>108447.105405405</v>
      </c>
      <c r="K188" s="11" t="n">
        <f aca="false">IF(C188="","",IF(F188&gt;=$C$19,INDEX($C$67:$F$67,D188),INDEX($C$66:$F$66,D188)))</f>
        <v>82343.9464864865</v>
      </c>
    </row>
    <row r="189" customFormat="false" ht="15" hidden="false" customHeight="false" outlineLevel="0" collapsed="false">
      <c r="B189" s="26" t="n">
        <v>33</v>
      </c>
      <c r="C189" s="10" t="str">
        <f aca="false">IF(B189&gt;$C$30,"",IF(INT(B189*$C$27/$C$30)&gt;INT((B189-1)*$C$27/$C$30),"Misma loc.","Otra loc."))</f>
        <v>Misma loc.</v>
      </c>
      <c r="D189" s="26" t="n">
        <f aca="false">IF(C189="","",IF(C189="Misma loc.",1,$C$29))</f>
        <v>1</v>
      </c>
      <c r="E189" s="26" t="n">
        <f aca="false">IF(C189="","",COUNTIF($E$115:$E$150,"&lt;"&amp;(B189-0.000001))+1)</f>
        <v>7</v>
      </c>
      <c r="F189" s="26" t="n">
        <f aca="false">IF(C189="","",COUNTIF($E$157:E189,E189))</f>
        <v>3</v>
      </c>
      <c r="G189" s="11" t="n">
        <f aca="false">IF(C189="","",INDEX($C$51:$F$51,D189))</f>
        <v>76047.4054054054</v>
      </c>
      <c r="H189" s="11" t="n">
        <f aca="false">IF(C189="","",IF(F189&gt;=$C$19,INDEX($C$63:$F$63,D189),INDEX($C$62:$F$62,D189)))</f>
        <v>55414.0110810811</v>
      </c>
      <c r="I189" s="11" t="n">
        <f aca="false">IF(C189="","",INDEX($C$64:$F$64,D189))</f>
        <v>65678.4554054054</v>
      </c>
      <c r="J189" s="11" t="n">
        <f aca="false">IF(C189="","",IF(F189&gt;=$C$19,INDEX($C$65:$F$65,D189),INDEX($C$64:$F$64,D189)))</f>
        <v>65678.4554054054</v>
      </c>
      <c r="K189" s="11" t="n">
        <f aca="false">IF(C189="","",IF(F189&gt;=$C$19,INDEX($C$67:$F$67,D189),INDEX($C$66:$F$66,D189)))</f>
        <v>55372.8113513514</v>
      </c>
    </row>
    <row r="190" customFormat="false" ht="15" hidden="false" customHeight="false" outlineLevel="0" collapsed="false">
      <c r="B190" s="26" t="n">
        <v>34</v>
      </c>
      <c r="C190" s="10" t="str">
        <f aca="false">IF(B190&gt;$C$30,"",IF(INT(B190*$C$27/$C$30)&gt;INT((B190-1)*$C$27/$C$30),"Misma loc.","Otra loc."))</f>
        <v>Otra loc.</v>
      </c>
      <c r="D190" s="26" t="n">
        <f aca="false">IF(C190="","",IF(C190="Misma loc.",1,$C$29))</f>
        <v>2</v>
      </c>
      <c r="E190" s="26" t="n">
        <f aca="false">IF(C190="","",COUNTIF($E$115:$E$150,"&lt;"&amp;(B190-0.000001))+1)</f>
        <v>7</v>
      </c>
      <c r="F190" s="26" t="n">
        <f aca="false">IF(C190="","",COUNTIF($E$157:E190,E190))</f>
        <v>4</v>
      </c>
      <c r="G190" s="11" t="n">
        <f aca="false">IF(C190="","",INDEX($C$51:$F$51,D190))</f>
        <v>99473.8108108108</v>
      </c>
      <c r="H190" s="11" t="n">
        <f aca="false">IF(C190="","",IF(F190&gt;=$C$19,INDEX($C$63:$F$63,D190),INDEX($C$62:$F$62,D190)))</f>
        <v>85898.0227027027</v>
      </c>
      <c r="I190" s="11" t="n">
        <f aca="false">IF(C190="","",INDEX($C$64:$F$64,D190))</f>
        <v>108447.105405405</v>
      </c>
      <c r="J190" s="11" t="n">
        <f aca="false">IF(C190="","",IF(F190&gt;=$C$19,INDEX($C$65:$F$65,D190),INDEX($C$64:$F$64,D190)))</f>
        <v>108447.105405405</v>
      </c>
      <c r="K190" s="11" t="n">
        <f aca="false">IF(C190="","",IF(F190&gt;=$C$19,INDEX($C$67:$F$67,D190),INDEX($C$66:$F$66,D190)))</f>
        <v>82343.9464864865</v>
      </c>
    </row>
    <row r="191" customFormat="false" ht="15" hidden="false" customHeight="false" outlineLevel="0" collapsed="false">
      <c r="B191" s="26" t="n">
        <v>35</v>
      </c>
      <c r="C191" s="10" t="str">
        <f aca="false">IF(B191&gt;$C$30,"",IF(INT(B191*$C$27/$C$30)&gt;INT((B191-1)*$C$27/$C$30),"Misma loc.","Otra loc."))</f>
        <v>Misma loc.</v>
      </c>
      <c r="D191" s="26" t="n">
        <f aca="false">IF(C191="","",IF(C191="Misma loc.",1,$C$29))</f>
        <v>1</v>
      </c>
      <c r="E191" s="26" t="n">
        <f aca="false">IF(C191="","",COUNTIF($E$115:$E$150,"&lt;"&amp;(B191-0.000001))+1)</f>
        <v>7</v>
      </c>
      <c r="F191" s="26" t="n">
        <f aca="false">IF(C191="","",COUNTIF($E$157:E191,E191))</f>
        <v>5</v>
      </c>
      <c r="G191" s="11" t="n">
        <f aca="false">IF(C191="","",INDEX($C$51:$F$51,D191))</f>
        <v>76047.4054054054</v>
      </c>
      <c r="H191" s="11" t="n">
        <f aca="false">IF(C191="","",IF(F191&gt;=$C$19,INDEX($C$63:$F$63,D191),INDEX($C$62:$F$62,D191)))</f>
        <v>55414.0110810811</v>
      </c>
      <c r="I191" s="11" t="n">
        <f aca="false">IF(C191="","",INDEX($C$64:$F$64,D191))</f>
        <v>65678.4554054054</v>
      </c>
      <c r="J191" s="11" t="n">
        <f aca="false">IF(C191="","",IF(F191&gt;=$C$19,INDEX($C$65:$F$65,D191),INDEX($C$64:$F$64,D191)))</f>
        <v>65678.4554054054</v>
      </c>
      <c r="K191" s="11" t="n">
        <f aca="false">IF(C191="","",IF(F191&gt;=$C$19,INDEX($C$67:$F$67,D191),INDEX($C$66:$F$66,D191)))</f>
        <v>55372.8113513514</v>
      </c>
    </row>
    <row r="192" customFormat="false" ht="15" hidden="false" customHeight="false" outlineLevel="0" collapsed="false">
      <c r="B192" s="26" t="n">
        <v>36</v>
      </c>
      <c r="C192" s="10" t="str">
        <f aca="false">IF(B192&gt;$C$30,"",IF(INT(B192*$C$27/$C$30)&gt;INT((B192-1)*$C$27/$C$30),"Misma loc.","Otra loc."))</f>
        <v/>
      </c>
      <c r="D192" s="26" t="str">
        <f aca="false">IF(C192="","",IF(C192="Misma loc.",1,$C$29))</f>
        <v/>
      </c>
      <c r="E192" s="26" t="str">
        <f aca="false">IF(C192="","",COUNTIF($E$115:$E$150,"&lt;"&amp;(B192-0.000001))+1)</f>
        <v/>
      </c>
      <c r="F192" s="26" t="str">
        <f aca="false">IF(C192="","",COUNTIF($E$157:E192,E192))</f>
        <v/>
      </c>
      <c r="G192" s="11" t="str">
        <f aca="false">IF(C192="","",INDEX($C$51:$F$51,D192))</f>
        <v/>
      </c>
      <c r="H192" s="11" t="str">
        <f aca="false">IF(C192="","",IF(F192&gt;=$C$19,INDEX($C$63:$F$63,D192),INDEX($C$62:$F$62,D192)))</f>
        <v/>
      </c>
      <c r="I192" s="11" t="str">
        <f aca="false">IF(C192="","",INDEX($C$64:$F$64,D192))</f>
        <v/>
      </c>
      <c r="J192" s="11" t="str">
        <f aca="false">IF(C192="","",IF(F192&gt;=$C$19,INDEX($C$65:$F$65,D192),INDEX($C$64:$F$64,D192)))</f>
        <v/>
      </c>
      <c r="K192" s="11" t="str">
        <f aca="false">IF(C192="","",IF(F192&gt;=$C$19,INDEX($C$67:$F$67,D192),INDEX($C$66:$F$66,D192)))</f>
        <v/>
      </c>
    </row>
    <row r="193" customFormat="false" ht="15" hidden="false" customHeight="false" outlineLevel="0" collapsed="false">
      <c r="B193" s="26" t="n">
        <v>37</v>
      </c>
      <c r="C193" s="10" t="str">
        <f aca="false">IF(B193&gt;$C$30,"",IF(INT(B193*$C$27/$C$30)&gt;INT((B193-1)*$C$27/$C$30),"Misma loc.","Otra loc."))</f>
        <v/>
      </c>
      <c r="D193" s="26" t="str">
        <f aca="false">IF(C193="","",IF(C193="Misma loc.",1,$C$29))</f>
        <v/>
      </c>
      <c r="E193" s="26" t="str">
        <f aca="false">IF(C193="","",COUNTIF($E$115:$E$150,"&lt;"&amp;(B193-0.000001))+1)</f>
        <v/>
      </c>
      <c r="F193" s="26" t="str">
        <f aca="false">IF(C193="","",COUNTIF($E$157:E193,E193))</f>
        <v/>
      </c>
      <c r="G193" s="11" t="str">
        <f aca="false">IF(C193="","",INDEX($C$51:$F$51,D193))</f>
        <v/>
      </c>
      <c r="H193" s="11" t="str">
        <f aca="false">IF(C193="","",IF(F193&gt;=$C$19,INDEX($C$63:$F$63,D193),INDEX($C$62:$F$62,D193)))</f>
        <v/>
      </c>
      <c r="I193" s="11" t="str">
        <f aca="false">IF(C193="","",INDEX($C$64:$F$64,D193))</f>
        <v/>
      </c>
      <c r="J193" s="11" t="str">
        <f aca="false">IF(C193="","",IF(F193&gt;=$C$19,INDEX($C$65:$F$65,D193),INDEX($C$64:$F$64,D193)))</f>
        <v/>
      </c>
      <c r="K193" s="11" t="str">
        <f aca="false">IF(C193="","",IF(F193&gt;=$C$19,INDEX($C$67:$F$67,D193),INDEX($C$66:$F$66,D193)))</f>
        <v/>
      </c>
    </row>
    <row r="194" customFormat="false" ht="15" hidden="false" customHeight="false" outlineLevel="0" collapsed="false">
      <c r="B194" s="26" t="n">
        <v>38</v>
      </c>
      <c r="C194" s="10" t="str">
        <f aca="false">IF(B194&gt;$C$30,"",IF(INT(B194*$C$27/$C$30)&gt;INT((B194-1)*$C$27/$C$30),"Misma loc.","Otra loc."))</f>
        <v/>
      </c>
      <c r="D194" s="26" t="str">
        <f aca="false">IF(C194="","",IF(C194="Misma loc.",1,$C$29))</f>
        <v/>
      </c>
      <c r="E194" s="26" t="str">
        <f aca="false">IF(C194="","",COUNTIF($E$115:$E$150,"&lt;"&amp;(B194-0.000001))+1)</f>
        <v/>
      </c>
      <c r="F194" s="26" t="str">
        <f aca="false">IF(C194="","",COUNTIF($E$157:E194,E194))</f>
        <v/>
      </c>
      <c r="G194" s="11" t="str">
        <f aca="false">IF(C194="","",INDEX($C$51:$F$51,D194))</f>
        <v/>
      </c>
      <c r="H194" s="11" t="str">
        <f aca="false">IF(C194="","",IF(F194&gt;=$C$19,INDEX($C$63:$F$63,D194),INDEX($C$62:$F$62,D194)))</f>
        <v/>
      </c>
      <c r="I194" s="11" t="str">
        <f aca="false">IF(C194="","",INDEX($C$64:$F$64,D194))</f>
        <v/>
      </c>
      <c r="J194" s="11" t="str">
        <f aca="false">IF(C194="","",IF(F194&gt;=$C$19,INDEX($C$65:$F$65,D194),INDEX($C$64:$F$64,D194)))</f>
        <v/>
      </c>
      <c r="K194" s="11" t="str">
        <f aca="false">IF(C194="","",IF(F194&gt;=$C$19,INDEX($C$67:$F$67,D194),INDEX($C$66:$F$66,D194)))</f>
        <v/>
      </c>
    </row>
    <row r="195" customFormat="false" ht="15" hidden="false" customHeight="false" outlineLevel="0" collapsed="false">
      <c r="B195" s="26" t="n">
        <v>39</v>
      </c>
      <c r="C195" s="10" t="str">
        <f aca="false">IF(B195&gt;$C$30,"",IF(INT(B195*$C$27/$C$30)&gt;INT((B195-1)*$C$27/$C$30),"Misma loc.","Otra loc."))</f>
        <v/>
      </c>
      <c r="D195" s="26" t="str">
        <f aca="false">IF(C195="","",IF(C195="Misma loc.",1,$C$29))</f>
        <v/>
      </c>
      <c r="E195" s="26" t="str">
        <f aca="false">IF(C195="","",COUNTIF($E$115:$E$150,"&lt;"&amp;(B195-0.000001))+1)</f>
        <v/>
      </c>
      <c r="F195" s="26" t="str">
        <f aca="false">IF(C195="","",COUNTIF($E$157:E195,E195))</f>
        <v/>
      </c>
      <c r="G195" s="11" t="str">
        <f aca="false">IF(C195="","",INDEX($C$51:$F$51,D195))</f>
        <v/>
      </c>
      <c r="H195" s="11" t="str">
        <f aca="false">IF(C195="","",IF(F195&gt;=$C$19,INDEX($C$63:$F$63,D195),INDEX($C$62:$F$62,D195)))</f>
        <v/>
      </c>
      <c r="I195" s="11" t="str">
        <f aca="false">IF(C195="","",INDEX($C$64:$F$64,D195))</f>
        <v/>
      </c>
      <c r="J195" s="11" t="str">
        <f aca="false">IF(C195="","",IF(F195&gt;=$C$19,INDEX($C$65:$F$65,D195),INDEX($C$64:$F$64,D195)))</f>
        <v/>
      </c>
      <c r="K195" s="11" t="str">
        <f aca="false">IF(C195="","",IF(F195&gt;=$C$19,INDEX($C$67:$F$67,D195),INDEX($C$66:$F$66,D195)))</f>
        <v/>
      </c>
    </row>
    <row r="196" customFormat="false" ht="15" hidden="false" customHeight="false" outlineLevel="0" collapsed="false">
      <c r="B196" s="26" t="n">
        <v>40</v>
      </c>
      <c r="C196" s="10" t="str">
        <f aca="false">IF(B196&gt;$C$30,"",IF(INT(B196*$C$27/$C$30)&gt;INT((B196-1)*$C$27/$C$30),"Misma loc.","Otra loc."))</f>
        <v/>
      </c>
      <c r="D196" s="26" t="str">
        <f aca="false">IF(C196="","",IF(C196="Misma loc.",1,$C$29))</f>
        <v/>
      </c>
      <c r="E196" s="26" t="str">
        <f aca="false">IF(C196="","",COUNTIF($E$115:$E$150,"&lt;"&amp;(B196-0.000001))+1)</f>
        <v/>
      </c>
      <c r="F196" s="26" t="str">
        <f aca="false">IF(C196="","",COUNTIF($E$157:E196,E196))</f>
        <v/>
      </c>
      <c r="G196" s="11" t="str">
        <f aca="false">IF(C196="","",INDEX($C$51:$F$51,D196))</f>
        <v/>
      </c>
      <c r="H196" s="11" t="str">
        <f aca="false">IF(C196="","",IF(F196&gt;=$C$19,INDEX($C$63:$F$63,D196),INDEX($C$62:$F$62,D196)))</f>
        <v/>
      </c>
      <c r="I196" s="11" t="str">
        <f aca="false">IF(C196="","",INDEX($C$64:$F$64,D196))</f>
        <v/>
      </c>
      <c r="J196" s="11" t="str">
        <f aca="false">IF(C196="","",IF(F196&gt;=$C$19,INDEX($C$65:$F$65,D196),INDEX($C$64:$F$64,D196)))</f>
        <v/>
      </c>
      <c r="K196" s="11" t="str">
        <f aca="false">IF(C196="","",IF(F196&gt;=$C$19,INDEX($C$67:$F$67,D196),INDEX($C$66:$F$66,D196)))</f>
        <v/>
      </c>
    </row>
    <row r="197" customFormat="false" ht="15" hidden="false" customHeight="false" outlineLevel="0" collapsed="false">
      <c r="B197" s="26" t="n">
        <v>41</v>
      </c>
      <c r="C197" s="10" t="str">
        <f aca="false">IF(B197&gt;$C$30,"",IF(INT(B197*$C$27/$C$30)&gt;INT((B197-1)*$C$27/$C$30),"Misma loc.","Otra loc."))</f>
        <v/>
      </c>
      <c r="D197" s="26" t="str">
        <f aca="false">IF(C197="","",IF(C197="Misma loc.",1,$C$29))</f>
        <v/>
      </c>
      <c r="E197" s="26" t="str">
        <f aca="false">IF(C197="","",COUNTIF($E$115:$E$150,"&lt;"&amp;(B197-0.000001))+1)</f>
        <v/>
      </c>
      <c r="F197" s="26" t="str">
        <f aca="false">IF(C197="","",COUNTIF($E$157:E197,E197))</f>
        <v/>
      </c>
      <c r="G197" s="11" t="str">
        <f aca="false">IF(C197="","",INDEX($C$51:$F$51,D197))</f>
        <v/>
      </c>
      <c r="H197" s="11" t="str">
        <f aca="false">IF(C197="","",IF(F197&gt;=$C$19,INDEX($C$63:$F$63,D197),INDEX($C$62:$F$62,D197)))</f>
        <v/>
      </c>
      <c r="I197" s="11" t="str">
        <f aca="false">IF(C197="","",INDEX($C$64:$F$64,D197))</f>
        <v/>
      </c>
      <c r="J197" s="11" t="str">
        <f aca="false">IF(C197="","",IF(F197&gt;=$C$19,INDEX($C$65:$F$65,D197),INDEX($C$64:$F$64,D197)))</f>
        <v/>
      </c>
      <c r="K197" s="11" t="str">
        <f aca="false">IF(C197="","",IF(F197&gt;=$C$19,INDEX($C$67:$F$67,D197),INDEX($C$66:$F$66,D197)))</f>
        <v/>
      </c>
    </row>
    <row r="198" customFormat="false" ht="15" hidden="false" customHeight="false" outlineLevel="0" collapsed="false">
      <c r="B198" s="26" t="n">
        <v>42</v>
      </c>
      <c r="C198" s="10" t="str">
        <f aca="false">IF(B198&gt;$C$30,"",IF(INT(B198*$C$27/$C$30)&gt;INT((B198-1)*$C$27/$C$30),"Misma loc.","Otra loc."))</f>
        <v/>
      </c>
      <c r="D198" s="26" t="str">
        <f aca="false">IF(C198="","",IF(C198="Misma loc.",1,$C$29))</f>
        <v/>
      </c>
      <c r="E198" s="26" t="str">
        <f aca="false">IF(C198="","",COUNTIF($E$115:$E$150,"&lt;"&amp;(B198-0.000001))+1)</f>
        <v/>
      </c>
      <c r="F198" s="26" t="str">
        <f aca="false">IF(C198="","",COUNTIF($E$157:E198,E198))</f>
        <v/>
      </c>
      <c r="G198" s="11" t="str">
        <f aca="false">IF(C198="","",INDEX($C$51:$F$51,D198))</f>
        <v/>
      </c>
      <c r="H198" s="11" t="str">
        <f aca="false">IF(C198="","",IF(F198&gt;=$C$19,INDEX($C$63:$F$63,D198),INDEX($C$62:$F$62,D198)))</f>
        <v/>
      </c>
      <c r="I198" s="11" t="str">
        <f aca="false">IF(C198="","",INDEX($C$64:$F$64,D198))</f>
        <v/>
      </c>
      <c r="J198" s="11" t="str">
        <f aca="false">IF(C198="","",IF(F198&gt;=$C$19,INDEX($C$65:$F$65,D198),INDEX($C$64:$F$64,D198)))</f>
        <v/>
      </c>
      <c r="K198" s="11" t="str">
        <f aca="false">IF(C198="","",IF(F198&gt;=$C$19,INDEX($C$67:$F$67,D198),INDEX($C$66:$F$66,D198)))</f>
        <v/>
      </c>
    </row>
    <row r="199" customFormat="false" ht="15" hidden="false" customHeight="false" outlineLevel="0" collapsed="false">
      <c r="B199" s="26" t="n">
        <v>43</v>
      </c>
      <c r="C199" s="10" t="str">
        <f aca="false">IF(B199&gt;$C$30,"",IF(INT(B199*$C$27/$C$30)&gt;INT((B199-1)*$C$27/$C$30),"Misma loc.","Otra loc."))</f>
        <v/>
      </c>
      <c r="D199" s="26" t="str">
        <f aca="false">IF(C199="","",IF(C199="Misma loc.",1,$C$29))</f>
        <v/>
      </c>
      <c r="E199" s="26" t="str">
        <f aca="false">IF(C199="","",COUNTIF($E$115:$E$150,"&lt;"&amp;(B199-0.000001))+1)</f>
        <v/>
      </c>
      <c r="F199" s="26" t="str">
        <f aca="false">IF(C199="","",COUNTIF($E$157:E199,E199))</f>
        <v/>
      </c>
      <c r="G199" s="11" t="str">
        <f aca="false">IF(C199="","",INDEX($C$51:$F$51,D199))</f>
        <v/>
      </c>
      <c r="H199" s="11" t="str">
        <f aca="false">IF(C199="","",IF(F199&gt;=$C$19,INDEX($C$63:$F$63,D199),INDEX($C$62:$F$62,D199)))</f>
        <v/>
      </c>
      <c r="I199" s="11" t="str">
        <f aca="false">IF(C199="","",INDEX($C$64:$F$64,D199))</f>
        <v/>
      </c>
      <c r="J199" s="11" t="str">
        <f aca="false">IF(C199="","",IF(F199&gt;=$C$19,INDEX($C$65:$F$65,D199),INDEX($C$64:$F$64,D199)))</f>
        <v/>
      </c>
      <c r="K199" s="11" t="str">
        <f aca="false">IF(C199="","",IF(F199&gt;=$C$19,INDEX($C$67:$F$67,D199),INDEX($C$66:$F$66,D199)))</f>
        <v/>
      </c>
    </row>
    <row r="200" customFormat="false" ht="15" hidden="false" customHeight="false" outlineLevel="0" collapsed="false">
      <c r="B200" s="26" t="n">
        <v>44</v>
      </c>
      <c r="C200" s="10" t="str">
        <f aca="false">IF(B200&gt;$C$30,"",IF(INT(B200*$C$27/$C$30)&gt;INT((B200-1)*$C$27/$C$30),"Misma loc.","Otra loc."))</f>
        <v/>
      </c>
      <c r="D200" s="26" t="str">
        <f aca="false">IF(C200="","",IF(C200="Misma loc.",1,$C$29))</f>
        <v/>
      </c>
      <c r="E200" s="26" t="str">
        <f aca="false">IF(C200="","",COUNTIF($E$115:$E$150,"&lt;"&amp;(B200-0.000001))+1)</f>
        <v/>
      </c>
      <c r="F200" s="26" t="str">
        <f aca="false">IF(C200="","",COUNTIF($E$157:E200,E200))</f>
        <v/>
      </c>
      <c r="G200" s="11" t="str">
        <f aca="false">IF(C200="","",INDEX($C$51:$F$51,D200))</f>
        <v/>
      </c>
      <c r="H200" s="11" t="str">
        <f aca="false">IF(C200="","",IF(F200&gt;=$C$19,INDEX($C$63:$F$63,D200),INDEX($C$62:$F$62,D200)))</f>
        <v/>
      </c>
      <c r="I200" s="11" t="str">
        <f aca="false">IF(C200="","",INDEX($C$64:$F$64,D200))</f>
        <v/>
      </c>
      <c r="J200" s="11" t="str">
        <f aca="false">IF(C200="","",IF(F200&gt;=$C$19,INDEX($C$65:$F$65,D200),INDEX($C$64:$F$64,D200)))</f>
        <v/>
      </c>
      <c r="K200" s="11" t="str">
        <f aca="false">IF(C200="","",IF(F200&gt;=$C$19,INDEX($C$67:$F$67,D200),INDEX($C$66:$F$66,D200)))</f>
        <v/>
      </c>
    </row>
    <row r="201" customFormat="false" ht="15" hidden="false" customHeight="false" outlineLevel="0" collapsed="false">
      <c r="B201" s="26" t="n">
        <v>45</v>
      </c>
      <c r="C201" s="10" t="str">
        <f aca="false">IF(B201&gt;$C$30,"",IF(INT(B201*$C$27/$C$30)&gt;INT((B201-1)*$C$27/$C$30),"Misma loc.","Otra loc."))</f>
        <v/>
      </c>
      <c r="D201" s="26" t="str">
        <f aca="false">IF(C201="","",IF(C201="Misma loc.",1,$C$29))</f>
        <v/>
      </c>
      <c r="E201" s="26" t="str">
        <f aca="false">IF(C201="","",COUNTIF($E$115:$E$150,"&lt;"&amp;(B201-0.000001))+1)</f>
        <v/>
      </c>
      <c r="F201" s="26" t="str">
        <f aca="false">IF(C201="","",COUNTIF($E$157:E201,E201))</f>
        <v/>
      </c>
      <c r="G201" s="11" t="str">
        <f aca="false">IF(C201="","",INDEX($C$51:$F$51,D201))</f>
        <v/>
      </c>
      <c r="H201" s="11" t="str">
        <f aca="false">IF(C201="","",IF(F201&gt;=$C$19,INDEX($C$63:$F$63,D201),INDEX($C$62:$F$62,D201)))</f>
        <v/>
      </c>
      <c r="I201" s="11" t="str">
        <f aca="false">IF(C201="","",INDEX($C$64:$F$64,D201))</f>
        <v/>
      </c>
      <c r="J201" s="11" t="str">
        <f aca="false">IF(C201="","",IF(F201&gt;=$C$19,INDEX($C$65:$F$65,D201),INDEX($C$64:$F$64,D201)))</f>
        <v/>
      </c>
      <c r="K201" s="11" t="str">
        <f aca="false">IF(C201="","",IF(F201&gt;=$C$19,INDEX($C$67:$F$67,D201),INDEX($C$66:$F$66,D201)))</f>
        <v/>
      </c>
    </row>
    <row r="202" customFormat="false" ht="15" hidden="false" customHeight="false" outlineLevel="0" collapsed="false">
      <c r="B202" s="26" t="n">
        <v>46</v>
      </c>
      <c r="C202" s="10" t="str">
        <f aca="false">IF(B202&gt;$C$30,"",IF(INT(B202*$C$27/$C$30)&gt;INT((B202-1)*$C$27/$C$30),"Misma loc.","Otra loc."))</f>
        <v/>
      </c>
      <c r="D202" s="26" t="str">
        <f aca="false">IF(C202="","",IF(C202="Misma loc.",1,$C$29))</f>
        <v/>
      </c>
      <c r="E202" s="26" t="str">
        <f aca="false">IF(C202="","",COUNTIF($E$115:$E$150,"&lt;"&amp;(B202-0.000001))+1)</f>
        <v/>
      </c>
      <c r="F202" s="26" t="str">
        <f aca="false">IF(C202="","",COUNTIF($E$157:E202,E202))</f>
        <v/>
      </c>
      <c r="G202" s="11" t="str">
        <f aca="false">IF(C202="","",INDEX($C$51:$F$51,D202))</f>
        <v/>
      </c>
      <c r="H202" s="11" t="str">
        <f aca="false">IF(C202="","",IF(F202&gt;=$C$19,INDEX($C$63:$F$63,D202),INDEX($C$62:$F$62,D202)))</f>
        <v/>
      </c>
      <c r="I202" s="11" t="str">
        <f aca="false">IF(C202="","",INDEX($C$64:$F$64,D202))</f>
        <v/>
      </c>
      <c r="J202" s="11" t="str">
        <f aca="false">IF(C202="","",IF(F202&gt;=$C$19,INDEX($C$65:$F$65,D202),INDEX($C$64:$F$64,D202)))</f>
        <v/>
      </c>
      <c r="K202" s="11" t="str">
        <f aca="false">IF(C202="","",IF(F202&gt;=$C$19,INDEX($C$67:$F$67,D202),INDEX($C$66:$F$66,D202)))</f>
        <v/>
      </c>
    </row>
    <row r="203" customFormat="false" ht="15" hidden="false" customHeight="false" outlineLevel="0" collapsed="false">
      <c r="B203" s="26" t="n">
        <v>47</v>
      </c>
      <c r="C203" s="10" t="str">
        <f aca="false">IF(B203&gt;$C$30,"",IF(INT(B203*$C$27/$C$30)&gt;INT((B203-1)*$C$27/$C$30),"Misma loc.","Otra loc."))</f>
        <v/>
      </c>
      <c r="D203" s="26" t="str">
        <f aca="false">IF(C203="","",IF(C203="Misma loc.",1,$C$29))</f>
        <v/>
      </c>
      <c r="E203" s="26" t="str">
        <f aca="false">IF(C203="","",COUNTIF($E$115:$E$150,"&lt;"&amp;(B203-0.000001))+1)</f>
        <v/>
      </c>
      <c r="F203" s="26" t="str">
        <f aca="false">IF(C203="","",COUNTIF($E$157:E203,E203))</f>
        <v/>
      </c>
      <c r="G203" s="11" t="str">
        <f aca="false">IF(C203="","",INDEX($C$51:$F$51,D203))</f>
        <v/>
      </c>
      <c r="H203" s="11" t="str">
        <f aca="false">IF(C203="","",IF(F203&gt;=$C$19,INDEX($C$63:$F$63,D203),INDEX($C$62:$F$62,D203)))</f>
        <v/>
      </c>
      <c r="I203" s="11" t="str">
        <f aca="false">IF(C203="","",INDEX($C$64:$F$64,D203))</f>
        <v/>
      </c>
      <c r="J203" s="11" t="str">
        <f aca="false">IF(C203="","",IF(F203&gt;=$C$19,INDEX($C$65:$F$65,D203),INDEX($C$64:$F$64,D203)))</f>
        <v/>
      </c>
      <c r="K203" s="11" t="str">
        <f aca="false">IF(C203="","",IF(F203&gt;=$C$19,INDEX($C$67:$F$67,D203),INDEX($C$66:$F$66,D203)))</f>
        <v/>
      </c>
    </row>
    <row r="204" customFormat="false" ht="15" hidden="false" customHeight="false" outlineLevel="0" collapsed="false">
      <c r="B204" s="26" t="n">
        <v>48</v>
      </c>
      <c r="C204" s="10" t="str">
        <f aca="false">IF(B204&gt;$C$30,"",IF(INT(B204*$C$27/$C$30)&gt;INT((B204-1)*$C$27/$C$30),"Misma loc.","Otra loc."))</f>
        <v/>
      </c>
      <c r="D204" s="26" t="str">
        <f aca="false">IF(C204="","",IF(C204="Misma loc.",1,$C$29))</f>
        <v/>
      </c>
      <c r="E204" s="26" t="str">
        <f aca="false">IF(C204="","",COUNTIF($E$115:$E$150,"&lt;"&amp;(B204-0.000001))+1)</f>
        <v/>
      </c>
      <c r="F204" s="26" t="str">
        <f aca="false">IF(C204="","",COUNTIF($E$157:E204,E204))</f>
        <v/>
      </c>
      <c r="G204" s="11" t="str">
        <f aca="false">IF(C204="","",INDEX($C$51:$F$51,D204))</f>
        <v/>
      </c>
      <c r="H204" s="11" t="str">
        <f aca="false">IF(C204="","",IF(F204&gt;=$C$19,INDEX($C$63:$F$63,D204),INDEX($C$62:$F$62,D204)))</f>
        <v/>
      </c>
      <c r="I204" s="11" t="str">
        <f aca="false">IF(C204="","",INDEX($C$64:$F$64,D204))</f>
        <v/>
      </c>
      <c r="J204" s="11" t="str">
        <f aca="false">IF(C204="","",IF(F204&gt;=$C$19,INDEX($C$65:$F$65,D204),INDEX($C$64:$F$64,D204)))</f>
        <v/>
      </c>
      <c r="K204" s="11" t="str">
        <f aca="false">IF(C204="","",IF(F204&gt;=$C$19,INDEX($C$67:$F$67,D204),INDEX($C$66:$F$66,D204)))</f>
        <v/>
      </c>
    </row>
    <row r="205" customFormat="false" ht="15" hidden="false" customHeight="false" outlineLevel="0" collapsed="false">
      <c r="B205" s="26" t="n">
        <v>49</v>
      </c>
      <c r="C205" s="10" t="str">
        <f aca="false">IF(B205&gt;$C$30,"",IF(INT(B205*$C$27/$C$30)&gt;INT((B205-1)*$C$27/$C$30),"Misma loc.","Otra loc."))</f>
        <v/>
      </c>
      <c r="D205" s="26" t="str">
        <f aca="false">IF(C205="","",IF(C205="Misma loc.",1,$C$29))</f>
        <v/>
      </c>
      <c r="E205" s="26" t="str">
        <f aca="false">IF(C205="","",COUNTIF($E$115:$E$150,"&lt;"&amp;(B205-0.000001))+1)</f>
        <v/>
      </c>
      <c r="F205" s="26" t="str">
        <f aca="false">IF(C205="","",COUNTIF($E$157:E205,E205))</f>
        <v/>
      </c>
      <c r="G205" s="11" t="str">
        <f aca="false">IF(C205="","",INDEX($C$51:$F$51,D205))</f>
        <v/>
      </c>
      <c r="H205" s="11" t="str">
        <f aca="false">IF(C205="","",IF(F205&gt;=$C$19,INDEX($C$63:$F$63,D205),INDEX($C$62:$F$62,D205)))</f>
        <v/>
      </c>
      <c r="I205" s="11" t="str">
        <f aca="false">IF(C205="","",INDEX($C$64:$F$64,D205))</f>
        <v/>
      </c>
      <c r="J205" s="11" t="str">
        <f aca="false">IF(C205="","",IF(F205&gt;=$C$19,INDEX($C$65:$F$65,D205),INDEX($C$64:$F$64,D205)))</f>
        <v/>
      </c>
      <c r="K205" s="11" t="str">
        <f aca="false">IF(C205="","",IF(F205&gt;=$C$19,INDEX($C$67:$F$67,D205),INDEX($C$66:$F$66,D205)))</f>
        <v/>
      </c>
    </row>
    <row r="206" customFormat="false" ht="15" hidden="false" customHeight="false" outlineLevel="0" collapsed="false">
      <c r="B206" s="26" t="n">
        <v>50</v>
      </c>
      <c r="C206" s="10" t="str">
        <f aca="false">IF(B206&gt;$C$30,"",IF(INT(B206*$C$27/$C$30)&gt;INT((B206-1)*$C$27/$C$30),"Misma loc.","Otra loc."))</f>
        <v/>
      </c>
      <c r="D206" s="26" t="str">
        <f aca="false">IF(C206="","",IF(C206="Misma loc.",1,$C$29))</f>
        <v/>
      </c>
      <c r="E206" s="26" t="str">
        <f aca="false">IF(C206="","",COUNTIF($E$115:$E$150,"&lt;"&amp;(B206-0.000001))+1)</f>
        <v/>
      </c>
      <c r="F206" s="26" t="str">
        <f aca="false">IF(C206="","",COUNTIF($E$157:E206,E206))</f>
        <v/>
      </c>
      <c r="G206" s="11" t="str">
        <f aca="false">IF(C206="","",INDEX($C$51:$F$51,D206))</f>
        <v/>
      </c>
      <c r="H206" s="11" t="str">
        <f aca="false">IF(C206="","",IF(F206&gt;=$C$19,INDEX($C$63:$F$63,D206),INDEX($C$62:$F$62,D206)))</f>
        <v/>
      </c>
      <c r="I206" s="11" t="str">
        <f aca="false">IF(C206="","",INDEX($C$64:$F$64,D206))</f>
        <v/>
      </c>
      <c r="J206" s="11" t="str">
        <f aca="false">IF(C206="","",IF(F206&gt;=$C$19,INDEX($C$65:$F$65,D206),INDEX($C$64:$F$64,D206)))</f>
        <v/>
      </c>
      <c r="K206" s="11" t="str">
        <f aca="false">IF(C206="","",IF(F206&gt;=$C$19,INDEX($C$67:$F$67,D206),INDEX($C$66:$F$66,D206)))</f>
        <v/>
      </c>
    </row>
    <row r="207" customFormat="false" ht="15" hidden="false" customHeight="false" outlineLevel="0" collapsed="false">
      <c r="B207" s="26" t="n">
        <v>51</v>
      </c>
      <c r="C207" s="10" t="str">
        <f aca="false">IF(B207&gt;$C$30,"",IF(INT(B207*$C$27/$C$30)&gt;INT((B207-1)*$C$27/$C$30),"Misma loc.","Otra loc."))</f>
        <v/>
      </c>
      <c r="D207" s="26" t="str">
        <f aca="false">IF(C207="","",IF(C207="Misma loc.",1,$C$29))</f>
        <v/>
      </c>
      <c r="E207" s="26" t="str">
        <f aca="false">IF(C207="","",COUNTIF($E$115:$E$150,"&lt;"&amp;(B207-0.000001))+1)</f>
        <v/>
      </c>
      <c r="F207" s="26" t="str">
        <f aca="false">IF(C207="","",COUNTIF($E$157:E207,E207))</f>
        <v/>
      </c>
      <c r="G207" s="11" t="str">
        <f aca="false">IF(C207="","",INDEX($C$51:$F$51,D207))</f>
        <v/>
      </c>
      <c r="H207" s="11" t="str">
        <f aca="false">IF(C207="","",IF(F207&gt;=$C$19,INDEX($C$63:$F$63,D207),INDEX($C$62:$F$62,D207)))</f>
        <v/>
      </c>
      <c r="I207" s="11" t="str">
        <f aca="false">IF(C207="","",INDEX($C$64:$F$64,D207))</f>
        <v/>
      </c>
      <c r="J207" s="11" t="str">
        <f aca="false">IF(C207="","",IF(F207&gt;=$C$19,INDEX($C$65:$F$65,D207),INDEX($C$64:$F$64,D207)))</f>
        <v/>
      </c>
      <c r="K207" s="11" t="str">
        <f aca="false">IF(C207="","",IF(F207&gt;=$C$19,INDEX($C$67:$F$67,D207),INDEX($C$66:$F$66,D207)))</f>
        <v/>
      </c>
    </row>
    <row r="208" customFormat="false" ht="15" hidden="false" customHeight="false" outlineLevel="0" collapsed="false">
      <c r="B208" s="26" t="n">
        <v>52</v>
      </c>
      <c r="C208" s="10" t="str">
        <f aca="false">IF(B208&gt;$C$30,"",IF(INT(B208*$C$27/$C$30)&gt;INT((B208-1)*$C$27/$C$30),"Misma loc.","Otra loc."))</f>
        <v/>
      </c>
      <c r="D208" s="26" t="str">
        <f aca="false">IF(C208="","",IF(C208="Misma loc.",1,$C$29))</f>
        <v/>
      </c>
      <c r="E208" s="26" t="str">
        <f aca="false">IF(C208="","",COUNTIF($E$115:$E$150,"&lt;"&amp;(B208-0.000001))+1)</f>
        <v/>
      </c>
      <c r="F208" s="26" t="str">
        <f aca="false">IF(C208="","",COUNTIF($E$157:E208,E208))</f>
        <v/>
      </c>
      <c r="G208" s="11" t="str">
        <f aca="false">IF(C208="","",INDEX($C$51:$F$51,D208))</f>
        <v/>
      </c>
      <c r="H208" s="11" t="str">
        <f aca="false">IF(C208="","",IF(F208&gt;=$C$19,INDEX($C$63:$F$63,D208),INDEX($C$62:$F$62,D208)))</f>
        <v/>
      </c>
      <c r="I208" s="11" t="str">
        <f aca="false">IF(C208="","",INDEX($C$64:$F$64,D208))</f>
        <v/>
      </c>
      <c r="J208" s="11" t="str">
        <f aca="false">IF(C208="","",IF(F208&gt;=$C$19,INDEX($C$65:$F$65,D208),INDEX($C$64:$F$64,D208)))</f>
        <v/>
      </c>
      <c r="K208" s="11" t="str">
        <f aca="false">IF(C208="","",IF(F208&gt;=$C$19,INDEX($C$67:$F$67,D208),INDEX($C$66:$F$66,D208)))</f>
        <v/>
      </c>
    </row>
    <row r="209" customFormat="false" ht="15" hidden="false" customHeight="false" outlineLevel="0" collapsed="false">
      <c r="B209" s="26" t="n">
        <v>53</v>
      </c>
      <c r="C209" s="10" t="str">
        <f aca="false">IF(B209&gt;$C$30,"",IF(INT(B209*$C$27/$C$30)&gt;INT((B209-1)*$C$27/$C$30),"Misma loc.","Otra loc."))</f>
        <v/>
      </c>
      <c r="D209" s="26" t="str">
        <f aca="false">IF(C209="","",IF(C209="Misma loc.",1,$C$29))</f>
        <v/>
      </c>
      <c r="E209" s="26" t="str">
        <f aca="false">IF(C209="","",COUNTIF($E$115:$E$150,"&lt;"&amp;(B209-0.000001))+1)</f>
        <v/>
      </c>
      <c r="F209" s="26" t="str">
        <f aca="false">IF(C209="","",COUNTIF($E$157:E209,E209))</f>
        <v/>
      </c>
      <c r="G209" s="11" t="str">
        <f aca="false">IF(C209="","",INDEX($C$51:$F$51,D209))</f>
        <v/>
      </c>
      <c r="H209" s="11" t="str">
        <f aca="false">IF(C209="","",IF(F209&gt;=$C$19,INDEX($C$63:$F$63,D209),INDEX($C$62:$F$62,D209)))</f>
        <v/>
      </c>
      <c r="I209" s="11" t="str">
        <f aca="false">IF(C209="","",INDEX($C$64:$F$64,D209))</f>
        <v/>
      </c>
      <c r="J209" s="11" t="str">
        <f aca="false">IF(C209="","",IF(F209&gt;=$C$19,INDEX($C$65:$F$65,D209),INDEX($C$64:$F$64,D209)))</f>
        <v/>
      </c>
      <c r="K209" s="11" t="str">
        <f aca="false">IF(C209="","",IF(F209&gt;=$C$19,INDEX($C$67:$F$67,D209),INDEX($C$66:$F$66,D209)))</f>
        <v/>
      </c>
    </row>
    <row r="210" customFormat="false" ht="15" hidden="false" customHeight="false" outlineLevel="0" collapsed="false">
      <c r="B210" s="26" t="n">
        <v>54</v>
      </c>
      <c r="C210" s="10" t="str">
        <f aca="false">IF(B210&gt;$C$30,"",IF(INT(B210*$C$27/$C$30)&gt;INT((B210-1)*$C$27/$C$30),"Misma loc.","Otra loc."))</f>
        <v/>
      </c>
      <c r="D210" s="26" t="str">
        <f aca="false">IF(C210="","",IF(C210="Misma loc.",1,$C$29))</f>
        <v/>
      </c>
      <c r="E210" s="26" t="str">
        <f aca="false">IF(C210="","",COUNTIF($E$115:$E$150,"&lt;"&amp;(B210-0.000001))+1)</f>
        <v/>
      </c>
      <c r="F210" s="26" t="str">
        <f aca="false">IF(C210="","",COUNTIF($E$157:E210,E210))</f>
        <v/>
      </c>
      <c r="G210" s="11" t="str">
        <f aca="false">IF(C210="","",INDEX($C$51:$F$51,D210))</f>
        <v/>
      </c>
      <c r="H210" s="11" t="str">
        <f aca="false">IF(C210="","",IF(F210&gt;=$C$19,INDEX($C$63:$F$63,D210),INDEX($C$62:$F$62,D210)))</f>
        <v/>
      </c>
      <c r="I210" s="11" t="str">
        <f aca="false">IF(C210="","",INDEX($C$64:$F$64,D210))</f>
        <v/>
      </c>
      <c r="J210" s="11" t="str">
        <f aca="false">IF(C210="","",IF(F210&gt;=$C$19,INDEX($C$65:$F$65,D210),INDEX($C$64:$F$64,D210)))</f>
        <v/>
      </c>
      <c r="K210" s="11" t="str">
        <f aca="false">IF(C210="","",IF(F210&gt;=$C$19,INDEX($C$67:$F$67,D210),INDEX($C$66:$F$66,D210)))</f>
        <v/>
      </c>
    </row>
    <row r="211" customFormat="false" ht="15" hidden="false" customHeight="false" outlineLevel="0" collapsed="false">
      <c r="B211" s="26" t="n">
        <v>55</v>
      </c>
      <c r="C211" s="10" t="str">
        <f aca="false">IF(B211&gt;$C$30,"",IF(INT(B211*$C$27/$C$30)&gt;INT((B211-1)*$C$27/$C$30),"Misma loc.","Otra loc."))</f>
        <v/>
      </c>
      <c r="D211" s="26" t="str">
        <f aca="false">IF(C211="","",IF(C211="Misma loc.",1,$C$29))</f>
        <v/>
      </c>
      <c r="E211" s="26" t="str">
        <f aca="false">IF(C211="","",COUNTIF($E$115:$E$150,"&lt;"&amp;(B211-0.000001))+1)</f>
        <v/>
      </c>
      <c r="F211" s="26" t="str">
        <f aca="false">IF(C211="","",COUNTIF($E$157:E211,E211))</f>
        <v/>
      </c>
      <c r="G211" s="11" t="str">
        <f aca="false">IF(C211="","",INDEX($C$51:$F$51,D211))</f>
        <v/>
      </c>
      <c r="H211" s="11" t="str">
        <f aca="false">IF(C211="","",IF(F211&gt;=$C$19,INDEX($C$63:$F$63,D211),INDEX($C$62:$F$62,D211)))</f>
        <v/>
      </c>
      <c r="I211" s="11" t="str">
        <f aca="false">IF(C211="","",INDEX($C$64:$F$64,D211))</f>
        <v/>
      </c>
      <c r="J211" s="11" t="str">
        <f aca="false">IF(C211="","",IF(F211&gt;=$C$19,INDEX($C$65:$F$65,D211),INDEX($C$64:$F$64,D211)))</f>
        <v/>
      </c>
      <c r="K211" s="11" t="str">
        <f aca="false">IF(C211="","",IF(F211&gt;=$C$19,INDEX($C$67:$F$67,D211),INDEX($C$66:$F$66,D211)))</f>
        <v/>
      </c>
    </row>
    <row r="212" customFormat="false" ht="15" hidden="false" customHeight="false" outlineLevel="0" collapsed="false">
      <c r="B212" s="26" t="n">
        <v>56</v>
      </c>
      <c r="C212" s="10" t="str">
        <f aca="false">IF(B212&gt;$C$30,"",IF(INT(B212*$C$27/$C$30)&gt;INT((B212-1)*$C$27/$C$30),"Misma loc.","Otra loc."))</f>
        <v/>
      </c>
      <c r="D212" s="26" t="str">
        <f aca="false">IF(C212="","",IF(C212="Misma loc.",1,$C$29))</f>
        <v/>
      </c>
      <c r="E212" s="26" t="str">
        <f aca="false">IF(C212="","",COUNTIF($E$115:$E$150,"&lt;"&amp;(B212-0.000001))+1)</f>
        <v/>
      </c>
      <c r="F212" s="26" t="str">
        <f aca="false">IF(C212="","",COUNTIF($E$157:E212,E212))</f>
        <v/>
      </c>
      <c r="G212" s="11" t="str">
        <f aca="false">IF(C212="","",INDEX($C$51:$F$51,D212))</f>
        <v/>
      </c>
      <c r="H212" s="11" t="str">
        <f aca="false">IF(C212="","",IF(F212&gt;=$C$19,INDEX($C$63:$F$63,D212),INDEX($C$62:$F$62,D212)))</f>
        <v/>
      </c>
      <c r="I212" s="11" t="str">
        <f aca="false">IF(C212="","",INDEX($C$64:$F$64,D212))</f>
        <v/>
      </c>
      <c r="J212" s="11" t="str">
        <f aca="false">IF(C212="","",IF(F212&gt;=$C$19,INDEX($C$65:$F$65,D212),INDEX($C$64:$F$64,D212)))</f>
        <v/>
      </c>
      <c r="K212" s="11" t="str">
        <f aca="false">IF(C212="","",IF(F212&gt;=$C$19,INDEX($C$67:$F$67,D212),INDEX($C$66:$F$66,D212)))</f>
        <v/>
      </c>
    </row>
    <row r="213" customFormat="false" ht="15" hidden="false" customHeight="false" outlineLevel="0" collapsed="false">
      <c r="B213" s="26" t="n">
        <v>57</v>
      </c>
      <c r="C213" s="10" t="str">
        <f aca="false">IF(B213&gt;$C$30,"",IF(INT(B213*$C$27/$C$30)&gt;INT((B213-1)*$C$27/$C$30),"Misma loc.","Otra loc."))</f>
        <v/>
      </c>
      <c r="D213" s="26" t="str">
        <f aca="false">IF(C213="","",IF(C213="Misma loc.",1,$C$29))</f>
        <v/>
      </c>
      <c r="E213" s="26" t="str">
        <f aca="false">IF(C213="","",COUNTIF($E$115:$E$150,"&lt;"&amp;(B213-0.000001))+1)</f>
        <v/>
      </c>
      <c r="F213" s="26" t="str">
        <f aca="false">IF(C213="","",COUNTIF($E$157:E213,E213))</f>
        <v/>
      </c>
      <c r="G213" s="11" t="str">
        <f aca="false">IF(C213="","",INDEX($C$51:$F$51,D213))</f>
        <v/>
      </c>
      <c r="H213" s="11" t="str">
        <f aca="false">IF(C213="","",IF(F213&gt;=$C$19,INDEX($C$63:$F$63,D213),INDEX($C$62:$F$62,D213)))</f>
        <v/>
      </c>
      <c r="I213" s="11" t="str">
        <f aca="false">IF(C213="","",INDEX($C$64:$F$64,D213))</f>
        <v/>
      </c>
      <c r="J213" s="11" t="str">
        <f aca="false">IF(C213="","",IF(F213&gt;=$C$19,INDEX($C$65:$F$65,D213),INDEX($C$64:$F$64,D213)))</f>
        <v/>
      </c>
      <c r="K213" s="11" t="str">
        <f aca="false">IF(C213="","",IF(F213&gt;=$C$19,INDEX($C$67:$F$67,D213),INDEX($C$66:$F$66,D213)))</f>
        <v/>
      </c>
    </row>
    <row r="214" customFormat="false" ht="15" hidden="false" customHeight="false" outlineLevel="0" collapsed="false">
      <c r="B214" s="26" t="n">
        <v>58</v>
      </c>
      <c r="C214" s="10" t="str">
        <f aca="false">IF(B214&gt;$C$30,"",IF(INT(B214*$C$27/$C$30)&gt;INT((B214-1)*$C$27/$C$30),"Misma loc.","Otra loc."))</f>
        <v/>
      </c>
      <c r="D214" s="26" t="str">
        <f aca="false">IF(C214="","",IF(C214="Misma loc.",1,$C$29))</f>
        <v/>
      </c>
      <c r="E214" s="26" t="str">
        <f aca="false">IF(C214="","",COUNTIF($E$115:$E$150,"&lt;"&amp;(B214-0.000001))+1)</f>
        <v/>
      </c>
      <c r="F214" s="26" t="str">
        <f aca="false">IF(C214="","",COUNTIF($E$157:E214,E214))</f>
        <v/>
      </c>
      <c r="G214" s="11" t="str">
        <f aca="false">IF(C214="","",INDEX($C$51:$F$51,D214))</f>
        <v/>
      </c>
      <c r="H214" s="11" t="str">
        <f aca="false">IF(C214="","",IF(F214&gt;=$C$19,INDEX($C$63:$F$63,D214),INDEX($C$62:$F$62,D214)))</f>
        <v/>
      </c>
      <c r="I214" s="11" t="str">
        <f aca="false">IF(C214="","",INDEX($C$64:$F$64,D214))</f>
        <v/>
      </c>
      <c r="J214" s="11" t="str">
        <f aca="false">IF(C214="","",IF(F214&gt;=$C$19,INDEX($C$65:$F$65,D214),INDEX($C$64:$F$64,D214)))</f>
        <v/>
      </c>
      <c r="K214" s="11" t="str">
        <f aca="false">IF(C214="","",IF(F214&gt;=$C$19,INDEX($C$67:$F$67,D214),INDEX($C$66:$F$66,D214)))</f>
        <v/>
      </c>
    </row>
    <row r="215" customFormat="false" ht="15" hidden="false" customHeight="false" outlineLevel="0" collapsed="false">
      <c r="B215" s="26" t="n">
        <v>59</v>
      </c>
      <c r="C215" s="10" t="str">
        <f aca="false">IF(B215&gt;$C$30,"",IF(INT(B215*$C$27/$C$30)&gt;INT((B215-1)*$C$27/$C$30),"Misma loc.","Otra loc."))</f>
        <v/>
      </c>
      <c r="D215" s="26" t="str">
        <f aca="false">IF(C215="","",IF(C215="Misma loc.",1,$C$29))</f>
        <v/>
      </c>
      <c r="E215" s="26" t="str">
        <f aca="false">IF(C215="","",COUNTIF($E$115:$E$150,"&lt;"&amp;(B215-0.000001))+1)</f>
        <v/>
      </c>
      <c r="F215" s="26" t="str">
        <f aca="false">IF(C215="","",COUNTIF($E$157:E215,E215))</f>
        <v/>
      </c>
      <c r="G215" s="11" t="str">
        <f aca="false">IF(C215="","",INDEX($C$51:$F$51,D215))</f>
        <v/>
      </c>
      <c r="H215" s="11" t="str">
        <f aca="false">IF(C215="","",IF(F215&gt;=$C$19,INDEX($C$63:$F$63,D215),INDEX($C$62:$F$62,D215)))</f>
        <v/>
      </c>
      <c r="I215" s="11" t="str">
        <f aca="false">IF(C215="","",INDEX($C$64:$F$64,D215))</f>
        <v/>
      </c>
      <c r="J215" s="11" t="str">
        <f aca="false">IF(C215="","",IF(F215&gt;=$C$19,INDEX($C$65:$F$65,D215),INDEX($C$64:$F$64,D215)))</f>
        <v/>
      </c>
      <c r="K215" s="11" t="str">
        <f aca="false">IF(C215="","",IF(F215&gt;=$C$19,INDEX($C$67:$F$67,D215),INDEX($C$66:$F$66,D215)))</f>
        <v/>
      </c>
    </row>
    <row r="216" customFormat="false" ht="15" hidden="false" customHeight="false" outlineLevel="0" collapsed="false">
      <c r="B216" s="26" t="n">
        <v>60</v>
      </c>
      <c r="C216" s="10" t="str">
        <f aca="false">IF(B216&gt;$C$30,"",IF(INT(B216*$C$27/$C$30)&gt;INT((B216-1)*$C$27/$C$30),"Misma loc.","Otra loc."))</f>
        <v/>
      </c>
      <c r="D216" s="26" t="str">
        <f aca="false">IF(C216="","",IF(C216="Misma loc.",1,$C$29))</f>
        <v/>
      </c>
      <c r="E216" s="26" t="str">
        <f aca="false">IF(C216="","",COUNTIF($E$115:$E$150,"&lt;"&amp;(B216-0.000001))+1)</f>
        <v/>
      </c>
      <c r="F216" s="26" t="str">
        <f aca="false">IF(C216="","",COUNTIF($E$157:E216,E216))</f>
        <v/>
      </c>
      <c r="G216" s="11" t="str">
        <f aca="false">IF(C216="","",INDEX($C$51:$F$51,D216))</f>
        <v/>
      </c>
      <c r="H216" s="11" t="str">
        <f aca="false">IF(C216="","",IF(F216&gt;=$C$19,INDEX($C$63:$F$63,D216),INDEX($C$62:$F$62,D216)))</f>
        <v/>
      </c>
      <c r="I216" s="11" t="str">
        <f aca="false">IF(C216="","",INDEX($C$64:$F$64,D216))</f>
        <v/>
      </c>
      <c r="J216" s="11" t="str">
        <f aca="false">IF(C216="","",IF(F216&gt;=$C$19,INDEX($C$65:$F$65,D216),INDEX($C$64:$F$64,D216)))</f>
        <v/>
      </c>
      <c r="K216" s="11" t="str">
        <f aca="false">IF(C216="","",IF(F216&gt;=$C$19,INDEX($C$67:$F$67,D216),INDEX($C$66:$F$66,D216)))</f>
        <v/>
      </c>
    </row>
    <row r="217" customFormat="false" ht="15" hidden="false" customHeight="false" outlineLevel="0" collapsed="false">
      <c r="B217" s="39" t="s">
        <v>349</v>
      </c>
      <c r="G217" s="30" t="n">
        <f aca="false">SUM(G157:G216)</f>
        <v>3130187.2972973</v>
      </c>
      <c r="H217" s="30" t="n">
        <f aca="false">SUM(H157:H216)</f>
        <v>2549170.62027027</v>
      </c>
      <c r="I217" s="30" t="n">
        <f aca="false">SUM(I157:I216)</f>
        <v>3154118.93918919</v>
      </c>
      <c r="J217" s="30" t="n">
        <f aca="false">SUM(J157:J216)</f>
        <v>3154118.93918919</v>
      </c>
      <c r="K217" s="30" t="n">
        <f aca="false">SUM(K157:K216)</f>
        <v>2477471.1</v>
      </c>
    </row>
  </sheetData>
  <mergeCells count="71">
    <mergeCell ref="B5:I5"/>
    <mergeCell ref="K5:N5"/>
    <mergeCell ref="F6:I6"/>
    <mergeCell ref="K6:M6"/>
    <mergeCell ref="F7:I7"/>
    <mergeCell ref="K7:M7"/>
    <mergeCell ref="F8:I8"/>
    <mergeCell ref="K8:M8"/>
    <mergeCell ref="F9:I9"/>
    <mergeCell ref="K9:M9"/>
    <mergeCell ref="F10:I10"/>
    <mergeCell ref="K10:M10"/>
    <mergeCell ref="F11:I11"/>
    <mergeCell ref="K11:M11"/>
    <mergeCell ref="F12:I12"/>
    <mergeCell ref="K12:M12"/>
    <mergeCell ref="F13:I13"/>
    <mergeCell ref="F14:I14"/>
    <mergeCell ref="F15:I15"/>
    <mergeCell ref="F16:I16"/>
    <mergeCell ref="F17:I17"/>
    <mergeCell ref="F18:I18"/>
    <mergeCell ref="F19:I19"/>
    <mergeCell ref="F20:I20"/>
    <mergeCell ref="F21:I21"/>
    <mergeCell ref="F22:I22"/>
    <mergeCell ref="F23:I23"/>
    <mergeCell ref="B25:I25"/>
    <mergeCell ref="F26:I26"/>
    <mergeCell ref="F27:I27"/>
    <mergeCell ref="F28:I28"/>
    <mergeCell ref="F29:I29"/>
    <mergeCell ref="F30:I30"/>
    <mergeCell ref="F31:I31"/>
    <mergeCell ref="F32:I32"/>
    <mergeCell ref="B35:M35"/>
    <mergeCell ref="B37:I37"/>
    <mergeCell ref="H38:I38"/>
    <mergeCell ref="H39:I39"/>
    <mergeCell ref="H40:I40"/>
    <mergeCell ref="H41:I41"/>
    <mergeCell ref="H42:I42"/>
    <mergeCell ref="H43:I43"/>
    <mergeCell ref="H44:I44"/>
    <mergeCell ref="H45:I45"/>
    <mergeCell ref="H46:I46"/>
    <mergeCell ref="H47:I47"/>
    <mergeCell ref="G50:I50"/>
    <mergeCell ref="G53:I53"/>
    <mergeCell ref="G54:I54"/>
    <mergeCell ref="H68:I68"/>
    <mergeCell ref="G69:I69"/>
    <mergeCell ref="B70:I70"/>
    <mergeCell ref="G71:I71"/>
    <mergeCell ref="G72:I72"/>
    <mergeCell ref="G73:I73"/>
    <mergeCell ref="G74:I74"/>
    <mergeCell ref="G75:I75"/>
    <mergeCell ref="G76:I76"/>
    <mergeCell ref="G77:I77"/>
    <mergeCell ref="G78:I78"/>
    <mergeCell ref="B79:I79"/>
    <mergeCell ref="B81:I81"/>
    <mergeCell ref="I83:K84"/>
    <mergeCell ref="B89:I89"/>
    <mergeCell ref="B91:P91"/>
    <mergeCell ref="B109:O109"/>
    <mergeCell ref="B111:K111"/>
    <mergeCell ref="B112:K112"/>
    <mergeCell ref="B153:K153"/>
    <mergeCell ref="B154:K154"/>
  </mergeCells>
  <conditionalFormatting sqref="D84:E88">
    <cfRule type="cellIs" priority="2" operator="lessThan" aboveAverage="0" equalAverage="0" bottom="0" percent="0" rank="0" text="" dxfId="0">
      <formula>0</formula>
    </cfRule>
  </conditionalFormatting>
  <conditionalFormatting sqref="C93:N108">
    <cfRule type="cellIs" priority="3" operator="lessThan" aboveAverage="0" equalAverage="0" bottom="0" percent="0" rank="0" text="" dxfId="1">
      <formula>0</formula>
    </cfRule>
    <cfRule type="cellIs" priority="4" operator="greaterThanOrEqual" aboveAverage="0" equalAverage="0" bottom="0" percent="0" rank="0" text="" dxfId="2">
      <formula>0</formula>
    </cfRule>
  </conditionalFormatting>
  <dataValidations count="13">
    <dataValidation allowBlank="false" errorStyle="stop" operator="between" showDropDown="false" showErrorMessage="false" showInputMessage="false" sqref="N7" type="list">
      <formula1>"Sí,No"</formula1>
      <formula2>0</formula2>
    </dataValidation>
    <dataValidation allowBlank="false" error="Número de meses: 0 o más" errorStyle="stop" operator="greaterThanOrEqual" showDropDown="false" showErrorMessage="true" showInputMessage="false" sqref="N9" type="whole">
      <formula1>0</formula1>
      <formula2>0</formula2>
    </dataValidation>
    <dataValidation allowBlank="false" error="La tarifa del WO es el tope: solo 0 % o negativo" errorStyle="stop" operator="between" showDropDown="false" showErrorMessage="true" showInputMessage="false" sqref="N10" type="decimal">
      <formula1>-1</formula1>
      <formula2>0</formula2>
    </dataValidation>
    <dataValidation allowBlank="false" error="Horas: 0 o más" errorStyle="stop" operator="greaterThanOrEqual" showDropDown="false" showErrorMessage="true" showInputMessage="false" sqref="N12" type="decimal">
      <formula1>0</formula1>
      <formula2>0</formula2>
    </dataValidation>
    <dataValidation allowBlank="false" errorStyle="stop" operator="between" showDropDown="false" showErrorMessage="false" showInputMessage="false" sqref="C10" type="list">
      <formula1>"Petro Star tarifa normal,Petro Star Lump Sum (sin descuento),Ecotransur"</formula1>
      <formula2>0</formula2>
    </dataValidation>
    <dataValidation allowBlank="false" errorStyle="stop" operator="between" showDropDown="false" showErrorMessage="false" showInputMessage="false" sqref="C16" type="list">
      <formula1>"Por movilización (Excel),Mensual fijo"</formula1>
      <formula2>0</formula2>
    </dataValidation>
    <dataValidation allowBlank="false" errorStyle="stop" operator="between" showDropDown="false" showErrorMessage="false" showInputMessage="false" sqref="C22" type="list">
      <formula1>"Sí,No"</formula1>
      <formula2>0</formula2>
    </dataValidation>
    <dataValidation allowBlank="false" errorStyle="stop" operator="between" showDropDown="false" showErrorMessage="false" showInputMessage="false" sqref="C31" type="list">
      <formula1>"Perfil 2024,Perfil 2025,Constante"</formula1>
      <formula2>0</formula2>
    </dataValidation>
    <dataValidation allowBlank="false" errorStyle="stop" operator="between" showDropDown="false" showErrorMessage="false" showInputMessage="false" sqref="C29" type="whole">
      <formula1>2</formula1>
      <formula2>4</formula2>
    </dataValidation>
    <dataValidation allowBlank="false" error="Máximo 60 pozos en total" errorStyle="stop" operator="between" showDropDown="false" showErrorMessage="true" showInputMessage="false" sqref="C27:C28" type="custom">
      <formula1>AND(C27&gt;=0,C28&gt;=0,C27+C28&lt;=60)</formula1>
      <formula2>0</formula2>
    </dataValidation>
    <dataValidation allowBlank="false" error="Entre 0 % y 90 %" errorStyle="stop" operator="between" showDropDown="false" showErrorMessage="true" showInputMessage="false" sqref="C23" type="decimal">
      <formula1>0</formula1>
      <formula2>0.9</formula2>
    </dataValidation>
    <dataValidation allowBlank="false" error="Al menos 1" errorStyle="stop" operator="greaterThanOrEqual" showDropDown="false" showErrorMessage="true" showInputMessage="false" sqref="C32" type="decimal">
      <formula1>1</formula1>
      <formula2>0</formula2>
    </dataValidation>
    <dataValidation allowBlank="false" errorStyle="stop" operator="between" showDropDown="false" showErrorMessage="false" showInputMessage="false" sqref="C19" type="whole">
      <formula1>2</formula1>
      <formula2>12</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4" min="3" style="0" width="22"/>
    <col collapsed="false" customWidth="true" hidden="false" outlineLevel="0" max="5" min="5" style="0" width="30"/>
    <col collapsed="false" customWidth="true" hidden="false" outlineLevel="0" max="6" min="6" style="0" width="60"/>
  </cols>
  <sheetData>
    <row r="1" customFormat="false" ht="17.35" hidden="false" customHeight="false" outlineLevel="0" collapsed="false">
      <c r="B1" s="1" t="s">
        <v>350</v>
      </c>
    </row>
    <row r="2" customFormat="false" ht="15" hidden="false" customHeight="false" outlineLevel="0" collapsed="false">
      <c r="B2" s="2" t="s">
        <v>351</v>
      </c>
    </row>
    <row r="4" customFormat="false" ht="15" hidden="false" customHeight="false" outlineLevel="0" collapsed="false">
      <c r="B4" s="3" t="s">
        <v>352</v>
      </c>
      <c r="C4" s="3"/>
      <c r="D4" s="3"/>
      <c r="E4" s="3"/>
      <c r="F4" s="3"/>
    </row>
    <row r="5" customFormat="false" ht="15" hidden="false" customHeight="false" outlineLevel="0" collapsed="false">
      <c r="B5" s="5" t="s">
        <v>353</v>
      </c>
      <c r="C5" s="5" t="s">
        <v>297</v>
      </c>
      <c r="D5" s="5" t="s">
        <v>354</v>
      </c>
      <c r="E5" s="5" t="s">
        <v>355</v>
      </c>
      <c r="F5" s="5" t="s">
        <v>37</v>
      </c>
    </row>
    <row r="6" customFormat="false" ht="42" hidden="false" customHeight="true" outlineLevel="0" collapsed="false">
      <c r="B6" s="6" t="s">
        <v>356</v>
      </c>
      <c r="C6" s="6" t="s">
        <v>129</v>
      </c>
      <c r="D6" s="6" t="s">
        <v>357</v>
      </c>
      <c r="E6" s="6" t="s">
        <v>358</v>
      </c>
      <c r="F6" s="6" t="s">
        <v>359</v>
      </c>
    </row>
    <row r="7" customFormat="false" ht="42" hidden="false" customHeight="true" outlineLevel="0" collapsed="false">
      <c r="B7" s="6" t="s">
        <v>360</v>
      </c>
      <c r="C7" s="6" t="s">
        <v>129</v>
      </c>
      <c r="D7" s="6" t="s">
        <v>361</v>
      </c>
      <c r="E7" s="6" t="s">
        <v>362</v>
      </c>
      <c r="F7" s="6" t="s">
        <v>363</v>
      </c>
    </row>
    <row r="8" customFormat="false" ht="42" hidden="false" customHeight="true" outlineLevel="0" collapsed="false">
      <c r="B8" s="6" t="s">
        <v>261</v>
      </c>
      <c r="C8" s="6" t="s">
        <v>129</v>
      </c>
      <c r="D8" s="6" t="s">
        <v>364</v>
      </c>
      <c r="E8" s="6" t="s">
        <v>365</v>
      </c>
      <c r="F8" s="6" t="s">
        <v>366</v>
      </c>
    </row>
    <row r="9" customFormat="false" ht="42" hidden="false" customHeight="true" outlineLevel="0" collapsed="false">
      <c r="B9" s="6" t="s">
        <v>367</v>
      </c>
      <c r="C9" s="6" t="s">
        <v>52</v>
      </c>
      <c r="D9" s="6" t="s">
        <v>368</v>
      </c>
      <c r="E9" s="6" t="s">
        <v>369</v>
      </c>
      <c r="F9" s="6" t="s">
        <v>370</v>
      </c>
    </row>
    <row r="10" customFormat="false" ht="42" hidden="false" customHeight="true" outlineLevel="0" collapsed="false">
      <c r="B10" s="6" t="s">
        <v>371</v>
      </c>
      <c r="C10" s="6" t="s">
        <v>52</v>
      </c>
      <c r="D10" s="6" t="s">
        <v>372</v>
      </c>
      <c r="E10" s="6" t="s">
        <v>373</v>
      </c>
      <c r="F10" s="6" t="s">
        <v>374</v>
      </c>
    </row>
    <row r="11" customFormat="false" ht="42" hidden="false" customHeight="true" outlineLevel="0" collapsed="false">
      <c r="B11" s="6" t="s">
        <v>375</v>
      </c>
      <c r="C11" s="6" t="s">
        <v>52</v>
      </c>
      <c r="D11" s="6" t="s">
        <v>376</v>
      </c>
      <c r="E11" s="6" t="s">
        <v>377</v>
      </c>
      <c r="F11" s="6" t="s">
        <v>378</v>
      </c>
    </row>
    <row r="12" customFormat="false" ht="42" hidden="false" customHeight="true" outlineLevel="0" collapsed="false">
      <c r="B12" s="6" t="s">
        <v>265</v>
      </c>
      <c r="C12" s="6" t="s">
        <v>52</v>
      </c>
      <c r="D12" s="6" t="s">
        <v>379</v>
      </c>
      <c r="E12" s="6" t="s">
        <v>380</v>
      </c>
      <c r="F12" s="6" t="s">
        <v>381</v>
      </c>
    </row>
    <row r="13" customFormat="false" ht="42" hidden="false" customHeight="true" outlineLevel="0" collapsed="false">
      <c r="B13" s="6" t="s">
        <v>382</v>
      </c>
      <c r="C13" s="6" t="s">
        <v>52</v>
      </c>
      <c r="D13" s="6" t="s">
        <v>383</v>
      </c>
      <c r="E13" s="6" t="s">
        <v>384</v>
      </c>
      <c r="F13" s="6" t="s">
        <v>385</v>
      </c>
    </row>
    <row r="14" customFormat="false" ht="42" hidden="false" customHeight="true" outlineLevel="0" collapsed="false">
      <c r="B14" s="6" t="s">
        <v>386</v>
      </c>
      <c r="C14" s="6" t="s">
        <v>52</v>
      </c>
      <c r="D14" s="6" t="s">
        <v>387</v>
      </c>
      <c r="E14" s="6" t="s">
        <v>388</v>
      </c>
      <c r="F14" s="6" t="s">
        <v>389</v>
      </c>
    </row>
    <row r="15" customFormat="false" ht="42" hidden="false" customHeight="true" outlineLevel="0" collapsed="false">
      <c r="B15" s="6" t="s">
        <v>390</v>
      </c>
      <c r="C15" s="6" t="s">
        <v>52</v>
      </c>
      <c r="D15" s="6" t="s">
        <v>391</v>
      </c>
      <c r="E15" s="6" t="s">
        <v>392</v>
      </c>
      <c r="F15" s="6" t="s">
        <v>393</v>
      </c>
    </row>
    <row r="16" customFormat="false" ht="42" hidden="false" customHeight="true" outlineLevel="0" collapsed="false">
      <c r="B16" s="6" t="s">
        <v>394</v>
      </c>
      <c r="C16" s="6" t="s">
        <v>395</v>
      </c>
      <c r="D16" s="6" t="s">
        <v>396</v>
      </c>
      <c r="E16" s="6" t="s">
        <v>397</v>
      </c>
      <c r="F16" s="6" t="s">
        <v>398</v>
      </c>
    </row>
    <row r="17" customFormat="false" ht="42" hidden="false" customHeight="true" outlineLevel="0" collapsed="false">
      <c r="B17" s="6" t="s">
        <v>399</v>
      </c>
      <c r="C17" s="6" t="s">
        <v>400</v>
      </c>
      <c r="D17" s="6" t="s">
        <v>153</v>
      </c>
      <c r="E17" s="6" t="s">
        <v>401</v>
      </c>
      <c r="F17" s="6" t="s">
        <v>402</v>
      </c>
    </row>
    <row r="19" customFormat="false" ht="15" hidden="false" customHeight="false" outlineLevel="0" collapsed="false">
      <c r="B19" s="3" t="s">
        <v>403</v>
      </c>
      <c r="C19" s="3"/>
      <c r="D19" s="3"/>
      <c r="E19" s="3"/>
      <c r="F19" s="3"/>
    </row>
    <row r="20" customFormat="false" ht="15" hidden="false" customHeight="false" outlineLevel="0" collapsed="false">
      <c r="B20" s="5" t="s">
        <v>153</v>
      </c>
      <c r="C20" s="5" t="s">
        <v>404</v>
      </c>
      <c r="D20" s="5" t="s">
        <v>405</v>
      </c>
      <c r="E20" s="5" t="s">
        <v>406</v>
      </c>
    </row>
    <row r="21" customFormat="false" ht="30" hidden="false" customHeight="true" outlineLevel="0" collapsed="false">
      <c r="B21" s="6" t="s">
        <v>407</v>
      </c>
      <c r="C21" s="6" t="s">
        <v>400</v>
      </c>
      <c r="D21" s="6" t="s">
        <v>408</v>
      </c>
      <c r="E21" s="6" t="s">
        <v>409</v>
      </c>
    </row>
    <row r="22" customFormat="false" ht="30" hidden="false" customHeight="true" outlineLevel="0" collapsed="false">
      <c r="B22" s="6" t="s">
        <v>410</v>
      </c>
      <c r="C22" s="6" t="s">
        <v>411</v>
      </c>
      <c r="D22" s="6" t="s">
        <v>408</v>
      </c>
      <c r="E22" s="6" t="s">
        <v>412</v>
      </c>
    </row>
    <row r="23" customFormat="false" ht="30" hidden="false" customHeight="true" outlineLevel="0" collapsed="false">
      <c r="B23" s="6" t="s">
        <v>413</v>
      </c>
      <c r="C23" s="6" t="s">
        <v>414</v>
      </c>
      <c r="D23" s="6" t="s">
        <v>408</v>
      </c>
      <c r="E23" s="6" t="s">
        <v>415</v>
      </c>
    </row>
    <row r="24" customFormat="false" ht="30" hidden="false" customHeight="true" outlineLevel="0" collapsed="false">
      <c r="B24" s="6" t="s">
        <v>416</v>
      </c>
      <c r="C24" s="6" t="s">
        <v>400</v>
      </c>
      <c r="D24" s="6" t="s">
        <v>417</v>
      </c>
      <c r="E24" s="6" t="s">
        <v>418</v>
      </c>
    </row>
    <row r="25" customFormat="false" ht="30" hidden="false" customHeight="true" outlineLevel="0" collapsed="false">
      <c r="B25" s="6" t="s">
        <v>419</v>
      </c>
      <c r="C25" s="6" t="s">
        <v>400</v>
      </c>
      <c r="D25" s="6" t="s">
        <v>162</v>
      </c>
      <c r="E25" s="6" t="s">
        <v>420</v>
      </c>
    </row>
    <row r="26" customFormat="false" ht="30" hidden="false" customHeight="true" outlineLevel="0" collapsed="false">
      <c r="B26" s="6" t="s">
        <v>421</v>
      </c>
      <c r="C26" s="6" t="s">
        <v>411</v>
      </c>
      <c r="D26" s="6" t="s">
        <v>408</v>
      </c>
      <c r="E26" s="6" t="s">
        <v>422</v>
      </c>
    </row>
    <row r="27" customFormat="false" ht="30" hidden="false" customHeight="true" outlineLevel="0" collapsed="false">
      <c r="B27" s="6" t="s">
        <v>157</v>
      </c>
      <c r="C27" s="6" t="s">
        <v>411</v>
      </c>
      <c r="D27" s="6" t="s">
        <v>408</v>
      </c>
      <c r="E27" s="6" t="s">
        <v>423</v>
      </c>
    </row>
    <row r="28" customFormat="false" ht="30" hidden="false" customHeight="true" outlineLevel="0" collapsed="false">
      <c r="B28" s="6" t="s">
        <v>424</v>
      </c>
      <c r="C28" s="6" t="s">
        <v>411</v>
      </c>
      <c r="D28" s="6" t="s">
        <v>408</v>
      </c>
      <c r="E28" s="6" t="s">
        <v>425</v>
      </c>
    </row>
    <row r="29" customFormat="false" ht="30" hidden="false" customHeight="true" outlineLevel="0" collapsed="false">
      <c r="B29" s="6" t="s">
        <v>426</v>
      </c>
      <c r="C29" s="6" t="s">
        <v>427</v>
      </c>
      <c r="D29" s="6" t="s">
        <v>408</v>
      </c>
      <c r="E29" s="6" t="s">
        <v>428</v>
      </c>
    </row>
    <row r="30" customFormat="false" ht="30" hidden="false" customHeight="true" outlineLevel="0" collapsed="false">
      <c r="B30" s="6" t="s">
        <v>386</v>
      </c>
      <c r="C30" s="6" t="s">
        <v>411</v>
      </c>
      <c r="D30" s="6" t="s">
        <v>408</v>
      </c>
      <c r="E30" s="6" t="s">
        <v>429</v>
      </c>
    </row>
    <row r="32" customFormat="false" ht="15" hidden="false" customHeight="false" outlineLevel="0" collapsed="false">
      <c r="B32" s="3" t="s">
        <v>430</v>
      </c>
      <c r="C32" s="3"/>
      <c r="D32" s="3"/>
      <c r="E32" s="3"/>
      <c r="F32" s="3"/>
    </row>
    <row r="33" customFormat="false" ht="66" hidden="false" customHeight="true" outlineLevel="0" collapsed="false">
      <c r="B33" s="4" t="s">
        <v>431</v>
      </c>
      <c r="C33" s="4"/>
      <c r="D33" s="4"/>
      <c r="E33" s="4"/>
      <c r="F33" s="4"/>
    </row>
    <row r="34" customFormat="false" ht="66" hidden="false" customHeight="true" outlineLevel="0" collapsed="false">
      <c r="B34" s="4" t="s">
        <v>432</v>
      </c>
      <c r="C34" s="4"/>
      <c r="D34" s="4"/>
      <c r="E34" s="4"/>
      <c r="F34" s="4"/>
    </row>
    <row r="35" customFormat="false" ht="66" hidden="false" customHeight="true" outlineLevel="0" collapsed="false">
      <c r="B35" s="4" t="s">
        <v>433</v>
      </c>
      <c r="C35" s="4"/>
      <c r="D35" s="4"/>
      <c r="E35" s="4"/>
      <c r="F35" s="4"/>
    </row>
    <row r="37" customFormat="false" ht="15" hidden="false" customHeight="false" outlineLevel="0" collapsed="false">
      <c r="B37" s="3" t="s">
        <v>434</v>
      </c>
      <c r="C37" s="3"/>
      <c r="D37" s="3"/>
      <c r="E37" s="3"/>
      <c r="F37" s="3"/>
    </row>
    <row r="38" customFormat="false" ht="15" hidden="false" customHeight="false" outlineLevel="0" collapsed="false">
      <c r="B38" s="5" t="s">
        <v>435</v>
      </c>
      <c r="C38" s="5" t="s">
        <v>436</v>
      </c>
      <c r="D38" s="5" t="s">
        <v>437</v>
      </c>
    </row>
    <row r="39" customFormat="false" ht="54" hidden="false" customHeight="true" outlineLevel="0" collapsed="false">
      <c r="B39" s="6" t="s">
        <v>438</v>
      </c>
      <c r="C39" s="6" t="s">
        <v>439</v>
      </c>
      <c r="D39" s="6" t="s">
        <v>440</v>
      </c>
    </row>
    <row r="40" customFormat="false" ht="54" hidden="false" customHeight="true" outlineLevel="0" collapsed="false">
      <c r="B40" s="6" t="s">
        <v>441</v>
      </c>
      <c r="C40" s="6" t="s">
        <v>442</v>
      </c>
      <c r="D40" s="6" t="s">
        <v>443</v>
      </c>
    </row>
    <row r="41" customFormat="false" ht="54" hidden="false" customHeight="true" outlineLevel="0" collapsed="false">
      <c r="B41" s="6" t="s">
        <v>444</v>
      </c>
      <c r="C41" s="6" t="s">
        <v>445</v>
      </c>
      <c r="D41" s="6" t="s">
        <v>446</v>
      </c>
    </row>
    <row r="42" customFormat="false" ht="54" hidden="false" customHeight="true" outlineLevel="0" collapsed="false">
      <c r="B42" s="6" t="s">
        <v>447</v>
      </c>
      <c r="C42" s="6" t="s">
        <v>448</v>
      </c>
      <c r="D42" s="6" t="s">
        <v>449</v>
      </c>
    </row>
    <row r="43" customFormat="false" ht="54" hidden="false" customHeight="true" outlineLevel="0" collapsed="false">
      <c r="B43" s="6" t="s">
        <v>450</v>
      </c>
      <c r="C43" s="6" t="s">
        <v>451</v>
      </c>
      <c r="D43" s="6" t="s">
        <v>452</v>
      </c>
    </row>
    <row r="44" customFormat="false" ht="54" hidden="false" customHeight="true" outlineLevel="0" collapsed="false">
      <c r="B44" s="6" t="s">
        <v>453</v>
      </c>
      <c r="C44" s="6" t="s">
        <v>454</v>
      </c>
      <c r="D44" s="6" t="s">
        <v>455</v>
      </c>
    </row>
  </sheetData>
  <mergeCells count="7">
    <mergeCell ref="B4:F4"/>
    <mergeCell ref="B19:F19"/>
    <mergeCell ref="B32:F32"/>
    <mergeCell ref="B33:F33"/>
    <mergeCell ref="B34:F34"/>
    <mergeCell ref="B35:F35"/>
    <mergeCell ref="B37:F3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A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9"/>
    <col collapsed="false" customWidth="true" hidden="false" outlineLevel="0" max="5" min="5" style="0" width="15"/>
    <col collapsed="false" customWidth="true" hidden="false" outlineLevel="0" max="6" min="6" style="0" width="8"/>
    <col collapsed="false" customWidth="true" hidden="false" outlineLevel="0" max="7" min="7" style="0" width="7"/>
    <col collapsed="false" customWidth="true" hidden="false" outlineLevel="0" max="8" min="8" style="0" width="9"/>
    <col collapsed="false" customWidth="true" hidden="false" outlineLevel="0" max="10" min="9" style="0" width="10"/>
    <col collapsed="false" customWidth="true" hidden="false" outlineLevel="0" max="11" min="11" style="0" width="11"/>
    <col collapsed="false" customWidth="true" hidden="false" outlineLevel="0" max="20" min="12" style="0" width="14"/>
    <col collapsed="false" customWidth="true" hidden="false" outlineLevel="0" max="21" min="21" style="0" width="30"/>
    <col collapsed="false" customWidth="true" hidden="false" outlineLevel="0" max="23" min="23" style="0" width="28"/>
    <col collapsed="false" customWidth="true" hidden="false" outlineLevel="0" max="27" min="24" style="0" width="16"/>
  </cols>
  <sheetData>
    <row r="1" customFormat="false" ht="17.35" hidden="false" customHeight="false" outlineLevel="0" collapsed="false">
      <c r="B1" s="1" t="s">
        <v>456</v>
      </c>
    </row>
    <row r="2" customFormat="false" ht="15" hidden="false" customHeight="false" outlineLevel="0" collapsed="false">
      <c r="B2" s="2" t="s">
        <v>457</v>
      </c>
    </row>
    <row r="3" customFormat="false" ht="30" hidden="false" customHeight="true" outlineLevel="0" collapsed="false">
      <c r="W3" s="15" t="s">
        <v>297</v>
      </c>
      <c r="X3" s="41" t="s">
        <v>458</v>
      </c>
      <c r="Y3" s="41" t="s">
        <v>459</v>
      </c>
      <c r="Z3" s="41" t="s">
        <v>460</v>
      </c>
      <c r="AA3" s="41" t="s">
        <v>461</v>
      </c>
    </row>
    <row r="4" customFormat="false" ht="15" hidden="false" customHeight="false" outlineLevel="0" collapsed="false">
      <c r="B4" s="42" t="s">
        <v>87</v>
      </c>
      <c r="W4" s="10" t="s">
        <v>129</v>
      </c>
      <c r="X4" s="11" t="n">
        <f aca="false">L79</f>
        <v>6424357.43243243</v>
      </c>
      <c r="Y4" s="11"/>
      <c r="Z4" s="11" t="n">
        <f aca="false">L79</f>
        <v>6424357.43243243</v>
      </c>
      <c r="AA4" s="11"/>
    </row>
    <row r="5" customFormat="false" ht="15" hidden="false" customHeight="false" outlineLevel="0" collapsed="false">
      <c r="W5" s="10" t="s">
        <v>111</v>
      </c>
      <c r="X5" s="11" t="n">
        <f aca="false">M79+$H$95+$J$95</f>
        <v>5378820.56527027</v>
      </c>
      <c r="Y5" s="11" t="n">
        <f aca="false">$X$4-X5</f>
        <v>1045536.86716216</v>
      </c>
      <c r="Z5" s="11" t="n">
        <f aca="false">Q79+$H$95+$J$95</f>
        <v>5288334.15851351</v>
      </c>
      <c r="AA5" s="11" t="n">
        <f aca="false">$Z$4-Z5</f>
        <v>1136023.27391892</v>
      </c>
    </row>
    <row r="6" customFormat="false" ht="15" hidden="false" customHeight="false" outlineLevel="0" collapsed="false">
      <c r="W6" s="10" t="s">
        <v>113</v>
      </c>
      <c r="X6" s="11" t="n">
        <f aca="false">N79+$H$95+$J$95</f>
        <v>7487995.90189189</v>
      </c>
      <c r="Y6" s="11" t="n">
        <f aca="false">$X$4-X6</f>
        <v>-1063638.46945946</v>
      </c>
      <c r="Z6" s="11" t="n">
        <f aca="false">R79+$H$95+$J$95</f>
        <v>7397509.49513514</v>
      </c>
      <c r="AA6" s="11" t="n">
        <f aca="false">$Z$4-Z6</f>
        <v>-973152.062702702</v>
      </c>
    </row>
    <row r="7" customFormat="false" ht="54" hidden="false" customHeight="true" outlineLevel="0" collapsed="false">
      <c r="B7" s="43" t="s">
        <v>462</v>
      </c>
      <c r="C7" s="43" t="s">
        <v>463</v>
      </c>
      <c r="D7" s="43" t="s">
        <v>464</v>
      </c>
      <c r="E7" s="43" t="s">
        <v>465</v>
      </c>
      <c r="F7" s="43" t="s">
        <v>466</v>
      </c>
      <c r="G7" s="43" t="s">
        <v>136</v>
      </c>
      <c r="H7" s="43" t="s">
        <v>467</v>
      </c>
      <c r="I7" s="43" t="s">
        <v>468</v>
      </c>
      <c r="J7" s="43" t="s">
        <v>469</v>
      </c>
      <c r="K7" s="43" t="s">
        <v>470</v>
      </c>
      <c r="L7" s="43" t="s">
        <v>471</v>
      </c>
      <c r="M7" s="43" t="s">
        <v>472</v>
      </c>
      <c r="N7" s="43" t="s">
        <v>473</v>
      </c>
      <c r="O7" s="43" t="s">
        <v>474</v>
      </c>
      <c r="P7" s="43" t="s">
        <v>475</v>
      </c>
      <c r="Q7" s="43" t="s">
        <v>476</v>
      </c>
      <c r="R7" s="43" t="s">
        <v>477</v>
      </c>
      <c r="S7" s="43" t="s">
        <v>478</v>
      </c>
      <c r="T7" s="43" t="s">
        <v>479</v>
      </c>
      <c r="U7" s="43" t="s">
        <v>37</v>
      </c>
      <c r="W7" s="10" t="s">
        <v>480</v>
      </c>
      <c r="X7" s="11" t="n">
        <f aca="false">O79+$H$95+$J$95</f>
        <v>6739376.70472973</v>
      </c>
      <c r="Y7" s="11" t="n">
        <f aca="false">$X$4-X7</f>
        <v>-315019.272297297</v>
      </c>
      <c r="Z7" s="11" t="n">
        <f aca="false">S79+$H$95+$J$95</f>
        <v>6648890.29797297</v>
      </c>
      <c r="AA7" s="11" t="n">
        <f aca="false">$Z$4-Z7</f>
        <v>-224532.86554054</v>
      </c>
    </row>
    <row r="8" customFormat="false" ht="15" hidden="false" customHeight="false" outlineLevel="0" collapsed="false">
      <c r="B8" s="44" t="n">
        <v>45298</v>
      </c>
      <c r="C8" s="21" t="s">
        <v>481</v>
      </c>
      <c r="D8" s="45" t="n">
        <v>22.1</v>
      </c>
      <c r="E8" s="21" t="s">
        <v>482</v>
      </c>
      <c r="F8" s="26" t="n">
        <f aca="false">MATCH(E8,{"Misma locación","0.15 - 5 km","5 - 10 km","10+ km"},0)</f>
        <v>4</v>
      </c>
      <c r="G8" s="26" t="n">
        <f aca="false">MONTH(B8)</f>
        <v>1</v>
      </c>
      <c r="H8" s="26" t="n">
        <f aca="false">COUNTIF($G$8:G8,G8)</f>
        <v>1</v>
      </c>
      <c r="I8" s="45" t="n">
        <v>22</v>
      </c>
      <c r="J8" s="46" t="n">
        <f aca="false">INDEX(Simulador!$C$39:$F$39,F8)</f>
        <v>28</v>
      </c>
      <c r="K8" s="47" t="n">
        <f aca="false">IF(I8="","",I8-J8)</f>
        <v>-6</v>
      </c>
      <c r="L8" s="12" t="n">
        <f aca="false">INDEX(Simulador!$C$51:$F$51,F8)</f>
        <v>110984.810810811</v>
      </c>
      <c r="M8" s="11" t="n">
        <f aca="false">IF(H8&gt;=Simulador!$C$19,INDEX(Simulador!$C$63:$F$63,F8),INDEX(Simulador!$C$62:$F$62,F8))</f>
        <v>107379.621081081</v>
      </c>
      <c r="N8" s="11" t="n">
        <f aca="false">INDEX(Simulador!$C$64:$F$64,F8)</f>
        <v>152876.358918919</v>
      </c>
      <c r="O8" s="11" t="n">
        <f aca="false">IF(H8&gt;=Simulador!$C$19,INDEX(Simulador!$C$65:$F$65,F8),INDEX(Simulador!$C$64:$F$64,F8))</f>
        <v>152876.358918919</v>
      </c>
      <c r="P8" s="11" t="n">
        <f aca="false">IF(H8&gt;=Simulador!$C$19,INDEX(Simulador!$C$67:$F$67,F8),INDEX(Simulador!$C$66:$F$66,F8))</f>
        <v>109162.595135135</v>
      </c>
      <c r="Q8" s="11" t="n">
        <f aca="false">M8+(IF(I8="",J8+INDEX(Simulador!$C$40:$F$40,F8),I8)-J8-INDEX(Simulador!$C$40:$F$40,F8))*Simulador!$C$9-INDEX(Simulador!$C$69:$F$69,F8)+IF(Simulador!$N$7="Sí",MAX(0,IF(I8="",J8+INDEX(Simulador!$C$40:$F$40,F8),I8)-INDEX(Simulador!$C$41:$F$41,F8))*(INDEX(Simulador!$C$68:$F$68,F8)+Simulador!$N$8)/Simulador!$C$7,0)</f>
        <v>98643.6210810811</v>
      </c>
      <c r="R8" s="11" t="n">
        <f aca="false">N8+(IF(I8="",J8+INDEX(Simulador!$C$40:$F$40,F8),I8)-J8-INDEX(Simulador!$C$40:$F$40,F8))*Simulador!$C$9-INDEX(Simulador!$C$69:$F$69,F8)+IF(Simulador!$N$7="Sí",MAX(0,IF(I8="",J8+INDEX(Simulador!$C$40:$F$40,F8),I8)-INDEX(Simulador!$C$41:$F$41,F8))*(INDEX(Simulador!$C$68:$F$68,F8)+Simulador!$N$8)/Simulador!$C$7,0)</f>
        <v>144140.358918919</v>
      </c>
      <c r="S8" s="11" t="n">
        <f aca="false">O8+(IF(I8="",J8+INDEX(Simulador!$C$40:$F$40,F8),I8)-J8-INDEX(Simulador!$C$40:$F$40,F8))*Simulador!$C$9-INDEX(Simulador!$C$69:$F$69,F8)+IF(Simulador!$N$7="Sí",MAX(0,IF(I8="",J8+INDEX(Simulador!$C$40:$F$40,F8),I8)-INDEX(Simulador!$C$41:$F$41,F8))*(INDEX(Simulador!$C$68:$F$68,F8)+Simulador!$N$8)/Simulador!$C$7,0)</f>
        <v>144140.358918919</v>
      </c>
      <c r="T8" s="11" t="n">
        <f aca="false">P8+(IF(I8="",J8+INDEX(Simulador!$C$40:$F$40,F8),I8)-J8-INDEX(Simulador!$C$40:$F$40,F8))*Simulador!$C$9-INDEX(Simulador!$C$69:$F$69,F8)+IF(Simulador!$N$7="Sí",MAX(0,IF(I8="",J8+INDEX(Simulador!$C$40:$F$40,F8),I8)-INDEX(Simulador!$C$41:$F$41,F8))*(INDEX(Simulador!$C$68:$F$68,F8)+Simulador!$N$8)/Simulador!$C$7,0)</f>
        <v>100426.595135135</v>
      </c>
      <c r="U8" s="2" t="s">
        <v>483</v>
      </c>
      <c r="W8" s="10" t="s">
        <v>112</v>
      </c>
      <c r="X8" s="11" t="n">
        <f aca="false">P79+$I$95+$J$95</f>
        <v>5518218.96486487</v>
      </c>
      <c r="Y8" s="11" t="n">
        <f aca="false">$X$4-X8</f>
        <v>906138.467567568</v>
      </c>
      <c r="Z8" s="11" t="n">
        <f aca="false">T79+$I$95+$J$95</f>
        <v>5427732.55810811</v>
      </c>
      <c r="AA8" s="11" t="n">
        <f aca="false">$Z$4-Z8</f>
        <v>996624.874324325</v>
      </c>
    </row>
    <row r="9" customFormat="false" ht="15" hidden="false" customHeight="false" outlineLevel="0" collapsed="false">
      <c r="B9" s="44" t="n">
        <v>45301</v>
      </c>
      <c r="C9" s="21" t="s">
        <v>484</v>
      </c>
      <c r="D9" s="45" t="n">
        <v>4.1</v>
      </c>
      <c r="E9" s="21" t="s">
        <v>485</v>
      </c>
      <c r="F9" s="26" t="n">
        <f aca="false">MATCH(E9,{"Misma locación","0.15 - 5 km","5 - 10 km","10+ km"},0)</f>
        <v>2</v>
      </c>
      <c r="G9" s="26" t="n">
        <f aca="false">MONTH(B9)</f>
        <v>1</v>
      </c>
      <c r="H9" s="26" t="n">
        <f aca="false">COUNTIF($G$8:G9,G9)</f>
        <v>2</v>
      </c>
      <c r="I9" s="45" t="n">
        <v>19.5</v>
      </c>
      <c r="J9" s="46" t="n">
        <f aca="false">INDEX(Simulador!$C$39:$F$39,F9)</f>
        <v>18</v>
      </c>
      <c r="K9" s="47" t="n">
        <f aca="false">IF(I9="","",I9-J9)</f>
        <v>1.5</v>
      </c>
      <c r="L9" s="12" t="n">
        <f aca="false">INDEX(Simulador!$C$51:$F$51,F9)</f>
        <v>99473.8108108108</v>
      </c>
      <c r="M9" s="11" t="n">
        <f aca="false">IF(H9&gt;=Simulador!$C$19,INDEX(Simulador!$C$63:$F$63,F9),INDEX(Simulador!$C$62:$F$62,F9))</f>
        <v>85898.0227027027</v>
      </c>
      <c r="N9" s="11" t="n">
        <f aca="false">INDEX(Simulador!$C$64:$F$64,F9)</f>
        <v>108447.105405405</v>
      </c>
      <c r="O9" s="11" t="n">
        <f aca="false">IF(H9&gt;=Simulador!$C$19,INDEX(Simulador!$C$65:$F$65,F9),INDEX(Simulador!$C$64:$F$64,F9))</f>
        <v>108447.105405405</v>
      </c>
      <c r="P9" s="11" t="n">
        <f aca="false">IF(H9&gt;=Simulador!$C$19,INDEX(Simulador!$C$67:$F$67,F9),INDEX(Simulador!$C$66:$F$66,F9))</f>
        <v>82343.9464864865</v>
      </c>
      <c r="Q9" s="11" t="n">
        <f aca="false">M9+(IF(I9="",J9+INDEX(Simulador!$C$40:$F$40,F9),I9)-J9-INDEX(Simulador!$C$40:$F$40,F9))*Simulador!$C$9-INDEX(Simulador!$C$69:$F$69,F9)+IF(Simulador!$N$7="Sí",MAX(0,IF(I9="",J9+INDEX(Simulador!$C$40:$F$40,F9),I9)-INDEX(Simulador!$C$41:$F$41,F9))*(INDEX(Simulador!$C$68:$F$68,F9)+Simulador!$N$8)/Simulador!$C$7,0)</f>
        <v>88082.0227027027</v>
      </c>
      <c r="R9" s="11" t="n">
        <f aca="false">N9+(IF(I9="",J9+INDEX(Simulador!$C$40:$F$40,F9),I9)-J9-INDEX(Simulador!$C$40:$F$40,F9))*Simulador!$C$9-INDEX(Simulador!$C$69:$F$69,F9)+IF(Simulador!$N$7="Sí",MAX(0,IF(I9="",J9+INDEX(Simulador!$C$40:$F$40,F9),I9)-INDEX(Simulador!$C$41:$F$41,F9))*(INDEX(Simulador!$C$68:$F$68,F9)+Simulador!$N$8)/Simulador!$C$7,0)</f>
        <v>110631.105405405</v>
      </c>
      <c r="S9" s="11" t="n">
        <f aca="false">O9+(IF(I9="",J9+INDEX(Simulador!$C$40:$F$40,F9),I9)-J9-INDEX(Simulador!$C$40:$F$40,F9))*Simulador!$C$9-INDEX(Simulador!$C$69:$F$69,F9)+IF(Simulador!$N$7="Sí",MAX(0,IF(I9="",J9+INDEX(Simulador!$C$40:$F$40,F9),I9)-INDEX(Simulador!$C$41:$F$41,F9))*(INDEX(Simulador!$C$68:$F$68,F9)+Simulador!$N$8)/Simulador!$C$7,0)</f>
        <v>110631.105405405</v>
      </c>
      <c r="T9" s="11" t="n">
        <f aca="false">P9+(IF(I9="",J9+INDEX(Simulador!$C$40:$F$40,F9),I9)-J9-INDEX(Simulador!$C$40:$F$40,F9))*Simulador!$C$9-INDEX(Simulador!$C$69:$F$69,F9)+IF(Simulador!$N$7="Sí",MAX(0,IF(I9="",J9+INDEX(Simulador!$C$40:$F$40,F9),I9)-INDEX(Simulador!$C$41:$F$41,F9))*(INDEX(Simulador!$C$68:$F$68,F9)+Simulador!$N$8)/Simulador!$C$7,0)</f>
        <v>84527.9464864865</v>
      </c>
      <c r="U9" s="2"/>
      <c r="W9" s="48" t="s">
        <v>137</v>
      </c>
      <c r="X9" s="48" t="n">
        <f aca="false">COUNT(B8:B77)</f>
        <v>70</v>
      </c>
    </row>
    <row r="10" customFormat="false" ht="15" hidden="false" customHeight="false" outlineLevel="0" collapsed="false">
      <c r="B10" s="44" t="n">
        <v>45305</v>
      </c>
      <c r="C10" s="21" t="s">
        <v>486</v>
      </c>
      <c r="D10" s="45" t="n">
        <v>4.1</v>
      </c>
      <c r="E10" s="21" t="s">
        <v>485</v>
      </c>
      <c r="F10" s="26" t="n">
        <f aca="false">MATCH(E10,{"Misma locación","0.15 - 5 km","5 - 10 km","10+ km"},0)</f>
        <v>2</v>
      </c>
      <c r="G10" s="26" t="n">
        <f aca="false">MONTH(B10)</f>
        <v>1</v>
      </c>
      <c r="H10" s="26" t="n">
        <f aca="false">COUNTIF($G$8:G10,G10)</f>
        <v>3</v>
      </c>
      <c r="I10" s="45" t="n">
        <v>15.75</v>
      </c>
      <c r="J10" s="46" t="n">
        <f aca="false">INDEX(Simulador!$C$39:$F$39,F10)</f>
        <v>18</v>
      </c>
      <c r="K10" s="47" t="n">
        <f aca="false">IF(I10="","",I10-J10)</f>
        <v>-2.25</v>
      </c>
      <c r="L10" s="12" t="n">
        <f aca="false">INDEX(Simulador!$C$51:$F$51,F10)</f>
        <v>99473.8108108108</v>
      </c>
      <c r="M10" s="11" t="n">
        <f aca="false">IF(H10&gt;=Simulador!$C$19,INDEX(Simulador!$C$63:$F$63,F10),INDEX(Simulador!$C$62:$F$62,F10))</f>
        <v>85898.0227027027</v>
      </c>
      <c r="N10" s="11" t="n">
        <f aca="false">INDEX(Simulador!$C$64:$F$64,F10)</f>
        <v>108447.105405405</v>
      </c>
      <c r="O10" s="11" t="n">
        <f aca="false">IF(H10&gt;=Simulador!$C$19,INDEX(Simulador!$C$65:$F$65,F10),INDEX(Simulador!$C$64:$F$64,F10))</f>
        <v>108447.105405405</v>
      </c>
      <c r="P10" s="11" t="n">
        <f aca="false">IF(H10&gt;=Simulador!$C$19,INDEX(Simulador!$C$67:$F$67,F10),INDEX(Simulador!$C$66:$F$66,F10))</f>
        <v>82343.9464864865</v>
      </c>
      <c r="Q10" s="11" t="n">
        <f aca="false">M10+(IF(I10="",J10+INDEX(Simulador!$C$40:$F$40,F10),I10)-J10-INDEX(Simulador!$C$40:$F$40,F10))*Simulador!$C$9-INDEX(Simulador!$C$69:$F$69,F10)+IF(Simulador!$N$7="Sí",MAX(0,IF(I10="",J10+INDEX(Simulador!$C$40:$F$40,F10),I10)-INDEX(Simulador!$C$41:$F$41,F10))*(INDEX(Simulador!$C$68:$F$68,F10)+Simulador!$N$8)/Simulador!$C$7,0)</f>
        <v>82622.0227027027</v>
      </c>
      <c r="R10" s="11" t="n">
        <f aca="false">N10+(IF(I10="",J10+INDEX(Simulador!$C$40:$F$40,F10),I10)-J10-INDEX(Simulador!$C$40:$F$40,F10))*Simulador!$C$9-INDEX(Simulador!$C$69:$F$69,F10)+IF(Simulador!$N$7="Sí",MAX(0,IF(I10="",J10+INDEX(Simulador!$C$40:$F$40,F10),I10)-INDEX(Simulador!$C$41:$F$41,F10))*(INDEX(Simulador!$C$68:$F$68,F10)+Simulador!$N$8)/Simulador!$C$7,0)</f>
        <v>105171.105405405</v>
      </c>
      <c r="S10" s="11" t="n">
        <f aca="false">O10+(IF(I10="",J10+INDEX(Simulador!$C$40:$F$40,F10),I10)-J10-INDEX(Simulador!$C$40:$F$40,F10))*Simulador!$C$9-INDEX(Simulador!$C$69:$F$69,F10)+IF(Simulador!$N$7="Sí",MAX(0,IF(I10="",J10+INDEX(Simulador!$C$40:$F$40,F10),I10)-INDEX(Simulador!$C$41:$F$41,F10))*(INDEX(Simulador!$C$68:$F$68,F10)+Simulador!$N$8)/Simulador!$C$7,0)</f>
        <v>105171.105405405</v>
      </c>
      <c r="T10" s="11" t="n">
        <f aca="false">P10+(IF(I10="",J10+INDEX(Simulador!$C$40:$F$40,F10),I10)-J10-INDEX(Simulador!$C$40:$F$40,F10))*Simulador!$C$9-INDEX(Simulador!$C$69:$F$69,F10)+IF(Simulador!$N$7="Sí",MAX(0,IF(I10="",J10+INDEX(Simulador!$C$40:$F$40,F10),I10)-INDEX(Simulador!$C$41:$F$41,F10))*(INDEX(Simulador!$C$68:$F$68,F10)+Simulador!$N$8)/Simulador!$C$7,0)</f>
        <v>79067.9464864865</v>
      </c>
      <c r="U10" s="2"/>
      <c r="W10" s="48" t="s">
        <v>487</v>
      </c>
      <c r="X10" s="48" t="n">
        <f aca="false">COUNTIF(C84:C94,"&gt;0")</f>
        <v>11</v>
      </c>
    </row>
    <row r="11" customFormat="false" ht="15" hidden="false" customHeight="false" outlineLevel="0" collapsed="false">
      <c r="B11" s="44" t="n">
        <v>45309</v>
      </c>
      <c r="C11" s="21" t="s">
        <v>488</v>
      </c>
      <c r="D11" s="45" t="n">
        <v>3.25</v>
      </c>
      <c r="E11" s="21" t="s">
        <v>485</v>
      </c>
      <c r="F11" s="26" t="n">
        <f aca="false">MATCH(E11,{"Misma locación","0.15 - 5 km","5 - 10 km","10+ km"},0)</f>
        <v>2</v>
      </c>
      <c r="G11" s="26" t="n">
        <f aca="false">MONTH(B11)</f>
        <v>1</v>
      </c>
      <c r="H11" s="26" t="n">
        <f aca="false">COUNTIF($G$8:G11,G11)</f>
        <v>4</v>
      </c>
      <c r="I11" s="45"/>
      <c r="J11" s="46" t="n">
        <f aca="false">INDEX(Simulador!$C$39:$F$39,F11)</f>
        <v>18</v>
      </c>
      <c r="K11" s="47" t="str">
        <f aca="false">IF(I11="","",I11-J11)</f>
        <v/>
      </c>
      <c r="L11" s="12" t="n">
        <f aca="false">INDEX(Simulador!$C$51:$F$51,F11)</f>
        <v>99473.8108108108</v>
      </c>
      <c r="M11" s="11" t="n">
        <f aca="false">IF(H11&gt;=Simulador!$C$19,INDEX(Simulador!$C$63:$F$63,F11),INDEX(Simulador!$C$62:$F$62,F11))</f>
        <v>85898.0227027027</v>
      </c>
      <c r="N11" s="11" t="n">
        <f aca="false">INDEX(Simulador!$C$64:$F$64,F11)</f>
        <v>108447.105405405</v>
      </c>
      <c r="O11" s="11" t="n">
        <f aca="false">IF(H11&gt;=Simulador!$C$19,INDEX(Simulador!$C$65:$F$65,F11),INDEX(Simulador!$C$64:$F$64,F11))</f>
        <v>108447.105405405</v>
      </c>
      <c r="P11" s="11" t="n">
        <f aca="false">IF(H11&gt;=Simulador!$C$19,INDEX(Simulador!$C$67:$F$67,F11),INDEX(Simulador!$C$66:$F$66,F11))</f>
        <v>82343.9464864865</v>
      </c>
      <c r="Q11" s="11" t="n">
        <f aca="false">M11+(IF(I11="",J11+INDEX(Simulador!$C$40:$F$40,F11),I11)-J11-INDEX(Simulador!$C$40:$F$40,F11))*Simulador!$C$9-INDEX(Simulador!$C$69:$F$69,F11)+IF(Simulador!$N$7="Sí",MAX(0,IF(I11="",J11+INDEX(Simulador!$C$40:$F$40,F11),I11)-INDEX(Simulador!$C$41:$F$41,F11))*(INDEX(Simulador!$C$68:$F$68,F11)+Simulador!$N$8)/Simulador!$C$7,0)</f>
        <v>85898.0227027027</v>
      </c>
      <c r="R11" s="11" t="n">
        <f aca="false">N11+(IF(I11="",J11+INDEX(Simulador!$C$40:$F$40,F11),I11)-J11-INDEX(Simulador!$C$40:$F$40,F11))*Simulador!$C$9-INDEX(Simulador!$C$69:$F$69,F11)+IF(Simulador!$N$7="Sí",MAX(0,IF(I11="",J11+INDEX(Simulador!$C$40:$F$40,F11),I11)-INDEX(Simulador!$C$41:$F$41,F11))*(INDEX(Simulador!$C$68:$F$68,F11)+Simulador!$N$8)/Simulador!$C$7,0)</f>
        <v>108447.105405405</v>
      </c>
      <c r="S11" s="11" t="n">
        <f aca="false">O11+(IF(I11="",J11+INDEX(Simulador!$C$40:$F$40,F11),I11)-J11-INDEX(Simulador!$C$40:$F$40,F11))*Simulador!$C$9-INDEX(Simulador!$C$69:$F$69,F11)+IF(Simulador!$N$7="Sí",MAX(0,IF(I11="",J11+INDEX(Simulador!$C$40:$F$40,F11),I11)-INDEX(Simulador!$C$41:$F$41,F11))*(INDEX(Simulador!$C$68:$F$68,F11)+Simulador!$N$8)/Simulador!$C$7,0)</f>
        <v>108447.105405405</v>
      </c>
      <c r="T11" s="11" t="n">
        <f aca="false">P11+(IF(I11="",J11+INDEX(Simulador!$C$40:$F$40,F11),I11)-J11-INDEX(Simulador!$C$40:$F$40,F11))*Simulador!$C$9-INDEX(Simulador!$C$69:$F$69,F11)+IF(Simulador!$N$7="Sí",MAX(0,IF(I11="",J11+INDEX(Simulador!$C$40:$F$40,F11),I11)-INDEX(Simulador!$C$41:$F$41,F11))*(INDEX(Simulador!$C$68:$F$68,F11)+Simulador!$N$8)/Simulador!$C$7,0)</f>
        <v>82343.9464864865</v>
      </c>
      <c r="U11" s="2" t="s">
        <v>489</v>
      </c>
      <c r="W11" s="48" t="s">
        <v>490</v>
      </c>
      <c r="X11" s="49" t="n">
        <f aca="false">X9/X10</f>
        <v>6.36363636363636</v>
      </c>
    </row>
    <row r="12" customFormat="false" ht="15" hidden="false" customHeight="false" outlineLevel="0" collapsed="false">
      <c r="B12" s="44" t="n">
        <v>45312</v>
      </c>
      <c r="C12" s="21" t="s">
        <v>491</v>
      </c>
      <c r="D12" s="45" t="n">
        <v>4.9</v>
      </c>
      <c r="E12" s="21" t="s">
        <v>485</v>
      </c>
      <c r="F12" s="26" t="n">
        <f aca="false">MATCH(E12,{"Misma locación","0.15 - 5 km","5 - 10 km","10+ km"},0)</f>
        <v>2</v>
      </c>
      <c r="G12" s="26" t="n">
        <f aca="false">MONTH(B12)</f>
        <v>1</v>
      </c>
      <c r="H12" s="26" t="n">
        <f aca="false">COUNTIF($G$8:G12,G12)</f>
        <v>5</v>
      </c>
      <c r="I12" s="45" t="n">
        <v>20</v>
      </c>
      <c r="J12" s="46" t="n">
        <f aca="false">INDEX(Simulador!$C$39:$F$39,F12)</f>
        <v>18</v>
      </c>
      <c r="K12" s="47" t="n">
        <f aca="false">IF(I12="","",I12-J12)</f>
        <v>2</v>
      </c>
      <c r="L12" s="12" t="n">
        <f aca="false">INDEX(Simulador!$C$51:$F$51,F12)</f>
        <v>99473.8108108108</v>
      </c>
      <c r="M12" s="11" t="n">
        <f aca="false">IF(H12&gt;=Simulador!$C$19,INDEX(Simulador!$C$63:$F$63,F12),INDEX(Simulador!$C$62:$F$62,F12))</f>
        <v>85898.0227027027</v>
      </c>
      <c r="N12" s="11" t="n">
        <f aca="false">INDEX(Simulador!$C$64:$F$64,F12)</f>
        <v>108447.105405405</v>
      </c>
      <c r="O12" s="11" t="n">
        <f aca="false">IF(H12&gt;=Simulador!$C$19,INDEX(Simulador!$C$65:$F$65,F12),INDEX(Simulador!$C$64:$F$64,F12))</f>
        <v>108447.105405405</v>
      </c>
      <c r="P12" s="11" t="n">
        <f aca="false">IF(H12&gt;=Simulador!$C$19,INDEX(Simulador!$C$67:$F$67,F12),INDEX(Simulador!$C$66:$F$66,F12))</f>
        <v>82343.9464864865</v>
      </c>
      <c r="Q12" s="11" t="n">
        <f aca="false">M12+(IF(I12="",J12+INDEX(Simulador!$C$40:$F$40,F12),I12)-J12-INDEX(Simulador!$C$40:$F$40,F12))*Simulador!$C$9-INDEX(Simulador!$C$69:$F$69,F12)+IF(Simulador!$N$7="Sí",MAX(0,IF(I12="",J12+INDEX(Simulador!$C$40:$F$40,F12),I12)-INDEX(Simulador!$C$41:$F$41,F12))*(INDEX(Simulador!$C$68:$F$68,F12)+Simulador!$N$8)/Simulador!$C$7,0)</f>
        <v>88810.0227027027</v>
      </c>
      <c r="R12" s="11" t="n">
        <f aca="false">N12+(IF(I12="",J12+INDEX(Simulador!$C$40:$F$40,F12),I12)-J12-INDEX(Simulador!$C$40:$F$40,F12))*Simulador!$C$9-INDEX(Simulador!$C$69:$F$69,F12)+IF(Simulador!$N$7="Sí",MAX(0,IF(I12="",J12+INDEX(Simulador!$C$40:$F$40,F12),I12)-INDEX(Simulador!$C$41:$F$41,F12))*(INDEX(Simulador!$C$68:$F$68,F12)+Simulador!$N$8)/Simulador!$C$7,0)</f>
        <v>111359.105405405</v>
      </c>
      <c r="S12" s="11" t="n">
        <f aca="false">O12+(IF(I12="",J12+INDEX(Simulador!$C$40:$F$40,F12),I12)-J12-INDEX(Simulador!$C$40:$F$40,F12))*Simulador!$C$9-INDEX(Simulador!$C$69:$F$69,F12)+IF(Simulador!$N$7="Sí",MAX(0,IF(I12="",J12+INDEX(Simulador!$C$40:$F$40,F12),I12)-INDEX(Simulador!$C$41:$F$41,F12))*(INDEX(Simulador!$C$68:$F$68,F12)+Simulador!$N$8)/Simulador!$C$7,0)</f>
        <v>111359.105405405</v>
      </c>
      <c r="T12" s="11" t="n">
        <f aca="false">P12+(IF(I12="",J12+INDEX(Simulador!$C$40:$F$40,F12),I12)-J12-INDEX(Simulador!$C$40:$F$40,F12))*Simulador!$C$9-INDEX(Simulador!$C$69:$F$69,F12)+IF(Simulador!$N$7="Sí",MAX(0,IF(I12="",J12+INDEX(Simulador!$C$40:$F$40,F12),I12)-INDEX(Simulador!$C$41:$F$41,F12))*(INDEX(Simulador!$C$68:$F$68,F12)+Simulador!$N$8)/Simulador!$C$7,0)</f>
        <v>85255.9464864865</v>
      </c>
      <c r="U12" s="2"/>
      <c r="W12" s="48" t="s">
        <v>492</v>
      </c>
      <c r="X12" s="48" t="n">
        <f aca="false">COUNTIF(C84:C94,"&gt;=6")</f>
        <v>9</v>
      </c>
    </row>
    <row r="13" customFormat="false" ht="15" hidden="false" customHeight="false" outlineLevel="0" collapsed="false">
      <c r="B13" s="44" t="n">
        <v>45317</v>
      </c>
      <c r="C13" s="21" t="s">
        <v>493</v>
      </c>
      <c r="D13" s="45" t="n">
        <v>0.4</v>
      </c>
      <c r="E13" s="21" t="s">
        <v>485</v>
      </c>
      <c r="F13" s="26" t="n">
        <f aca="false">MATCH(E13,{"Misma locación","0.15 - 5 km","5 - 10 km","10+ km"},0)</f>
        <v>2</v>
      </c>
      <c r="G13" s="26" t="n">
        <f aca="false">MONTH(B13)</f>
        <v>1</v>
      </c>
      <c r="H13" s="26" t="n">
        <f aca="false">COUNTIF($G$8:G13,G13)</f>
        <v>6</v>
      </c>
      <c r="I13" s="45" t="n">
        <v>12.5</v>
      </c>
      <c r="J13" s="46" t="n">
        <f aca="false">INDEX(Simulador!$C$39:$F$39,F13)</f>
        <v>18</v>
      </c>
      <c r="K13" s="47" t="n">
        <f aca="false">IF(I13="","",I13-J13)</f>
        <v>-5.5</v>
      </c>
      <c r="L13" s="12" t="n">
        <f aca="false">INDEX(Simulador!$C$51:$F$51,F13)</f>
        <v>99473.8108108108</v>
      </c>
      <c r="M13" s="11" t="n">
        <f aca="false">IF(H13&gt;=Simulador!$C$19,INDEX(Simulador!$C$63:$F$63,F13),INDEX(Simulador!$C$62:$F$62,F13))</f>
        <v>56053.0113513514</v>
      </c>
      <c r="N13" s="11" t="n">
        <f aca="false">INDEX(Simulador!$C$64:$F$64,F13)</f>
        <v>108447.105405405</v>
      </c>
      <c r="O13" s="11" t="n">
        <f aca="false">IF(H13&gt;=Simulador!$C$19,INDEX(Simulador!$C$65:$F$65,F13),INDEX(Simulador!$C$64:$F$64,F13))</f>
        <v>67327.5527027027</v>
      </c>
      <c r="P13" s="11" t="n">
        <f aca="false">IF(H13&gt;=Simulador!$C$19,INDEX(Simulador!$C$67:$F$67,F13),INDEX(Simulador!$C$66:$F$66,F13))</f>
        <v>59499.8918918919</v>
      </c>
      <c r="Q13" s="11" t="n">
        <f aca="false">M13+(IF(I13="",J13+INDEX(Simulador!$C$40:$F$40,F13),I13)-J13-INDEX(Simulador!$C$40:$F$40,F13))*Simulador!$C$9-INDEX(Simulador!$C$69:$F$69,F13)+IF(Simulador!$N$7="Sí",MAX(0,IF(I13="",J13+INDEX(Simulador!$C$40:$F$40,F13),I13)-INDEX(Simulador!$C$41:$F$41,F13))*(INDEX(Simulador!$C$68:$F$68,F13)+Simulador!$N$8)/Simulador!$C$7,0)</f>
        <v>48045.0113513514</v>
      </c>
      <c r="R13" s="11" t="n">
        <f aca="false">N13+(IF(I13="",J13+INDEX(Simulador!$C$40:$F$40,F13),I13)-J13-INDEX(Simulador!$C$40:$F$40,F13))*Simulador!$C$9-INDEX(Simulador!$C$69:$F$69,F13)+IF(Simulador!$N$7="Sí",MAX(0,IF(I13="",J13+INDEX(Simulador!$C$40:$F$40,F13),I13)-INDEX(Simulador!$C$41:$F$41,F13))*(INDEX(Simulador!$C$68:$F$68,F13)+Simulador!$N$8)/Simulador!$C$7,0)</f>
        <v>100439.105405405</v>
      </c>
      <c r="S13" s="11" t="n">
        <f aca="false">O13+(IF(I13="",J13+INDEX(Simulador!$C$40:$F$40,F13),I13)-J13-INDEX(Simulador!$C$40:$F$40,F13))*Simulador!$C$9-INDEX(Simulador!$C$69:$F$69,F13)+IF(Simulador!$N$7="Sí",MAX(0,IF(I13="",J13+INDEX(Simulador!$C$40:$F$40,F13),I13)-INDEX(Simulador!$C$41:$F$41,F13))*(INDEX(Simulador!$C$68:$F$68,F13)+Simulador!$N$8)/Simulador!$C$7,0)</f>
        <v>59319.5527027027</v>
      </c>
      <c r="T13" s="11" t="n">
        <f aca="false">P13+(IF(I13="",J13+INDEX(Simulador!$C$40:$F$40,F13),I13)-J13-INDEX(Simulador!$C$40:$F$40,F13))*Simulador!$C$9-INDEX(Simulador!$C$69:$F$69,F13)+IF(Simulador!$N$7="Sí",MAX(0,IF(I13="",J13+INDEX(Simulador!$C$40:$F$40,F13),I13)-INDEX(Simulador!$C$41:$F$41,F13))*(INDEX(Simulador!$C$68:$F$68,F13)+Simulador!$N$8)/Simulador!$C$7,0)</f>
        <v>51491.8918918919</v>
      </c>
      <c r="U13" s="2"/>
      <c r="W13" s="48" t="s">
        <v>494</v>
      </c>
      <c r="X13" s="48" t="n">
        <f aca="false">COUNTIF(C84:C94,"&lt;5")</f>
        <v>2</v>
      </c>
    </row>
    <row r="14" customFormat="false" ht="15" hidden="false" customHeight="false" outlineLevel="0" collapsed="false">
      <c r="B14" s="44" t="n">
        <v>45321</v>
      </c>
      <c r="C14" s="21" t="s">
        <v>495</v>
      </c>
      <c r="D14" s="45" t="n">
        <v>5.2</v>
      </c>
      <c r="E14" s="21" t="s">
        <v>496</v>
      </c>
      <c r="F14" s="26" t="n">
        <f aca="false">MATCH(E14,{"Misma locación","0.15 - 5 km","5 - 10 km","10+ km"},0)</f>
        <v>3</v>
      </c>
      <c r="G14" s="26" t="n">
        <f aca="false">MONTH(B14)</f>
        <v>1</v>
      </c>
      <c r="H14" s="26" t="n">
        <f aca="false">COUNTIF($G$8:G14,G14)</f>
        <v>7</v>
      </c>
      <c r="I14" s="45" t="n">
        <v>16</v>
      </c>
      <c r="J14" s="46" t="n">
        <f aca="false">INDEX(Simulador!$C$39:$F$39,F14)</f>
        <v>24</v>
      </c>
      <c r="K14" s="47" t="n">
        <f aca="false">IF(I14="","",I14-J14)</f>
        <v>-8</v>
      </c>
      <c r="L14" s="12" t="n">
        <f aca="false">INDEX(Simulador!$C$51:$F$51,F14)</f>
        <v>96184.8108108108</v>
      </c>
      <c r="M14" s="11" t="n">
        <f aca="false">IF(H14&gt;=Simulador!$C$19,INDEX(Simulador!$C$63:$F$63,F14),INDEX(Simulador!$C$62:$F$62,F14))</f>
        <v>67168.7294594595</v>
      </c>
      <c r="N14" s="11" t="n">
        <f aca="false">INDEX(Simulador!$C$64:$F$64,F14)</f>
        <v>135930.452432432</v>
      </c>
      <c r="O14" s="11" t="n">
        <f aca="false">IF(H14&gt;=Simulador!$C$19,INDEX(Simulador!$C$65:$F$65,F14),INDEX(Simulador!$C$64:$F$64,F14))</f>
        <v>85437.2262162162</v>
      </c>
      <c r="P14" s="11" t="n">
        <f aca="false">IF(H14&gt;=Simulador!$C$19,INDEX(Simulador!$C$67:$F$67,F14),INDEX(Simulador!$C$66:$F$66,F14))</f>
        <v>72512.9189189189</v>
      </c>
      <c r="Q14" s="11" t="n">
        <f aca="false">M14+(IF(I14="",J14+INDEX(Simulador!$C$40:$F$40,F14),I14)-J14-INDEX(Simulador!$C$40:$F$40,F14))*Simulador!$C$9-INDEX(Simulador!$C$69:$F$69,F14)+IF(Simulador!$N$7="Sí",MAX(0,IF(I14="",J14+INDEX(Simulador!$C$40:$F$40,F14),I14)-INDEX(Simulador!$C$41:$F$41,F14))*(INDEX(Simulador!$C$68:$F$68,F14)+Simulador!$N$8)/Simulador!$C$7,0)</f>
        <v>55520.7294594595</v>
      </c>
      <c r="R14" s="11" t="n">
        <f aca="false">N14+(IF(I14="",J14+INDEX(Simulador!$C$40:$F$40,F14),I14)-J14-INDEX(Simulador!$C$40:$F$40,F14))*Simulador!$C$9-INDEX(Simulador!$C$69:$F$69,F14)+IF(Simulador!$N$7="Sí",MAX(0,IF(I14="",J14+INDEX(Simulador!$C$40:$F$40,F14),I14)-INDEX(Simulador!$C$41:$F$41,F14))*(INDEX(Simulador!$C$68:$F$68,F14)+Simulador!$N$8)/Simulador!$C$7,0)</f>
        <v>124282.452432432</v>
      </c>
      <c r="S14" s="11" t="n">
        <f aca="false">O14+(IF(I14="",J14+INDEX(Simulador!$C$40:$F$40,F14),I14)-J14-INDEX(Simulador!$C$40:$F$40,F14))*Simulador!$C$9-INDEX(Simulador!$C$69:$F$69,F14)+IF(Simulador!$N$7="Sí",MAX(0,IF(I14="",J14+INDEX(Simulador!$C$40:$F$40,F14),I14)-INDEX(Simulador!$C$41:$F$41,F14))*(INDEX(Simulador!$C$68:$F$68,F14)+Simulador!$N$8)/Simulador!$C$7,0)</f>
        <v>73789.2262162162</v>
      </c>
      <c r="T14" s="11" t="n">
        <f aca="false">P14+(IF(I14="",J14+INDEX(Simulador!$C$40:$F$40,F14),I14)-J14-INDEX(Simulador!$C$40:$F$40,F14))*Simulador!$C$9-INDEX(Simulador!$C$69:$F$69,F14)+IF(Simulador!$N$7="Sí",MAX(0,IF(I14="",J14+INDEX(Simulador!$C$40:$F$40,F14),I14)-INDEX(Simulador!$C$41:$F$41,F14))*(INDEX(Simulador!$C$68:$F$68,F14)+Simulador!$N$8)/Simulador!$C$7,0)</f>
        <v>60864.9189189189</v>
      </c>
      <c r="U14" s="2"/>
    </row>
    <row r="15" customFormat="false" ht="15" hidden="false" customHeight="false" outlineLevel="0" collapsed="false">
      <c r="B15" s="44" t="n">
        <v>45325</v>
      </c>
      <c r="C15" s="21" t="s">
        <v>497</v>
      </c>
      <c r="D15" s="45" t="n">
        <v>0.00640079979517441</v>
      </c>
      <c r="E15" s="21" t="s">
        <v>498</v>
      </c>
      <c r="F15" s="26" t="n">
        <f aca="false">MATCH(E15,{"Misma locación","0.15 - 5 km","5 - 10 km","10+ km"},0)</f>
        <v>1</v>
      </c>
      <c r="G15" s="26" t="n">
        <f aca="false">MONTH(B15)</f>
        <v>2</v>
      </c>
      <c r="H15" s="26" t="n">
        <f aca="false">COUNTIF($G$8:G15,G15)</f>
        <v>1</v>
      </c>
      <c r="I15" s="45" t="n">
        <v>8</v>
      </c>
      <c r="J15" s="46" t="n">
        <f aca="false">INDEX(Simulador!$C$39:$F$39,F15)</f>
        <v>12</v>
      </c>
      <c r="K15" s="47" t="n">
        <f aca="false">IF(I15="","",I15-J15)</f>
        <v>-4</v>
      </c>
      <c r="L15" s="12" t="n">
        <f aca="false">INDEX(Simulador!$C$51:$F$51,F15)</f>
        <v>76047.4054054054</v>
      </c>
      <c r="M15" s="11" t="n">
        <f aca="false">IF(H15&gt;=Simulador!$C$19,INDEX(Simulador!$C$63:$F$63,F15),INDEX(Simulador!$C$62:$F$62,F15))</f>
        <v>55414.0110810811</v>
      </c>
      <c r="N15" s="11" t="n">
        <f aca="false">INDEX(Simulador!$C$64:$F$64,F15)</f>
        <v>65678.4554054054</v>
      </c>
      <c r="O15" s="11" t="n">
        <f aca="false">IF(H15&gt;=Simulador!$C$19,INDEX(Simulador!$C$65:$F$65,F15),INDEX(Simulador!$C$64:$F$64,F15))</f>
        <v>65678.4554054054</v>
      </c>
      <c r="P15" s="11" t="n">
        <f aca="false">IF(H15&gt;=Simulador!$C$19,INDEX(Simulador!$C$67:$F$67,F15),INDEX(Simulador!$C$66:$F$66,F15))</f>
        <v>55372.8113513514</v>
      </c>
      <c r="Q15" s="11" t="n">
        <f aca="false">M15+(IF(I15="",J15+INDEX(Simulador!$C$40:$F$40,F15),I15)-J15-INDEX(Simulador!$C$40:$F$40,F15))*Simulador!$C$9-INDEX(Simulador!$C$69:$F$69,F15)+IF(Simulador!$N$7="Sí",MAX(0,IF(I15="",J15+INDEX(Simulador!$C$40:$F$40,F15),I15)-INDEX(Simulador!$C$41:$F$41,F15))*(INDEX(Simulador!$C$68:$F$68,F15)+Simulador!$N$8)/Simulador!$C$7,0)</f>
        <v>49590.0110810811</v>
      </c>
      <c r="R15" s="11" t="n">
        <f aca="false">N15+(IF(I15="",J15+INDEX(Simulador!$C$40:$F$40,F15),I15)-J15-INDEX(Simulador!$C$40:$F$40,F15))*Simulador!$C$9-INDEX(Simulador!$C$69:$F$69,F15)+IF(Simulador!$N$7="Sí",MAX(0,IF(I15="",J15+INDEX(Simulador!$C$40:$F$40,F15),I15)-INDEX(Simulador!$C$41:$F$41,F15))*(INDEX(Simulador!$C$68:$F$68,F15)+Simulador!$N$8)/Simulador!$C$7,0)</f>
        <v>59854.4554054054</v>
      </c>
      <c r="S15" s="11" t="n">
        <f aca="false">O15+(IF(I15="",J15+INDEX(Simulador!$C$40:$F$40,F15),I15)-J15-INDEX(Simulador!$C$40:$F$40,F15))*Simulador!$C$9-INDEX(Simulador!$C$69:$F$69,F15)+IF(Simulador!$N$7="Sí",MAX(0,IF(I15="",J15+INDEX(Simulador!$C$40:$F$40,F15),I15)-INDEX(Simulador!$C$41:$F$41,F15))*(INDEX(Simulador!$C$68:$F$68,F15)+Simulador!$N$8)/Simulador!$C$7,0)</f>
        <v>59854.4554054054</v>
      </c>
      <c r="T15" s="11" t="n">
        <f aca="false">P15+(IF(I15="",J15+INDEX(Simulador!$C$40:$F$40,F15),I15)-J15-INDEX(Simulador!$C$40:$F$40,F15))*Simulador!$C$9-INDEX(Simulador!$C$69:$F$69,F15)+IF(Simulador!$N$7="Sí",MAX(0,IF(I15="",J15+INDEX(Simulador!$C$40:$F$40,F15),I15)-INDEX(Simulador!$C$41:$F$41,F15))*(INDEX(Simulador!$C$68:$F$68,F15)+Simulador!$N$8)/Simulador!$C$7,0)</f>
        <v>49548.8113513514</v>
      </c>
      <c r="U15" s="2"/>
    </row>
    <row r="16" customFormat="false" ht="15" hidden="false" customHeight="false" outlineLevel="0" collapsed="false">
      <c r="B16" s="44" t="n">
        <v>45328</v>
      </c>
      <c r="C16" s="21" t="s">
        <v>499</v>
      </c>
      <c r="D16" s="45" t="n">
        <v>3</v>
      </c>
      <c r="E16" s="21" t="s">
        <v>485</v>
      </c>
      <c r="F16" s="26" t="n">
        <f aca="false">MATCH(E16,{"Misma locación","0.15 - 5 km","5 - 10 km","10+ km"},0)</f>
        <v>2</v>
      </c>
      <c r="G16" s="26" t="n">
        <f aca="false">MONTH(B16)</f>
        <v>2</v>
      </c>
      <c r="H16" s="26" t="n">
        <f aca="false">COUNTIF($G$8:G16,G16)</f>
        <v>2</v>
      </c>
      <c r="I16" s="45" t="n">
        <v>22</v>
      </c>
      <c r="J16" s="46" t="n">
        <f aca="false">INDEX(Simulador!$C$39:$F$39,F16)</f>
        <v>18</v>
      </c>
      <c r="K16" s="47" t="n">
        <f aca="false">IF(I16="","",I16-J16)</f>
        <v>4</v>
      </c>
      <c r="L16" s="12" t="n">
        <f aca="false">INDEX(Simulador!$C$51:$F$51,F16)</f>
        <v>99473.8108108108</v>
      </c>
      <c r="M16" s="11" t="n">
        <f aca="false">IF(H16&gt;=Simulador!$C$19,INDEX(Simulador!$C$63:$F$63,F16),INDEX(Simulador!$C$62:$F$62,F16))</f>
        <v>85898.0227027027</v>
      </c>
      <c r="N16" s="11" t="n">
        <f aca="false">INDEX(Simulador!$C$64:$F$64,F16)</f>
        <v>108447.105405405</v>
      </c>
      <c r="O16" s="11" t="n">
        <f aca="false">IF(H16&gt;=Simulador!$C$19,INDEX(Simulador!$C$65:$F$65,F16),INDEX(Simulador!$C$64:$F$64,F16))</f>
        <v>108447.105405405</v>
      </c>
      <c r="P16" s="11" t="n">
        <f aca="false">IF(H16&gt;=Simulador!$C$19,INDEX(Simulador!$C$67:$F$67,F16),INDEX(Simulador!$C$66:$F$66,F16))</f>
        <v>82343.9464864865</v>
      </c>
      <c r="Q16" s="11" t="n">
        <f aca="false">M16+(IF(I16="",J16+INDEX(Simulador!$C$40:$F$40,F16),I16)-J16-INDEX(Simulador!$C$40:$F$40,F16))*Simulador!$C$9-INDEX(Simulador!$C$69:$F$69,F16)+IF(Simulador!$N$7="Sí",MAX(0,IF(I16="",J16+INDEX(Simulador!$C$40:$F$40,F16),I16)-INDEX(Simulador!$C$41:$F$41,F16))*(INDEX(Simulador!$C$68:$F$68,F16)+Simulador!$N$8)/Simulador!$C$7,0)</f>
        <v>91722.0227027027</v>
      </c>
      <c r="R16" s="11" t="n">
        <f aca="false">N16+(IF(I16="",J16+INDEX(Simulador!$C$40:$F$40,F16),I16)-J16-INDEX(Simulador!$C$40:$F$40,F16))*Simulador!$C$9-INDEX(Simulador!$C$69:$F$69,F16)+IF(Simulador!$N$7="Sí",MAX(0,IF(I16="",J16+INDEX(Simulador!$C$40:$F$40,F16),I16)-INDEX(Simulador!$C$41:$F$41,F16))*(INDEX(Simulador!$C$68:$F$68,F16)+Simulador!$N$8)/Simulador!$C$7,0)</f>
        <v>114271.105405405</v>
      </c>
      <c r="S16" s="11" t="n">
        <f aca="false">O16+(IF(I16="",J16+INDEX(Simulador!$C$40:$F$40,F16),I16)-J16-INDEX(Simulador!$C$40:$F$40,F16))*Simulador!$C$9-INDEX(Simulador!$C$69:$F$69,F16)+IF(Simulador!$N$7="Sí",MAX(0,IF(I16="",J16+INDEX(Simulador!$C$40:$F$40,F16),I16)-INDEX(Simulador!$C$41:$F$41,F16))*(INDEX(Simulador!$C$68:$F$68,F16)+Simulador!$N$8)/Simulador!$C$7,0)</f>
        <v>114271.105405405</v>
      </c>
      <c r="T16" s="11" t="n">
        <f aca="false">P16+(IF(I16="",J16+INDEX(Simulador!$C$40:$F$40,F16),I16)-J16-INDEX(Simulador!$C$40:$F$40,F16))*Simulador!$C$9-INDEX(Simulador!$C$69:$F$69,F16)+IF(Simulador!$N$7="Sí",MAX(0,IF(I16="",J16+INDEX(Simulador!$C$40:$F$40,F16),I16)-INDEX(Simulador!$C$41:$F$41,F16))*(INDEX(Simulador!$C$68:$F$68,F16)+Simulador!$N$8)/Simulador!$C$7,0)</f>
        <v>88167.9464864865</v>
      </c>
      <c r="U16" s="2"/>
    </row>
    <row r="17" customFormat="false" ht="15" hidden="false" customHeight="false" outlineLevel="0" collapsed="false">
      <c r="B17" s="44" t="n">
        <v>45331</v>
      </c>
      <c r="C17" s="21" t="s">
        <v>500</v>
      </c>
      <c r="D17" s="45" t="n">
        <v>0.02</v>
      </c>
      <c r="E17" s="21" t="s">
        <v>498</v>
      </c>
      <c r="F17" s="26" t="n">
        <f aca="false">MATCH(E17,{"Misma locación","0.15 - 5 km","5 - 10 km","10+ km"},0)</f>
        <v>1</v>
      </c>
      <c r="G17" s="26" t="n">
        <f aca="false">MONTH(B17)</f>
        <v>2</v>
      </c>
      <c r="H17" s="26" t="n">
        <f aca="false">COUNTIF($G$8:G17,G17)</f>
        <v>3</v>
      </c>
      <c r="I17" s="45" t="n">
        <v>10</v>
      </c>
      <c r="J17" s="46" t="n">
        <f aca="false">INDEX(Simulador!$C$39:$F$39,F17)</f>
        <v>12</v>
      </c>
      <c r="K17" s="47" t="n">
        <f aca="false">IF(I17="","",I17-J17)</f>
        <v>-2</v>
      </c>
      <c r="L17" s="12" t="n">
        <f aca="false">INDEX(Simulador!$C$51:$F$51,F17)</f>
        <v>76047.4054054054</v>
      </c>
      <c r="M17" s="11" t="n">
        <f aca="false">IF(H17&gt;=Simulador!$C$19,INDEX(Simulador!$C$63:$F$63,F17),INDEX(Simulador!$C$62:$F$62,F17))</f>
        <v>55414.0110810811</v>
      </c>
      <c r="N17" s="11" t="n">
        <f aca="false">INDEX(Simulador!$C$64:$F$64,F17)</f>
        <v>65678.4554054054</v>
      </c>
      <c r="O17" s="11" t="n">
        <f aca="false">IF(H17&gt;=Simulador!$C$19,INDEX(Simulador!$C$65:$F$65,F17),INDEX(Simulador!$C$64:$F$64,F17))</f>
        <v>65678.4554054054</v>
      </c>
      <c r="P17" s="11" t="n">
        <f aca="false">IF(H17&gt;=Simulador!$C$19,INDEX(Simulador!$C$67:$F$67,F17),INDEX(Simulador!$C$66:$F$66,F17))</f>
        <v>55372.8113513514</v>
      </c>
      <c r="Q17" s="11" t="n">
        <f aca="false">M17+(IF(I17="",J17+INDEX(Simulador!$C$40:$F$40,F17),I17)-J17-INDEX(Simulador!$C$40:$F$40,F17))*Simulador!$C$9-INDEX(Simulador!$C$69:$F$69,F17)+IF(Simulador!$N$7="Sí",MAX(0,IF(I17="",J17+INDEX(Simulador!$C$40:$F$40,F17),I17)-INDEX(Simulador!$C$41:$F$41,F17))*(INDEX(Simulador!$C$68:$F$68,F17)+Simulador!$N$8)/Simulador!$C$7,0)</f>
        <v>52502.0110810811</v>
      </c>
      <c r="R17" s="11" t="n">
        <f aca="false">N17+(IF(I17="",J17+INDEX(Simulador!$C$40:$F$40,F17),I17)-J17-INDEX(Simulador!$C$40:$F$40,F17))*Simulador!$C$9-INDEX(Simulador!$C$69:$F$69,F17)+IF(Simulador!$N$7="Sí",MAX(0,IF(I17="",J17+INDEX(Simulador!$C$40:$F$40,F17),I17)-INDEX(Simulador!$C$41:$F$41,F17))*(INDEX(Simulador!$C$68:$F$68,F17)+Simulador!$N$8)/Simulador!$C$7,0)</f>
        <v>62766.4554054054</v>
      </c>
      <c r="S17" s="11" t="n">
        <f aca="false">O17+(IF(I17="",J17+INDEX(Simulador!$C$40:$F$40,F17),I17)-J17-INDEX(Simulador!$C$40:$F$40,F17))*Simulador!$C$9-INDEX(Simulador!$C$69:$F$69,F17)+IF(Simulador!$N$7="Sí",MAX(0,IF(I17="",J17+INDEX(Simulador!$C$40:$F$40,F17),I17)-INDEX(Simulador!$C$41:$F$41,F17))*(INDEX(Simulador!$C$68:$F$68,F17)+Simulador!$N$8)/Simulador!$C$7,0)</f>
        <v>62766.4554054054</v>
      </c>
      <c r="T17" s="11" t="n">
        <f aca="false">P17+(IF(I17="",J17+INDEX(Simulador!$C$40:$F$40,F17),I17)-J17-INDEX(Simulador!$C$40:$F$40,F17))*Simulador!$C$9-INDEX(Simulador!$C$69:$F$69,F17)+IF(Simulador!$N$7="Sí",MAX(0,IF(I17="",J17+INDEX(Simulador!$C$40:$F$40,F17),I17)-INDEX(Simulador!$C$41:$F$41,F17))*(INDEX(Simulador!$C$68:$F$68,F17)+Simulador!$N$8)/Simulador!$C$7,0)</f>
        <v>52460.8113513514</v>
      </c>
      <c r="U17" s="2"/>
    </row>
    <row r="18" customFormat="false" ht="15" hidden="false" customHeight="false" outlineLevel="0" collapsed="false">
      <c r="B18" s="44" t="n">
        <v>45334</v>
      </c>
      <c r="C18" s="21" t="s">
        <v>501</v>
      </c>
      <c r="D18" s="45" t="n">
        <v>0.02</v>
      </c>
      <c r="E18" s="21" t="s">
        <v>498</v>
      </c>
      <c r="F18" s="26" t="n">
        <f aca="false">MATCH(E18,{"Misma locación","0.15 - 5 km","5 - 10 km","10+ km"},0)</f>
        <v>1</v>
      </c>
      <c r="G18" s="26" t="n">
        <f aca="false">MONTH(B18)</f>
        <v>2</v>
      </c>
      <c r="H18" s="26" t="n">
        <f aca="false">COUNTIF($G$8:G18,G18)</f>
        <v>4</v>
      </c>
      <c r="I18" s="45" t="n">
        <v>10</v>
      </c>
      <c r="J18" s="46" t="n">
        <f aca="false">INDEX(Simulador!$C$39:$F$39,F18)</f>
        <v>12</v>
      </c>
      <c r="K18" s="47" t="n">
        <f aca="false">IF(I18="","",I18-J18)</f>
        <v>-2</v>
      </c>
      <c r="L18" s="12" t="n">
        <f aca="false">INDEX(Simulador!$C$51:$F$51,F18)</f>
        <v>76047.4054054054</v>
      </c>
      <c r="M18" s="11" t="n">
        <f aca="false">IF(H18&gt;=Simulador!$C$19,INDEX(Simulador!$C$63:$F$63,F18),INDEX(Simulador!$C$62:$F$62,F18))</f>
        <v>55414.0110810811</v>
      </c>
      <c r="N18" s="11" t="n">
        <f aca="false">INDEX(Simulador!$C$64:$F$64,F18)</f>
        <v>65678.4554054054</v>
      </c>
      <c r="O18" s="11" t="n">
        <f aca="false">IF(H18&gt;=Simulador!$C$19,INDEX(Simulador!$C$65:$F$65,F18),INDEX(Simulador!$C$64:$F$64,F18))</f>
        <v>65678.4554054054</v>
      </c>
      <c r="P18" s="11" t="n">
        <f aca="false">IF(H18&gt;=Simulador!$C$19,INDEX(Simulador!$C$67:$F$67,F18),INDEX(Simulador!$C$66:$F$66,F18))</f>
        <v>55372.8113513514</v>
      </c>
      <c r="Q18" s="11" t="n">
        <f aca="false">M18+(IF(I18="",J18+INDEX(Simulador!$C$40:$F$40,F18),I18)-J18-INDEX(Simulador!$C$40:$F$40,F18))*Simulador!$C$9-INDEX(Simulador!$C$69:$F$69,F18)+IF(Simulador!$N$7="Sí",MAX(0,IF(I18="",J18+INDEX(Simulador!$C$40:$F$40,F18),I18)-INDEX(Simulador!$C$41:$F$41,F18))*(INDEX(Simulador!$C$68:$F$68,F18)+Simulador!$N$8)/Simulador!$C$7,0)</f>
        <v>52502.0110810811</v>
      </c>
      <c r="R18" s="11" t="n">
        <f aca="false">N18+(IF(I18="",J18+INDEX(Simulador!$C$40:$F$40,F18),I18)-J18-INDEX(Simulador!$C$40:$F$40,F18))*Simulador!$C$9-INDEX(Simulador!$C$69:$F$69,F18)+IF(Simulador!$N$7="Sí",MAX(0,IF(I18="",J18+INDEX(Simulador!$C$40:$F$40,F18),I18)-INDEX(Simulador!$C$41:$F$41,F18))*(INDEX(Simulador!$C$68:$F$68,F18)+Simulador!$N$8)/Simulador!$C$7,0)</f>
        <v>62766.4554054054</v>
      </c>
      <c r="S18" s="11" t="n">
        <f aca="false">O18+(IF(I18="",J18+INDEX(Simulador!$C$40:$F$40,F18),I18)-J18-INDEX(Simulador!$C$40:$F$40,F18))*Simulador!$C$9-INDEX(Simulador!$C$69:$F$69,F18)+IF(Simulador!$N$7="Sí",MAX(0,IF(I18="",J18+INDEX(Simulador!$C$40:$F$40,F18),I18)-INDEX(Simulador!$C$41:$F$41,F18))*(INDEX(Simulador!$C$68:$F$68,F18)+Simulador!$N$8)/Simulador!$C$7,0)</f>
        <v>62766.4554054054</v>
      </c>
      <c r="T18" s="11" t="n">
        <f aca="false">P18+(IF(I18="",J18+INDEX(Simulador!$C$40:$F$40,F18),I18)-J18-INDEX(Simulador!$C$40:$F$40,F18))*Simulador!$C$9-INDEX(Simulador!$C$69:$F$69,F18)+IF(Simulador!$N$7="Sí",MAX(0,IF(I18="",J18+INDEX(Simulador!$C$40:$F$40,F18),I18)-INDEX(Simulador!$C$41:$F$41,F18))*(INDEX(Simulador!$C$68:$F$68,F18)+Simulador!$N$8)/Simulador!$C$7,0)</f>
        <v>52460.8113513514</v>
      </c>
      <c r="U18" s="2"/>
    </row>
    <row r="19" customFormat="false" ht="15" hidden="false" customHeight="false" outlineLevel="0" collapsed="false">
      <c r="B19" s="44" t="n">
        <v>45337</v>
      </c>
      <c r="C19" s="21" t="s">
        <v>502</v>
      </c>
      <c r="D19" s="45" t="n">
        <v>3.4</v>
      </c>
      <c r="E19" s="21" t="s">
        <v>485</v>
      </c>
      <c r="F19" s="26" t="n">
        <f aca="false">MATCH(E19,{"Misma locación","0.15 - 5 km","5 - 10 km","10+ km"},0)</f>
        <v>2</v>
      </c>
      <c r="G19" s="26" t="n">
        <f aca="false">MONTH(B19)</f>
        <v>2</v>
      </c>
      <c r="H19" s="26" t="n">
        <f aca="false">COUNTIF($G$8:G19,G19)</f>
        <v>5</v>
      </c>
      <c r="I19" s="45" t="n">
        <v>12</v>
      </c>
      <c r="J19" s="46" t="n">
        <f aca="false">INDEX(Simulador!$C$39:$F$39,F19)</f>
        <v>18</v>
      </c>
      <c r="K19" s="47" t="n">
        <f aca="false">IF(I19="","",I19-J19)</f>
        <v>-6</v>
      </c>
      <c r="L19" s="12" t="n">
        <f aca="false">INDEX(Simulador!$C$51:$F$51,F19)</f>
        <v>99473.8108108108</v>
      </c>
      <c r="M19" s="11" t="n">
        <f aca="false">IF(H19&gt;=Simulador!$C$19,INDEX(Simulador!$C$63:$F$63,F19),INDEX(Simulador!$C$62:$F$62,F19))</f>
        <v>85898.0227027027</v>
      </c>
      <c r="N19" s="11" t="n">
        <f aca="false">INDEX(Simulador!$C$64:$F$64,F19)</f>
        <v>108447.105405405</v>
      </c>
      <c r="O19" s="11" t="n">
        <f aca="false">IF(H19&gt;=Simulador!$C$19,INDEX(Simulador!$C$65:$F$65,F19),INDEX(Simulador!$C$64:$F$64,F19))</f>
        <v>108447.105405405</v>
      </c>
      <c r="P19" s="11" t="n">
        <f aca="false">IF(H19&gt;=Simulador!$C$19,INDEX(Simulador!$C$67:$F$67,F19),INDEX(Simulador!$C$66:$F$66,F19))</f>
        <v>82343.9464864865</v>
      </c>
      <c r="Q19" s="11" t="n">
        <f aca="false">M19+(IF(I19="",J19+INDEX(Simulador!$C$40:$F$40,F19),I19)-J19-INDEX(Simulador!$C$40:$F$40,F19))*Simulador!$C$9-INDEX(Simulador!$C$69:$F$69,F19)+IF(Simulador!$N$7="Sí",MAX(0,IF(I19="",J19+INDEX(Simulador!$C$40:$F$40,F19),I19)-INDEX(Simulador!$C$41:$F$41,F19))*(INDEX(Simulador!$C$68:$F$68,F19)+Simulador!$N$8)/Simulador!$C$7,0)</f>
        <v>77162.0227027027</v>
      </c>
      <c r="R19" s="11" t="n">
        <f aca="false">N19+(IF(I19="",J19+INDEX(Simulador!$C$40:$F$40,F19),I19)-J19-INDEX(Simulador!$C$40:$F$40,F19))*Simulador!$C$9-INDEX(Simulador!$C$69:$F$69,F19)+IF(Simulador!$N$7="Sí",MAX(0,IF(I19="",J19+INDEX(Simulador!$C$40:$F$40,F19),I19)-INDEX(Simulador!$C$41:$F$41,F19))*(INDEX(Simulador!$C$68:$F$68,F19)+Simulador!$N$8)/Simulador!$C$7,0)</f>
        <v>99711.1054054054</v>
      </c>
      <c r="S19" s="11" t="n">
        <f aca="false">O19+(IF(I19="",J19+INDEX(Simulador!$C$40:$F$40,F19),I19)-J19-INDEX(Simulador!$C$40:$F$40,F19))*Simulador!$C$9-INDEX(Simulador!$C$69:$F$69,F19)+IF(Simulador!$N$7="Sí",MAX(0,IF(I19="",J19+INDEX(Simulador!$C$40:$F$40,F19),I19)-INDEX(Simulador!$C$41:$F$41,F19))*(INDEX(Simulador!$C$68:$F$68,F19)+Simulador!$N$8)/Simulador!$C$7,0)</f>
        <v>99711.1054054054</v>
      </c>
      <c r="T19" s="11" t="n">
        <f aca="false">P19+(IF(I19="",J19+INDEX(Simulador!$C$40:$F$40,F19),I19)-J19-INDEX(Simulador!$C$40:$F$40,F19))*Simulador!$C$9-INDEX(Simulador!$C$69:$F$69,F19)+IF(Simulador!$N$7="Sí",MAX(0,IF(I19="",J19+INDEX(Simulador!$C$40:$F$40,F19),I19)-INDEX(Simulador!$C$41:$F$41,F19))*(INDEX(Simulador!$C$68:$F$68,F19)+Simulador!$N$8)/Simulador!$C$7,0)</f>
        <v>73607.9464864865</v>
      </c>
      <c r="U19" s="2"/>
    </row>
    <row r="20" customFormat="false" ht="15" hidden="false" customHeight="false" outlineLevel="0" collapsed="false">
      <c r="B20" s="44" t="n">
        <v>45342</v>
      </c>
      <c r="C20" s="21" t="s">
        <v>503</v>
      </c>
      <c r="D20" s="45" t="n">
        <v>0.0192023993855232</v>
      </c>
      <c r="E20" s="21" t="s">
        <v>498</v>
      </c>
      <c r="F20" s="26" t="n">
        <f aca="false">MATCH(E20,{"Misma locación","0.15 - 5 km","5 - 10 km","10+ km"},0)</f>
        <v>1</v>
      </c>
      <c r="G20" s="26" t="n">
        <f aca="false">MONTH(B20)</f>
        <v>2</v>
      </c>
      <c r="H20" s="26" t="n">
        <f aca="false">COUNTIF($G$8:G20,G20)</f>
        <v>6</v>
      </c>
      <c r="I20" s="45" t="n">
        <v>14</v>
      </c>
      <c r="J20" s="46" t="n">
        <f aca="false">INDEX(Simulador!$C$39:$F$39,F20)</f>
        <v>12</v>
      </c>
      <c r="K20" s="47" t="n">
        <f aca="false">IF(I20="","",I20-J20)</f>
        <v>2</v>
      </c>
      <c r="L20" s="12" t="n">
        <f aca="false">INDEX(Simulador!$C$51:$F$51,F20)</f>
        <v>76047.4054054054</v>
      </c>
      <c r="M20" s="11" t="n">
        <f aca="false">IF(H20&gt;=Simulador!$C$19,INDEX(Simulador!$C$63:$F$63,F20),INDEX(Simulador!$C$62:$F$62,F20))</f>
        <v>36443.0055405405</v>
      </c>
      <c r="N20" s="11" t="n">
        <f aca="false">INDEX(Simulador!$C$64:$F$64,F20)</f>
        <v>65678.4554054054</v>
      </c>
      <c r="O20" s="11" t="n">
        <f aca="false">IF(H20&gt;=Simulador!$C$19,INDEX(Simulador!$C$65:$F$65,F20),INDEX(Simulador!$C$64:$F$64,F20))</f>
        <v>41575.2277027027</v>
      </c>
      <c r="P20" s="11" t="n">
        <f aca="false">IF(H20&gt;=Simulador!$C$19,INDEX(Simulador!$C$67:$F$67,F20),INDEX(Simulador!$C$66:$F$66,F20))</f>
        <v>50763.8918918919</v>
      </c>
      <c r="Q20" s="11" t="n">
        <f aca="false">M20+(IF(I20="",J20+INDEX(Simulador!$C$40:$F$40,F20),I20)-J20-INDEX(Simulador!$C$40:$F$40,F20))*Simulador!$C$9-INDEX(Simulador!$C$69:$F$69,F20)+IF(Simulador!$N$7="Sí",MAX(0,IF(I20="",J20+INDEX(Simulador!$C$40:$F$40,F20),I20)-INDEX(Simulador!$C$41:$F$41,F20))*(INDEX(Simulador!$C$68:$F$68,F20)+Simulador!$N$8)/Simulador!$C$7,0)</f>
        <v>42069.3298648649</v>
      </c>
      <c r="R20" s="11" t="n">
        <f aca="false">N20+(IF(I20="",J20+INDEX(Simulador!$C$40:$F$40,F20),I20)-J20-INDEX(Simulador!$C$40:$F$40,F20))*Simulador!$C$9-INDEX(Simulador!$C$69:$F$69,F20)+IF(Simulador!$N$7="Sí",MAX(0,IF(I20="",J20+INDEX(Simulador!$C$40:$F$40,F20),I20)-INDEX(Simulador!$C$41:$F$41,F20))*(INDEX(Simulador!$C$68:$F$68,F20)+Simulador!$N$8)/Simulador!$C$7,0)</f>
        <v>71304.7797297297</v>
      </c>
      <c r="S20" s="11" t="n">
        <f aca="false">O20+(IF(I20="",J20+INDEX(Simulador!$C$40:$F$40,F20),I20)-J20-INDEX(Simulador!$C$40:$F$40,F20))*Simulador!$C$9-INDEX(Simulador!$C$69:$F$69,F20)+IF(Simulador!$N$7="Sí",MAX(0,IF(I20="",J20+INDEX(Simulador!$C$40:$F$40,F20),I20)-INDEX(Simulador!$C$41:$F$41,F20))*(INDEX(Simulador!$C$68:$F$68,F20)+Simulador!$N$8)/Simulador!$C$7,0)</f>
        <v>47201.552027027</v>
      </c>
      <c r="T20" s="11" t="n">
        <f aca="false">P20+(IF(I20="",J20+INDEX(Simulador!$C$40:$F$40,F20),I20)-J20-INDEX(Simulador!$C$40:$F$40,F20))*Simulador!$C$9-INDEX(Simulador!$C$69:$F$69,F20)+IF(Simulador!$N$7="Sí",MAX(0,IF(I20="",J20+INDEX(Simulador!$C$40:$F$40,F20),I20)-INDEX(Simulador!$C$41:$F$41,F20))*(INDEX(Simulador!$C$68:$F$68,F20)+Simulador!$N$8)/Simulador!$C$7,0)</f>
        <v>56390.2162162162</v>
      </c>
      <c r="U20" s="2"/>
    </row>
    <row r="21" customFormat="false" ht="15" hidden="false" customHeight="false" outlineLevel="0" collapsed="false">
      <c r="B21" s="44" t="n">
        <v>45346</v>
      </c>
      <c r="C21" s="21" t="s">
        <v>504</v>
      </c>
      <c r="D21" s="45" t="n">
        <v>2.8</v>
      </c>
      <c r="E21" s="21" t="s">
        <v>485</v>
      </c>
      <c r="F21" s="26" t="n">
        <f aca="false">MATCH(E21,{"Misma locación","0.15 - 5 km","5 - 10 km","10+ km"},0)</f>
        <v>2</v>
      </c>
      <c r="G21" s="26" t="n">
        <f aca="false">MONTH(B21)</f>
        <v>2</v>
      </c>
      <c r="H21" s="26" t="n">
        <f aca="false">COUNTIF($G$8:G21,G21)</f>
        <v>7</v>
      </c>
      <c r="I21" s="45" t="n">
        <v>17</v>
      </c>
      <c r="J21" s="46" t="n">
        <f aca="false">INDEX(Simulador!$C$39:$F$39,F21)</f>
        <v>18</v>
      </c>
      <c r="K21" s="47" t="n">
        <f aca="false">IF(I21="","",I21-J21)</f>
        <v>-1</v>
      </c>
      <c r="L21" s="12" t="n">
        <f aca="false">INDEX(Simulador!$C$51:$F$51,F21)</f>
        <v>99473.8108108108</v>
      </c>
      <c r="M21" s="11" t="n">
        <f aca="false">IF(H21&gt;=Simulador!$C$19,INDEX(Simulador!$C$63:$F$63,F21),INDEX(Simulador!$C$62:$F$62,F21))</f>
        <v>56053.0113513514</v>
      </c>
      <c r="N21" s="11" t="n">
        <f aca="false">INDEX(Simulador!$C$64:$F$64,F21)</f>
        <v>108447.105405405</v>
      </c>
      <c r="O21" s="11" t="n">
        <f aca="false">IF(H21&gt;=Simulador!$C$19,INDEX(Simulador!$C$65:$F$65,F21),INDEX(Simulador!$C$64:$F$64,F21))</f>
        <v>67327.5527027027</v>
      </c>
      <c r="P21" s="11" t="n">
        <f aca="false">IF(H21&gt;=Simulador!$C$19,INDEX(Simulador!$C$67:$F$67,F21),INDEX(Simulador!$C$66:$F$66,F21))</f>
        <v>59499.8918918919</v>
      </c>
      <c r="Q21" s="11" t="n">
        <f aca="false">M21+(IF(I21="",J21+INDEX(Simulador!$C$40:$F$40,F21),I21)-J21-INDEX(Simulador!$C$40:$F$40,F21))*Simulador!$C$9-INDEX(Simulador!$C$69:$F$69,F21)+IF(Simulador!$N$7="Sí",MAX(0,IF(I21="",J21+INDEX(Simulador!$C$40:$F$40,F21),I21)-INDEX(Simulador!$C$41:$F$41,F21))*(INDEX(Simulador!$C$68:$F$68,F21)+Simulador!$N$8)/Simulador!$C$7,0)</f>
        <v>54597.0113513514</v>
      </c>
      <c r="R21" s="11" t="n">
        <f aca="false">N21+(IF(I21="",J21+INDEX(Simulador!$C$40:$F$40,F21),I21)-J21-INDEX(Simulador!$C$40:$F$40,F21))*Simulador!$C$9-INDEX(Simulador!$C$69:$F$69,F21)+IF(Simulador!$N$7="Sí",MAX(0,IF(I21="",J21+INDEX(Simulador!$C$40:$F$40,F21),I21)-INDEX(Simulador!$C$41:$F$41,F21))*(INDEX(Simulador!$C$68:$F$68,F21)+Simulador!$N$8)/Simulador!$C$7,0)</f>
        <v>106991.105405405</v>
      </c>
      <c r="S21" s="11" t="n">
        <f aca="false">O21+(IF(I21="",J21+INDEX(Simulador!$C$40:$F$40,F21),I21)-J21-INDEX(Simulador!$C$40:$F$40,F21))*Simulador!$C$9-INDEX(Simulador!$C$69:$F$69,F21)+IF(Simulador!$N$7="Sí",MAX(0,IF(I21="",J21+INDEX(Simulador!$C$40:$F$40,F21),I21)-INDEX(Simulador!$C$41:$F$41,F21))*(INDEX(Simulador!$C$68:$F$68,F21)+Simulador!$N$8)/Simulador!$C$7,0)</f>
        <v>65871.5527027027</v>
      </c>
      <c r="T21" s="11" t="n">
        <f aca="false">P21+(IF(I21="",J21+INDEX(Simulador!$C$40:$F$40,F21),I21)-J21-INDEX(Simulador!$C$40:$F$40,F21))*Simulador!$C$9-INDEX(Simulador!$C$69:$F$69,F21)+IF(Simulador!$N$7="Sí",MAX(0,IF(I21="",J21+INDEX(Simulador!$C$40:$F$40,F21),I21)-INDEX(Simulador!$C$41:$F$41,F21))*(INDEX(Simulador!$C$68:$F$68,F21)+Simulador!$N$8)/Simulador!$C$7,0)</f>
        <v>58043.8918918919</v>
      </c>
      <c r="U21" s="2"/>
    </row>
    <row r="22" customFormat="false" ht="15" hidden="false" customHeight="false" outlineLevel="0" collapsed="false">
      <c r="B22" s="44" t="n">
        <v>45351</v>
      </c>
      <c r="C22" s="21" t="s">
        <v>505</v>
      </c>
      <c r="D22" s="45" t="n">
        <v>2.8</v>
      </c>
      <c r="E22" s="21" t="s">
        <v>485</v>
      </c>
      <c r="F22" s="26" t="n">
        <f aca="false">MATCH(E22,{"Misma locación","0.15 - 5 km","5 - 10 km","10+ km"},0)</f>
        <v>2</v>
      </c>
      <c r="G22" s="26" t="n">
        <f aca="false">MONTH(B22)</f>
        <v>2</v>
      </c>
      <c r="H22" s="26" t="n">
        <f aca="false">COUNTIF($G$8:G22,G22)</f>
        <v>8</v>
      </c>
      <c r="I22" s="45" t="n">
        <v>22</v>
      </c>
      <c r="J22" s="46" t="n">
        <f aca="false">INDEX(Simulador!$C$39:$F$39,F22)</f>
        <v>18</v>
      </c>
      <c r="K22" s="47" t="n">
        <f aca="false">IF(I22="","",I22-J22)</f>
        <v>4</v>
      </c>
      <c r="L22" s="12" t="n">
        <f aca="false">INDEX(Simulador!$C$51:$F$51,F22)</f>
        <v>99473.8108108108</v>
      </c>
      <c r="M22" s="11" t="n">
        <f aca="false">IF(H22&gt;=Simulador!$C$19,INDEX(Simulador!$C$63:$F$63,F22),INDEX(Simulador!$C$62:$F$62,F22))</f>
        <v>56053.0113513514</v>
      </c>
      <c r="N22" s="11" t="n">
        <f aca="false">INDEX(Simulador!$C$64:$F$64,F22)</f>
        <v>108447.105405405</v>
      </c>
      <c r="O22" s="11" t="n">
        <f aca="false">IF(H22&gt;=Simulador!$C$19,INDEX(Simulador!$C$65:$F$65,F22),INDEX(Simulador!$C$64:$F$64,F22))</f>
        <v>67327.5527027027</v>
      </c>
      <c r="P22" s="11" t="n">
        <f aca="false">IF(H22&gt;=Simulador!$C$19,INDEX(Simulador!$C$67:$F$67,F22),INDEX(Simulador!$C$66:$F$66,F22))</f>
        <v>59499.8918918919</v>
      </c>
      <c r="Q22" s="11" t="n">
        <f aca="false">M22+(IF(I22="",J22+INDEX(Simulador!$C$40:$F$40,F22),I22)-J22-INDEX(Simulador!$C$40:$F$40,F22))*Simulador!$C$9-INDEX(Simulador!$C$69:$F$69,F22)+IF(Simulador!$N$7="Sí",MAX(0,IF(I22="",J22+INDEX(Simulador!$C$40:$F$40,F22),I22)-INDEX(Simulador!$C$41:$F$41,F22))*(INDEX(Simulador!$C$68:$F$68,F22)+Simulador!$N$8)/Simulador!$C$7,0)</f>
        <v>61877.0113513514</v>
      </c>
      <c r="R22" s="11" t="n">
        <f aca="false">N22+(IF(I22="",J22+INDEX(Simulador!$C$40:$F$40,F22),I22)-J22-INDEX(Simulador!$C$40:$F$40,F22))*Simulador!$C$9-INDEX(Simulador!$C$69:$F$69,F22)+IF(Simulador!$N$7="Sí",MAX(0,IF(I22="",J22+INDEX(Simulador!$C$40:$F$40,F22),I22)-INDEX(Simulador!$C$41:$F$41,F22))*(INDEX(Simulador!$C$68:$F$68,F22)+Simulador!$N$8)/Simulador!$C$7,0)</f>
        <v>114271.105405405</v>
      </c>
      <c r="S22" s="11" t="n">
        <f aca="false">O22+(IF(I22="",J22+INDEX(Simulador!$C$40:$F$40,F22),I22)-J22-INDEX(Simulador!$C$40:$F$40,F22))*Simulador!$C$9-INDEX(Simulador!$C$69:$F$69,F22)+IF(Simulador!$N$7="Sí",MAX(0,IF(I22="",J22+INDEX(Simulador!$C$40:$F$40,F22),I22)-INDEX(Simulador!$C$41:$F$41,F22))*(INDEX(Simulador!$C$68:$F$68,F22)+Simulador!$N$8)/Simulador!$C$7,0)</f>
        <v>73151.5527027027</v>
      </c>
      <c r="T22" s="11" t="n">
        <f aca="false">P22+(IF(I22="",J22+INDEX(Simulador!$C$40:$F$40,F22),I22)-J22-INDEX(Simulador!$C$40:$F$40,F22))*Simulador!$C$9-INDEX(Simulador!$C$69:$F$69,F22)+IF(Simulador!$N$7="Sí",MAX(0,IF(I22="",J22+INDEX(Simulador!$C$40:$F$40,F22),I22)-INDEX(Simulador!$C$41:$F$41,F22))*(INDEX(Simulador!$C$68:$F$68,F22)+Simulador!$N$8)/Simulador!$C$7,0)</f>
        <v>65323.8918918919</v>
      </c>
      <c r="U22" s="2"/>
    </row>
    <row r="23" customFormat="false" ht="15" hidden="false" customHeight="false" outlineLevel="0" collapsed="false">
      <c r="B23" s="44" t="n">
        <v>45355</v>
      </c>
      <c r="C23" s="21" t="s">
        <v>506</v>
      </c>
      <c r="D23" s="45" t="n">
        <v>2.7</v>
      </c>
      <c r="E23" s="21" t="s">
        <v>485</v>
      </c>
      <c r="F23" s="26" t="n">
        <f aca="false">MATCH(E23,{"Misma locación","0.15 - 5 km","5 - 10 km","10+ km"},0)</f>
        <v>2</v>
      </c>
      <c r="G23" s="26" t="n">
        <f aca="false">MONTH(B23)</f>
        <v>3</v>
      </c>
      <c r="H23" s="26" t="n">
        <f aca="false">COUNTIF($G$8:G23,G23)</f>
        <v>1</v>
      </c>
      <c r="I23" s="45" t="n">
        <v>16</v>
      </c>
      <c r="J23" s="46" t="n">
        <f aca="false">INDEX(Simulador!$C$39:$F$39,F23)</f>
        <v>18</v>
      </c>
      <c r="K23" s="47" t="n">
        <f aca="false">IF(I23="","",I23-J23)</f>
        <v>-2</v>
      </c>
      <c r="L23" s="12" t="n">
        <f aca="false">INDEX(Simulador!$C$51:$F$51,F23)</f>
        <v>99473.8108108108</v>
      </c>
      <c r="M23" s="11" t="n">
        <f aca="false">IF(H23&gt;=Simulador!$C$19,INDEX(Simulador!$C$63:$F$63,F23),INDEX(Simulador!$C$62:$F$62,F23))</f>
        <v>85898.0227027027</v>
      </c>
      <c r="N23" s="11" t="n">
        <f aca="false">INDEX(Simulador!$C$64:$F$64,F23)</f>
        <v>108447.105405405</v>
      </c>
      <c r="O23" s="11" t="n">
        <f aca="false">IF(H23&gt;=Simulador!$C$19,INDEX(Simulador!$C$65:$F$65,F23),INDEX(Simulador!$C$64:$F$64,F23))</f>
        <v>108447.105405405</v>
      </c>
      <c r="P23" s="11" t="n">
        <f aca="false">IF(H23&gt;=Simulador!$C$19,INDEX(Simulador!$C$67:$F$67,F23),INDEX(Simulador!$C$66:$F$66,F23))</f>
        <v>82343.9464864865</v>
      </c>
      <c r="Q23" s="11" t="n">
        <f aca="false">M23+(IF(I23="",J23+INDEX(Simulador!$C$40:$F$40,F23),I23)-J23-INDEX(Simulador!$C$40:$F$40,F23))*Simulador!$C$9-INDEX(Simulador!$C$69:$F$69,F23)+IF(Simulador!$N$7="Sí",MAX(0,IF(I23="",J23+INDEX(Simulador!$C$40:$F$40,F23),I23)-INDEX(Simulador!$C$41:$F$41,F23))*(INDEX(Simulador!$C$68:$F$68,F23)+Simulador!$N$8)/Simulador!$C$7,0)</f>
        <v>82986.0227027027</v>
      </c>
      <c r="R23" s="11" t="n">
        <f aca="false">N23+(IF(I23="",J23+INDEX(Simulador!$C$40:$F$40,F23),I23)-J23-INDEX(Simulador!$C$40:$F$40,F23))*Simulador!$C$9-INDEX(Simulador!$C$69:$F$69,F23)+IF(Simulador!$N$7="Sí",MAX(0,IF(I23="",J23+INDEX(Simulador!$C$40:$F$40,F23),I23)-INDEX(Simulador!$C$41:$F$41,F23))*(INDEX(Simulador!$C$68:$F$68,F23)+Simulador!$N$8)/Simulador!$C$7,0)</f>
        <v>105535.105405405</v>
      </c>
      <c r="S23" s="11" t="n">
        <f aca="false">O23+(IF(I23="",J23+INDEX(Simulador!$C$40:$F$40,F23),I23)-J23-INDEX(Simulador!$C$40:$F$40,F23))*Simulador!$C$9-INDEX(Simulador!$C$69:$F$69,F23)+IF(Simulador!$N$7="Sí",MAX(0,IF(I23="",J23+INDEX(Simulador!$C$40:$F$40,F23),I23)-INDEX(Simulador!$C$41:$F$41,F23))*(INDEX(Simulador!$C$68:$F$68,F23)+Simulador!$N$8)/Simulador!$C$7,0)</f>
        <v>105535.105405405</v>
      </c>
      <c r="T23" s="11" t="n">
        <f aca="false">P23+(IF(I23="",J23+INDEX(Simulador!$C$40:$F$40,F23),I23)-J23-INDEX(Simulador!$C$40:$F$40,F23))*Simulador!$C$9-INDEX(Simulador!$C$69:$F$69,F23)+IF(Simulador!$N$7="Sí",MAX(0,IF(I23="",J23+INDEX(Simulador!$C$40:$F$40,F23),I23)-INDEX(Simulador!$C$41:$F$41,F23))*(INDEX(Simulador!$C$68:$F$68,F23)+Simulador!$N$8)/Simulador!$C$7,0)</f>
        <v>79431.9464864865</v>
      </c>
      <c r="U23" s="2"/>
    </row>
    <row r="24" customFormat="false" ht="15" hidden="false" customHeight="false" outlineLevel="0" collapsed="false">
      <c r="B24" s="44" t="n">
        <v>45360</v>
      </c>
      <c r="C24" s="21" t="s">
        <v>507</v>
      </c>
      <c r="D24" s="45" t="n">
        <v>0.04</v>
      </c>
      <c r="E24" s="21" t="s">
        <v>498</v>
      </c>
      <c r="F24" s="26" t="n">
        <f aca="false">MATCH(E24,{"Misma locación","0.15 - 5 km","5 - 10 km","10+ km"},0)</f>
        <v>1</v>
      </c>
      <c r="G24" s="26" t="n">
        <f aca="false">MONTH(B24)</f>
        <v>3</v>
      </c>
      <c r="H24" s="26" t="n">
        <f aca="false">COUNTIF($G$8:G24,G24)</f>
        <v>2</v>
      </c>
      <c r="I24" s="45" t="n">
        <v>10.5</v>
      </c>
      <c r="J24" s="46" t="n">
        <f aca="false">INDEX(Simulador!$C$39:$F$39,F24)</f>
        <v>12</v>
      </c>
      <c r="K24" s="47" t="n">
        <f aca="false">IF(I24="","",I24-J24)</f>
        <v>-1.5</v>
      </c>
      <c r="L24" s="12" t="n">
        <f aca="false">INDEX(Simulador!$C$51:$F$51,F24)</f>
        <v>76047.4054054054</v>
      </c>
      <c r="M24" s="11" t="n">
        <f aca="false">IF(H24&gt;=Simulador!$C$19,INDEX(Simulador!$C$63:$F$63,F24),INDEX(Simulador!$C$62:$F$62,F24))</f>
        <v>55414.0110810811</v>
      </c>
      <c r="N24" s="11" t="n">
        <f aca="false">INDEX(Simulador!$C$64:$F$64,F24)</f>
        <v>65678.4554054054</v>
      </c>
      <c r="O24" s="11" t="n">
        <f aca="false">IF(H24&gt;=Simulador!$C$19,INDEX(Simulador!$C$65:$F$65,F24),INDEX(Simulador!$C$64:$F$64,F24))</f>
        <v>65678.4554054054</v>
      </c>
      <c r="P24" s="11" t="n">
        <f aca="false">IF(H24&gt;=Simulador!$C$19,INDEX(Simulador!$C$67:$F$67,F24),INDEX(Simulador!$C$66:$F$66,F24))</f>
        <v>55372.8113513514</v>
      </c>
      <c r="Q24" s="11" t="n">
        <f aca="false">M24+(IF(I24="",J24+INDEX(Simulador!$C$40:$F$40,F24),I24)-J24-INDEX(Simulador!$C$40:$F$40,F24))*Simulador!$C$9-INDEX(Simulador!$C$69:$F$69,F24)+IF(Simulador!$N$7="Sí",MAX(0,IF(I24="",J24+INDEX(Simulador!$C$40:$F$40,F24),I24)-INDEX(Simulador!$C$41:$F$41,F24))*(INDEX(Simulador!$C$68:$F$68,F24)+Simulador!$N$8)/Simulador!$C$7,0)</f>
        <v>53230.0110810811</v>
      </c>
      <c r="R24" s="11" t="n">
        <f aca="false">N24+(IF(I24="",J24+INDEX(Simulador!$C$40:$F$40,F24),I24)-J24-INDEX(Simulador!$C$40:$F$40,F24))*Simulador!$C$9-INDEX(Simulador!$C$69:$F$69,F24)+IF(Simulador!$N$7="Sí",MAX(0,IF(I24="",J24+INDEX(Simulador!$C$40:$F$40,F24),I24)-INDEX(Simulador!$C$41:$F$41,F24))*(INDEX(Simulador!$C$68:$F$68,F24)+Simulador!$N$8)/Simulador!$C$7,0)</f>
        <v>63494.4554054054</v>
      </c>
      <c r="S24" s="11" t="n">
        <f aca="false">O24+(IF(I24="",J24+INDEX(Simulador!$C$40:$F$40,F24),I24)-J24-INDEX(Simulador!$C$40:$F$40,F24))*Simulador!$C$9-INDEX(Simulador!$C$69:$F$69,F24)+IF(Simulador!$N$7="Sí",MAX(0,IF(I24="",J24+INDEX(Simulador!$C$40:$F$40,F24),I24)-INDEX(Simulador!$C$41:$F$41,F24))*(INDEX(Simulador!$C$68:$F$68,F24)+Simulador!$N$8)/Simulador!$C$7,0)</f>
        <v>63494.4554054054</v>
      </c>
      <c r="T24" s="11" t="n">
        <f aca="false">P24+(IF(I24="",J24+INDEX(Simulador!$C$40:$F$40,F24),I24)-J24-INDEX(Simulador!$C$40:$F$40,F24))*Simulador!$C$9-INDEX(Simulador!$C$69:$F$69,F24)+IF(Simulador!$N$7="Sí",MAX(0,IF(I24="",J24+INDEX(Simulador!$C$40:$F$40,F24),I24)-INDEX(Simulador!$C$41:$F$41,F24))*(INDEX(Simulador!$C$68:$F$68,F24)+Simulador!$N$8)/Simulador!$C$7,0)</f>
        <v>53188.8113513514</v>
      </c>
      <c r="U24" s="2"/>
    </row>
    <row r="25" customFormat="false" ht="15" hidden="false" customHeight="false" outlineLevel="0" collapsed="false">
      <c r="B25" s="44" t="n">
        <v>45364</v>
      </c>
      <c r="C25" s="21" t="s">
        <v>508</v>
      </c>
      <c r="D25" s="45" t="n">
        <v>0.04</v>
      </c>
      <c r="E25" s="21" t="s">
        <v>498</v>
      </c>
      <c r="F25" s="26" t="n">
        <f aca="false">MATCH(E25,{"Misma locación","0.15 - 5 km","5 - 10 km","10+ km"},0)</f>
        <v>1</v>
      </c>
      <c r="G25" s="26" t="n">
        <f aca="false">MONTH(B25)</f>
        <v>3</v>
      </c>
      <c r="H25" s="26" t="n">
        <f aca="false">COUNTIF($G$8:G25,G25)</f>
        <v>3</v>
      </c>
      <c r="I25" s="45" t="n">
        <v>10.5</v>
      </c>
      <c r="J25" s="46" t="n">
        <f aca="false">INDEX(Simulador!$C$39:$F$39,F25)</f>
        <v>12</v>
      </c>
      <c r="K25" s="47" t="n">
        <f aca="false">IF(I25="","",I25-J25)</f>
        <v>-1.5</v>
      </c>
      <c r="L25" s="12" t="n">
        <f aca="false">INDEX(Simulador!$C$51:$F$51,F25)</f>
        <v>76047.4054054054</v>
      </c>
      <c r="M25" s="11" t="n">
        <f aca="false">IF(H25&gt;=Simulador!$C$19,INDEX(Simulador!$C$63:$F$63,F25),INDEX(Simulador!$C$62:$F$62,F25))</f>
        <v>55414.0110810811</v>
      </c>
      <c r="N25" s="11" t="n">
        <f aca="false">INDEX(Simulador!$C$64:$F$64,F25)</f>
        <v>65678.4554054054</v>
      </c>
      <c r="O25" s="11" t="n">
        <f aca="false">IF(H25&gt;=Simulador!$C$19,INDEX(Simulador!$C$65:$F$65,F25),INDEX(Simulador!$C$64:$F$64,F25))</f>
        <v>65678.4554054054</v>
      </c>
      <c r="P25" s="11" t="n">
        <f aca="false">IF(H25&gt;=Simulador!$C$19,INDEX(Simulador!$C$67:$F$67,F25),INDEX(Simulador!$C$66:$F$66,F25))</f>
        <v>55372.8113513514</v>
      </c>
      <c r="Q25" s="11" t="n">
        <f aca="false">M25+(IF(I25="",J25+INDEX(Simulador!$C$40:$F$40,F25),I25)-J25-INDEX(Simulador!$C$40:$F$40,F25))*Simulador!$C$9-INDEX(Simulador!$C$69:$F$69,F25)+IF(Simulador!$N$7="Sí",MAX(0,IF(I25="",J25+INDEX(Simulador!$C$40:$F$40,F25),I25)-INDEX(Simulador!$C$41:$F$41,F25))*(INDEX(Simulador!$C$68:$F$68,F25)+Simulador!$N$8)/Simulador!$C$7,0)</f>
        <v>53230.0110810811</v>
      </c>
      <c r="R25" s="11" t="n">
        <f aca="false">N25+(IF(I25="",J25+INDEX(Simulador!$C$40:$F$40,F25),I25)-J25-INDEX(Simulador!$C$40:$F$40,F25))*Simulador!$C$9-INDEX(Simulador!$C$69:$F$69,F25)+IF(Simulador!$N$7="Sí",MAX(0,IF(I25="",J25+INDEX(Simulador!$C$40:$F$40,F25),I25)-INDEX(Simulador!$C$41:$F$41,F25))*(INDEX(Simulador!$C$68:$F$68,F25)+Simulador!$N$8)/Simulador!$C$7,0)</f>
        <v>63494.4554054054</v>
      </c>
      <c r="S25" s="11" t="n">
        <f aca="false">O25+(IF(I25="",J25+INDEX(Simulador!$C$40:$F$40,F25),I25)-J25-INDEX(Simulador!$C$40:$F$40,F25))*Simulador!$C$9-INDEX(Simulador!$C$69:$F$69,F25)+IF(Simulador!$N$7="Sí",MAX(0,IF(I25="",J25+INDEX(Simulador!$C$40:$F$40,F25),I25)-INDEX(Simulador!$C$41:$F$41,F25))*(INDEX(Simulador!$C$68:$F$68,F25)+Simulador!$N$8)/Simulador!$C$7,0)</f>
        <v>63494.4554054054</v>
      </c>
      <c r="T25" s="11" t="n">
        <f aca="false">P25+(IF(I25="",J25+INDEX(Simulador!$C$40:$F$40,F25),I25)-J25-INDEX(Simulador!$C$40:$F$40,F25))*Simulador!$C$9-INDEX(Simulador!$C$69:$F$69,F25)+IF(Simulador!$N$7="Sí",MAX(0,IF(I25="",J25+INDEX(Simulador!$C$40:$F$40,F25),I25)-INDEX(Simulador!$C$41:$F$41,F25))*(INDEX(Simulador!$C$68:$F$68,F25)+Simulador!$N$8)/Simulador!$C$7,0)</f>
        <v>53188.8113513514</v>
      </c>
      <c r="U25" s="2"/>
    </row>
    <row r="26" customFormat="false" ht="15" hidden="false" customHeight="false" outlineLevel="0" collapsed="false">
      <c r="B26" s="44" t="n">
        <v>45367</v>
      </c>
      <c r="C26" s="21" t="s">
        <v>509</v>
      </c>
      <c r="D26" s="45" t="n">
        <v>0.8</v>
      </c>
      <c r="E26" s="21" t="s">
        <v>485</v>
      </c>
      <c r="F26" s="26" t="n">
        <f aca="false">MATCH(E26,{"Misma locación","0.15 - 5 km","5 - 10 km","10+ km"},0)</f>
        <v>2</v>
      </c>
      <c r="G26" s="26" t="n">
        <f aca="false">MONTH(B26)</f>
        <v>3</v>
      </c>
      <c r="H26" s="26" t="n">
        <f aca="false">COUNTIF($G$8:G26,G26)</f>
        <v>4</v>
      </c>
      <c r="I26" s="45" t="n">
        <v>21</v>
      </c>
      <c r="J26" s="46" t="n">
        <f aca="false">INDEX(Simulador!$C$39:$F$39,F26)</f>
        <v>18</v>
      </c>
      <c r="K26" s="47" t="n">
        <f aca="false">IF(I26="","",I26-J26)</f>
        <v>3</v>
      </c>
      <c r="L26" s="12" t="n">
        <f aca="false">INDEX(Simulador!$C$51:$F$51,F26)</f>
        <v>99473.8108108108</v>
      </c>
      <c r="M26" s="11" t="n">
        <f aca="false">IF(H26&gt;=Simulador!$C$19,INDEX(Simulador!$C$63:$F$63,F26),INDEX(Simulador!$C$62:$F$62,F26))</f>
        <v>85898.0227027027</v>
      </c>
      <c r="N26" s="11" t="n">
        <f aca="false">INDEX(Simulador!$C$64:$F$64,F26)</f>
        <v>108447.105405405</v>
      </c>
      <c r="O26" s="11" t="n">
        <f aca="false">IF(H26&gt;=Simulador!$C$19,INDEX(Simulador!$C$65:$F$65,F26),INDEX(Simulador!$C$64:$F$64,F26))</f>
        <v>108447.105405405</v>
      </c>
      <c r="P26" s="11" t="n">
        <f aca="false">IF(H26&gt;=Simulador!$C$19,INDEX(Simulador!$C$67:$F$67,F26),INDEX(Simulador!$C$66:$F$66,F26))</f>
        <v>82343.9464864865</v>
      </c>
      <c r="Q26" s="11" t="n">
        <f aca="false">M26+(IF(I26="",J26+INDEX(Simulador!$C$40:$F$40,F26),I26)-J26-INDEX(Simulador!$C$40:$F$40,F26))*Simulador!$C$9-INDEX(Simulador!$C$69:$F$69,F26)+IF(Simulador!$N$7="Sí",MAX(0,IF(I26="",J26+INDEX(Simulador!$C$40:$F$40,F26),I26)-INDEX(Simulador!$C$41:$F$41,F26))*(INDEX(Simulador!$C$68:$F$68,F26)+Simulador!$N$8)/Simulador!$C$7,0)</f>
        <v>90266.0227027027</v>
      </c>
      <c r="R26" s="11" t="n">
        <f aca="false">N26+(IF(I26="",J26+INDEX(Simulador!$C$40:$F$40,F26),I26)-J26-INDEX(Simulador!$C$40:$F$40,F26))*Simulador!$C$9-INDEX(Simulador!$C$69:$F$69,F26)+IF(Simulador!$N$7="Sí",MAX(0,IF(I26="",J26+INDEX(Simulador!$C$40:$F$40,F26),I26)-INDEX(Simulador!$C$41:$F$41,F26))*(INDEX(Simulador!$C$68:$F$68,F26)+Simulador!$N$8)/Simulador!$C$7,0)</f>
        <v>112815.105405405</v>
      </c>
      <c r="S26" s="11" t="n">
        <f aca="false">O26+(IF(I26="",J26+INDEX(Simulador!$C$40:$F$40,F26),I26)-J26-INDEX(Simulador!$C$40:$F$40,F26))*Simulador!$C$9-INDEX(Simulador!$C$69:$F$69,F26)+IF(Simulador!$N$7="Sí",MAX(0,IF(I26="",J26+INDEX(Simulador!$C$40:$F$40,F26),I26)-INDEX(Simulador!$C$41:$F$41,F26))*(INDEX(Simulador!$C$68:$F$68,F26)+Simulador!$N$8)/Simulador!$C$7,0)</f>
        <v>112815.105405405</v>
      </c>
      <c r="T26" s="11" t="n">
        <f aca="false">P26+(IF(I26="",J26+INDEX(Simulador!$C$40:$F$40,F26),I26)-J26-INDEX(Simulador!$C$40:$F$40,F26))*Simulador!$C$9-INDEX(Simulador!$C$69:$F$69,F26)+IF(Simulador!$N$7="Sí",MAX(0,IF(I26="",J26+INDEX(Simulador!$C$40:$F$40,F26),I26)-INDEX(Simulador!$C$41:$F$41,F26))*(INDEX(Simulador!$C$68:$F$68,F26)+Simulador!$N$8)/Simulador!$C$7,0)</f>
        <v>86711.9464864865</v>
      </c>
      <c r="U26" s="2"/>
    </row>
    <row r="27" customFormat="false" ht="15" hidden="false" customHeight="false" outlineLevel="0" collapsed="false">
      <c r="B27" s="44" t="n">
        <v>45370</v>
      </c>
      <c r="C27" s="21" t="s">
        <v>510</v>
      </c>
      <c r="D27" s="45" t="n">
        <v>0.04</v>
      </c>
      <c r="E27" s="21" t="s">
        <v>498</v>
      </c>
      <c r="F27" s="26" t="n">
        <f aca="false">MATCH(E27,{"Misma locación","0.15 - 5 km","5 - 10 km","10+ km"},0)</f>
        <v>1</v>
      </c>
      <c r="G27" s="26" t="n">
        <f aca="false">MONTH(B27)</f>
        <v>3</v>
      </c>
      <c r="H27" s="26" t="n">
        <f aca="false">COUNTIF($G$8:G27,G27)</f>
        <v>5</v>
      </c>
      <c r="I27" s="45" t="n">
        <v>52.75</v>
      </c>
      <c r="J27" s="46" t="n">
        <f aca="false">INDEX(Simulador!$C$39:$F$39,F27)</f>
        <v>12</v>
      </c>
      <c r="K27" s="47" t="n">
        <f aca="false">IF(I27="","",I27-J27)</f>
        <v>40.75</v>
      </c>
      <c r="L27" s="12" t="n">
        <f aca="false">INDEX(Simulador!$C$51:$F$51,F27)</f>
        <v>76047.4054054054</v>
      </c>
      <c r="M27" s="11" t="n">
        <f aca="false">IF(H27&gt;=Simulador!$C$19,INDEX(Simulador!$C$63:$F$63,F27),INDEX(Simulador!$C$62:$F$62,F27))</f>
        <v>55414.0110810811</v>
      </c>
      <c r="N27" s="11" t="n">
        <f aca="false">INDEX(Simulador!$C$64:$F$64,F27)</f>
        <v>65678.4554054054</v>
      </c>
      <c r="O27" s="11" t="n">
        <f aca="false">IF(H27&gt;=Simulador!$C$19,INDEX(Simulador!$C$65:$F$65,F27),INDEX(Simulador!$C$64:$F$64,F27))</f>
        <v>65678.4554054054</v>
      </c>
      <c r="P27" s="11" t="n">
        <f aca="false">IF(H27&gt;=Simulador!$C$19,INDEX(Simulador!$C$67:$F$67,F27),INDEX(Simulador!$C$66:$F$66,F27))</f>
        <v>55372.8113513514</v>
      </c>
      <c r="Q27" s="11" t="n">
        <f aca="false">M27+(IF(I27="",J27+INDEX(Simulador!$C$40:$F$40,F27),I27)-J27-INDEX(Simulador!$C$40:$F$40,F27))*Simulador!$C$9-INDEX(Simulador!$C$69:$F$69,F27)+IF(Simulador!$N$7="Sí",MAX(0,IF(I27="",J27+INDEX(Simulador!$C$40:$F$40,F27),I27)-INDEX(Simulador!$C$41:$F$41,F27))*(INDEX(Simulador!$C$68:$F$68,F27)+Simulador!$N$8)/Simulador!$C$7,0)</f>
        <v>170050.369189189</v>
      </c>
      <c r="R27" s="11" t="n">
        <f aca="false">N27+(IF(I27="",J27+INDEX(Simulador!$C$40:$F$40,F27),I27)-J27-INDEX(Simulador!$C$40:$F$40,F27))*Simulador!$C$9-INDEX(Simulador!$C$69:$F$69,F27)+IF(Simulador!$N$7="Sí",MAX(0,IF(I27="",J27+INDEX(Simulador!$C$40:$F$40,F27),I27)-INDEX(Simulador!$C$41:$F$41,F27))*(INDEX(Simulador!$C$68:$F$68,F27)+Simulador!$N$8)/Simulador!$C$7,0)</f>
        <v>180314.813513514</v>
      </c>
      <c r="S27" s="11" t="n">
        <f aca="false">O27+(IF(I27="",J27+INDEX(Simulador!$C$40:$F$40,F27),I27)-J27-INDEX(Simulador!$C$40:$F$40,F27))*Simulador!$C$9-INDEX(Simulador!$C$69:$F$69,F27)+IF(Simulador!$N$7="Sí",MAX(0,IF(I27="",J27+INDEX(Simulador!$C$40:$F$40,F27),I27)-INDEX(Simulador!$C$41:$F$41,F27))*(INDEX(Simulador!$C$68:$F$68,F27)+Simulador!$N$8)/Simulador!$C$7,0)</f>
        <v>180314.813513514</v>
      </c>
      <c r="T27" s="11" t="n">
        <f aca="false">P27+(IF(I27="",J27+INDEX(Simulador!$C$40:$F$40,F27),I27)-J27-INDEX(Simulador!$C$40:$F$40,F27))*Simulador!$C$9-INDEX(Simulador!$C$69:$F$69,F27)+IF(Simulador!$N$7="Sí",MAX(0,IF(I27="",J27+INDEX(Simulador!$C$40:$F$40,F27),I27)-INDEX(Simulador!$C$41:$F$41,F27))*(INDEX(Simulador!$C$68:$F$68,F27)+Simulador!$N$8)/Simulador!$C$7,0)</f>
        <v>170009.169459459</v>
      </c>
      <c r="U27" s="2"/>
    </row>
    <row r="28" customFormat="false" ht="15" hidden="false" customHeight="false" outlineLevel="0" collapsed="false">
      <c r="B28" s="44" t="n">
        <v>45375</v>
      </c>
      <c r="C28" s="21" t="s">
        <v>511</v>
      </c>
      <c r="D28" s="45" t="n">
        <v>6.5</v>
      </c>
      <c r="E28" s="21" t="s">
        <v>496</v>
      </c>
      <c r="F28" s="26" t="n">
        <f aca="false">MATCH(E28,{"Misma locación","0.15 - 5 km","5 - 10 km","10+ km"},0)</f>
        <v>3</v>
      </c>
      <c r="G28" s="26" t="n">
        <f aca="false">MONTH(B28)</f>
        <v>3</v>
      </c>
      <c r="H28" s="26" t="n">
        <f aca="false">COUNTIF($G$8:G28,G28)</f>
        <v>6</v>
      </c>
      <c r="I28" s="45" t="n">
        <v>21.75</v>
      </c>
      <c r="J28" s="46" t="n">
        <f aca="false">INDEX(Simulador!$C$39:$F$39,F28)</f>
        <v>24</v>
      </c>
      <c r="K28" s="47" t="n">
        <f aca="false">IF(I28="","",I28-J28)</f>
        <v>-2.25</v>
      </c>
      <c r="L28" s="12" t="n">
        <f aca="false">INDEX(Simulador!$C$51:$F$51,F28)</f>
        <v>96184.8108108108</v>
      </c>
      <c r="M28" s="11" t="n">
        <f aca="false">IF(H28&gt;=Simulador!$C$19,INDEX(Simulador!$C$63:$F$63,F28),INDEX(Simulador!$C$62:$F$62,F28))</f>
        <v>67168.7294594595</v>
      </c>
      <c r="N28" s="11" t="n">
        <f aca="false">INDEX(Simulador!$C$64:$F$64,F28)</f>
        <v>135930.452432432</v>
      </c>
      <c r="O28" s="11" t="n">
        <f aca="false">IF(H28&gt;=Simulador!$C$19,INDEX(Simulador!$C$65:$F$65,F28),INDEX(Simulador!$C$64:$F$64,F28))</f>
        <v>85437.2262162162</v>
      </c>
      <c r="P28" s="11" t="n">
        <f aca="false">IF(H28&gt;=Simulador!$C$19,INDEX(Simulador!$C$67:$F$67,F28),INDEX(Simulador!$C$66:$F$66,F28))</f>
        <v>72512.9189189189</v>
      </c>
      <c r="Q28" s="11" t="n">
        <f aca="false">M28+(IF(I28="",J28+INDEX(Simulador!$C$40:$F$40,F28),I28)-J28-INDEX(Simulador!$C$40:$F$40,F28))*Simulador!$C$9-INDEX(Simulador!$C$69:$F$69,F28)+IF(Simulador!$N$7="Sí",MAX(0,IF(I28="",J28+INDEX(Simulador!$C$40:$F$40,F28),I28)-INDEX(Simulador!$C$41:$F$41,F28))*(INDEX(Simulador!$C$68:$F$68,F28)+Simulador!$N$8)/Simulador!$C$7,0)</f>
        <v>63892.7294594595</v>
      </c>
      <c r="R28" s="11" t="n">
        <f aca="false">N28+(IF(I28="",J28+INDEX(Simulador!$C$40:$F$40,F28),I28)-J28-INDEX(Simulador!$C$40:$F$40,F28))*Simulador!$C$9-INDEX(Simulador!$C$69:$F$69,F28)+IF(Simulador!$N$7="Sí",MAX(0,IF(I28="",J28+INDEX(Simulador!$C$40:$F$40,F28),I28)-INDEX(Simulador!$C$41:$F$41,F28))*(INDEX(Simulador!$C$68:$F$68,F28)+Simulador!$N$8)/Simulador!$C$7,0)</f>
        <v>132654.452432432</v>
      </c>
      <c r="S28" s="11" t="n">
        <f aca="false">O28+(IF(I28="",J28+INDEX(Simulador!$C$40:$F$40,F28),I28)-J28-INDEX(Simulador!$C$40:$F$40,F28))*Simulador!$C$9-INDEX(Simulador!$C$69:$F$69,F28)+IF(Simulador!$N$7="Sí",MAX(0,IF(I28="",J28+INDEX(Simulador!$C$40:$F$40,F28),I28)-INDEX(Simulador!$C$41:$F$41,F28))*(INDEX(Simulador!$C$68:$F$68,F28)+Simulador!$N$8)/Simulador!$C$7,0)</f>
        <v>82161.2262162162</v>
      </c>
      <c r="T28" s="11" t="n">
        <f aca="false">P28+(IF(I28="",J28+INDEX(Simulador!$C$40:$F$40,F28),I28)-J28-INDEX(Simulador!$C$40:$F$40,F28))*Simulador!$C$9-INDEX(Simulador!$C$69:$F$69,F28)+IF(Simulador!$N$7="Sí",MAX(0,IF(I28="",J28+INDEX(Simulador!$C$40:$F$40,F28),I28)-INDEX(Simulador!$C$41:$F$41,F28))*(INDEX(Simulador!$C$68:$F$68,F28)+Simulador!$N$8)/Simulador!$C$7,0)</f>
        <v>69236.9189189189</v>
      </c>
      <c r="U28" s="2"/>
    </row>
    <row r="29" customFormat="false" ht="15" hidden="false" customHeight="false" outlineLevel="0" collapsed="false">
      <c r="B29" s="44" t="n">
        <v>45379</v>
      </c>
      <c r="C29" s="21" t="s">
        <v>512</v>
      </c>
      <c r="D29" s="45" t="n">
        <v>0.9</v>
      </c>
      <c r="E29" s="21" t="s">
        <v>485</v>
      </c>
      <c r="F29" s="26" t="n">
        <f aca="false">MATCH(E29,{"Misma locación","0.15 - 5 km","5 - 10 km","10+ km"},0)</f>
        <v>2</v>
      </c>
      <c r="G29" s="26" t="n">
        <f aca="false">MONTH(B29)</f>
        <v>3</v>
      </c>
      <c r="H29" s="26" t="n">
        <f aca="false">COUNTIF($G$8:G29,G29)</f>
        <v>7</v>
      </c>
      <c r="I29" s="45" t="n">
        <v>15.75</v>
      </c>
      <c r="J29" s="46" t="n">
        <f aca="false">INDEX(Simulador!$C$39:$F$39,F29)</f>
        <v>18</v>
      </c>
      <c r="K29" s="47" t="n">
        <f aca="false">IF(I29="","",I29-J29)</f>
        <v>-2.25</v>
      </c>
      <c r="L29" s="12" t="n">
        <f aca="false">INDEX(Simulador!$C$51:$F$51,F29)</f>
        <v>99473.8108108108</v>
      </c>
      <c r="M29" s="11" t="n">
        <f aca="false">IF(H29&gt;=Simulador!$C$19,INDEX(Simulador!$C$63:$F$63,F29),INDEX(Simulador!$C$62:$F$62,F29))</f>
        <v>56053.0113513514</v>
      </c>
      <c r="N29" s="11" t="n">
        <f aca="false">INDEX(Simulador!$C$64:$F$64,F29)</f>
        <v>108447.105405405</v>
      </c>
      <c r="O29" s="11" t="n">
        <f aca="false">IF(H29&gt;=Simulador!$C$19,INDEX(Simulador!$C$65:$F$65,F29),INDEX(Simulador!$C$64:$F$64,F29))</f>
        <v>67327.5527027027</v>
      </c>
      <c r="P29" s="11" t="n">
        <f aca="false">IF(H29&gt;=Simulador!$C$19,INDEX(Simulador!$C$67:$F$67,F29),INDEX(Simulador!$C$66:$F$66,F29))</f>
        <v>59499.8918918919</v>
      </c>
      <c r="Q29" s="11" t="n">
        <f aca="false">M29+(IF(I29="",J29+INDEX(Simulador!$C$40:$F$40,F29),I29)-J29-INDEX(Simulador!$C$40:$F$40,F29))*Simulador!$C$9-INDEX(Simulador!$C$69:$F$69,F29)+IF(Simulador!$N$7="Sí",MAX(0,IF(I29="",J29+INDEX(Simulador!$C$40:$F$40,F29),I29)-INDEX(Simulador!$C$41:$F$41,F29))*(INDEX(Simulador!$C$68:$F$68,F29)+Simulador!$N$8)/Simulador!$C$7,0)</f>
        <v>52777.0113513514</v>
      </c>
      <c r="R29" s="11" t="n">
        <f aca="false">N29+(IF(I29="",J29+INDEX(Simulador!$C$40:$F$40,F29),I29)-J29-INDEX(Simulador!$C$40:$F$40,F29))*Simulador!$C$9-INDEX(Simulador!$C$69:$F$69,F29)+IF(Simulador!$N$7="Sí",MAX(0,IF(I29="",J29+INDEX(Simulador!$C$40:$F$40,F29),I29)-INDEX(Simulador!$C$41:$F$41,F29))*(INDEX(Simulador!$C$68:$F$68,F29)+Simulador!$N$8)/Simulador!$C$7,0)</f>
        <v>105171.105405405</v>
      </c>
      <c r="S29" s="11" t="n">
        <f aca="false">O29+(IF(I29="",J29+INDEX(Simulador!$C$40:$F$40,F29),I29)-J29-INDEX(Simulador!$C$40:$F$40,F29))*Simulador!$C$9-INDEX(Simulador!$C$69:$F$69,F29)+IF(Simulador!$N$7="Sí",MAX(0,IF(I29="",J29+INDEX(Simulador!$C$40:$F$40,F29),I29)-INDEX(Simulador!$C$41:$F$41,F29))*(INDEX(Simulador!$C$68:$F$68,F29)+Simulador!$N$8)/Simulador!$C$7,0)</f>
        <v>64051.5527027027</v>
      </c>
      <c r="T29" s="11" t="n">
        <f aca="false">P29+(IF(I29="",J29+INDEX(Simulador!$C$40:$F$40,F29),I29)-J29-INDEX(Simulador!$C$40:$F$40,F29))*Simulador!$C$9-INDEX(Simulador!$C$69:$F$69,F29)+IF(Simulador!$N$7="Sí",MAX(0,IF(I29="",J29+INDEX(Simulador!$C$40:$F$40,F29),I29)-INDEX(Simulador!$C$41:$F$41,F29))*(INDEX(Simulador!$C$68:$F$68,F29)+Simulador!$N$8)/Simulador!$C$7,0)</f>
        <v>56223.8918918919</v>
      </c>
      <c r="U29" s="2"/>
    </row>
    <row r="30" customFormat="false" ht="15" hidden="false" customHeight="false" outlineLevel="0" collapsed="false">
      <c r="B30" s="44" t="n">
        <v>45383</v>
      </c>
      <c r="C30" s="21" t="s">
        <v>513</v>
      </c>
      <c r="D30" s="45" t="n">
        <v>4.8</v>
      </c>
      <c r="E30" s="21" t="s">
        <v>485</v>
      </c>
      <c r="F30" s="26" t="n">
        <f aca="false">MATCH(E30,{"Misma locación","0.15 - 5 km","5 - 10 km","10+ km"},0)</f>
        <v>2</v>
      </c>
      <c r="G30" s="26" t="n">
        <f aca="false">MONTH(B30)</f>
        <v>4</v>
      </c>
      <c r="H30" s="26" t="n">
        <f aca="false">COUNTIF($G$8:G30,G30)</f>
        <v>1</v>
      </c>
      <c r="I30" s="45" t="n">
        <v>14</v>
      </c>
      <c r="J30" s="46" t="n">
        <f aca="false">INDEX(Simulador!$C$39:$F$39,F30)</f>
        <v>18</v>
      </c>
      <c r="K30" s="47" t="n">
        <f aca="false">IF(I30="","",I30-J30)</f>
        <v>-4</v>
      </c>
      <c r="L30" s="12" t="n">
        <f aca="false">INDEX(Simulador!$C$51:$F$51,F30)</f>
        <v>99473.8108108108</v>
      </c>
      <c r="M30" s="11" t="n">
        <f aca="false">IF(H30&gt;=Simulador!$C$19,INDEX(Simulador!$C$63:$F$63,F30),INDEX(Simulador!$C$62:$F$62,F30))</f>
        <v>85898.0227027027</v>
      </c>
      <c r="N30" s="11" t="n">
        <f aca="false">INDEX(Simulador!$C$64:$F$64,F30)</f>
        <v>108447.105405405</v>
      </c>
      <c r="O30" s="11" t="n">
        <f aca="false">IF(H30&gt;=Simulador!$C$19,INDEX(Simulador!$C$65:$F$65,F30),INDEX(Simulador!$C$64:$F$64,F30))</f>
        <v>108447.105405405</v>
      </c>
      <c r="P30" s="11" t="n">
        <f aca="false">IF(H30&gt;=Simulador!$C$19,INDEX(Simulador!$C$67:$F$67,F30),INDEX(Simulador!$C$66:$F$66,F30))</f>
        <v>82343.9464864865</v>
      </c>
      <c r="Q30" s="11" t="n">
        <f aca="false">M30+(IF(I30="",J30+INDEX(Simulador!$C$40:$F$40,F30),I30)-J30-INDEX(Simulador!$C$40:$F$40,F30))*Simulador!$C$9-INDEX(Simulador!$C$69:$F$69,F30)+IF(Simulador!$N$7="Sí",MAX(0,IF(I30="",J30+INDEX(Simulador!$C$40:$F$40,F30),I30)-INDEX(Simulador!$C$41:$F$41,F30))*(INDEX(Simulador!$C$68:$F$68,F30)+Simulador!$N$8)/Simulador!$C$7,0)</f>
        <v>80074.0227027027</v>
      </c>
      <c r="R30" s="11" t="n">
        <f aca="false">N30+(IF(I30="",J30+INDEX(Simulador!$C$40:$F$40,F30),I30)-J30-INDEX(Simulador!$C$40:$F$40,F30))*Simulador!$C$9-INDEX(Simulador!$C$69:$F$69,F30)+IF(Simulador!$N$7="Sí",MAX(0,IF(I30="",J30+INDEX(Simulador!$C$40:$F$40,F30),I30)-INDEX(Simulador!$C$41:$F$41,F30))*(INDEX(Simulador!$C$68:$F$68,F30)+Simulador!$N$8)/Simulador!$C$7,0)</f>
        <v>102623.105405405</v>
      </c>
      <c r="S30" s="11" t="n">
        <f aca="false">O30+(IF(I30="",J30+INDEX(Simulador!$C$40:$F$40,F30),I30)-J30-INDEX(Simulador!$C$40:$F$40,F30))*Simulador!$C$9-INDEX(Simulador!$C$69:$F$69,F30)+IF(Simulador!$N$7="Sí",MAX(0,IF(I30="",J30+INDEX(Simulador!$C$40:$F$40,F30),I30)-INDEX(Simulador!$C$41:$F$41,F30))*(INDEX(Simulador!$C$68:$F$68,F30)+Simulador!$N$8)/Simulador!$C$7,0)</f>
        <v>102623.105405405</v>
      </c>
      <c r="T30" s="11" t="n">
        <f aca="false">P30+(IF(I30="",J30+INDEX(Simulador!$C$40:$F$40,F30),I30)-J30-INDEX(Simulador!$C$40:$F$40,F30))*Simulador!$C$9-INDEX(Simulador!$C$69:$F$69,F30)+IF(Simulador!$N$7="Sí",MAX(0,IF(I30="",J30+INDEX(Simulador!$C$40:$F$40,F30),I30)-INDEX(Simulador!$C$41:$F$41,F30))*(INDEX(Simulador!$C$68:$F$68,F30)+Simulador!$N$8)/Simulador!$C$7,0)</f>
        <v>76519.9464864865</v>
      </c>
      <c r="U30" s="2"/>
    </row>
    <row r="31" customFormat="false" ht="15" hidden="false" customHeight="false" outlineLevel="0" collapsed="false">
      <c r="B31" s="44" t="n">
        <v>45386</v>
      </c>
      <c r="C31" s="21" t="s">
        <v>514</v>
      </c>
      <c r="D31" s="45" t="n">
        <v>5.1</v>
      </c>
      <c r="E31" s="21" t="s">
        <v>496</v>
      </c>
      <c r="F31" s="26" t="n">
        <f aca="false">MATCH(E31,{"Misma locación","0.15 - 5 km","5 - 10 km","10+ km"},0)</f>
        <v>3</v>
      </c>
      <c r="G31" s="26" t="n">
        <f aca="false">MONTH(B31)</f>
        <v>4</v>
      </c>
      <c r="H31" s="26" t="n">
        <f aca="false">COUNTIF($G$8:G31,G31)</f>
        <v>2</v>
      </c>
      <c r="I31" s="45" t="n">
        <v>13.75</v>
      </c>
      <c r="J31" s="46" t="n">
        <f aca="false">INDEX(Simulador!$C$39:$F$39,F31)</f>
        <v>24</v>
      </c>
      <c r="K31" s="47" t="n">
        <f aca="false">IF(I31="","",I31-J31)</f>
        <v>-10.25</v>
      </c>
      <c r="L31" s="12" t="n">
        <f aca="false">INDEX(Simulador!$C$51:$F$51,F31)</f>
        <v>96184.8108108108</v>
      </c>
      <c r="M31" s="11" t="n">
        <f aca="false">IF(H31&gt;=Simulador!$C$19,INDEX(Simulador!$C$63:$F$63,F31),INDEX(Simulador!$C$62:$F$62,F31))</f>
        <v>99393.4589189189</v>
      </c>
      <c r="N31" s="11" t="n">
        <f aca="false">INDEX(Simulador!$C$64:$F$64,F31)</f>
        <v>135930.452432432</v>
      </c>
      <c r="O31" s="11" t="n">
        <f aca="false">IF(H31&gt;=Simulador!$C$19,INDEX(Simulador!$C$65:$F$65,F31),INDEX(Simulador!$C$64:$F$64,F31))</f>
        <v>135930.452432432</v>
      </c>
      <c r="P31" s="11" t="n">
        <f aca="false">IF(H31&gt;=Simulador!$C$19,INDEX(Simulador!$C$67:$F$67,F31),INDEX(Simulador!$C$66:$F$66,F31))</f>
        <v>102242.108648649</v>
      </c>
      <c r="Q31" s="11" t="n">
        <f aca="false">M31+(IF(I31="",J31+INDEX(Simulador!$C$40:$F$40,F31),I31)-J31-INDEX(Simulador!$C$40:$F$40,F31))*Simulador!$C$9-INDEX(Simulador!$C$69:$F$69,F31)+IF(Simulador!$N$7="Sí",MAX(0,IF(I31="",J31+INDEX(Simulador!$C$40:$F$40,F31),I31)-INDEX(Simulador!$C$41:$F$41,F31))*(INDEX(Simulador!$C$68:$F$68,F31)+Simulador!$N$8)/Simulador!$C$7,0)</f>
        <v>84469.4589189189</v>
      </c>
      <c r="R31" s="11" t="n">
        <f aca="false">N31+(IF(I31="",J31+INDEX(Simulador!$C$40:$F$40,F31),I31)-J31-INDEX(Simulador!$C$40:$F$40,F31))*Simulador!$C$9-INDEX(Simulador!$C$69:$F$69,F31)+IF(Simulador!$N$7="Sí",MAX(0,IF(I31="",J31+INDEX(Simulador!$C$40:$F$40,F31),I31)-INDEX(Simulador!$C$41:$F$41,F31))*(INDEX(Simulador!$C$68:$F$68,F31)+Simulador!$N$8)/Simulador!$C$7,0)</f>
        <v>121006.452432432</v>
      </c>
      <c r="S31" s="11" t="n">
        <f aca="false">O31+(IF(I31="",J31+INDEX(Simulador!$C$40:$F$40,F31),I31)-J31-INDEX(Simulador!$C$40:$F$40,F31))*Simulador!$C$9-INDEX(Simulador!$C$69:$F$69,F31)+IF(Simulador!$N$7="Sí",MAX(0,IF(I31="",J31+INDEX(Simulador!$C$40:$F$40,F31),I31)-INDEX(Simulador!$C$41:$F$41,F31))*(INDEX(Simulador!$C$68:$F$68,F31)+Simulador!$N$8)/Simulador!$C$7,0)</f>
        <v>121006.452432432</v>
      </c>
      <c r="T31" s="11" t="n">
        <f aca="false">P31+(IF(I31="",J31+INDEX(Simulador!$C$40:$F$40,F31),I31)-J31-INDEX(Simulador!$C$40:$F$40,F31))*Simulador!$C$9-INDEX(Simulador!$C$69:$F$69,F31)+IF(Simulador!$N$7="Sí",MAX(0,IF(I31="",J31+INDEX(Simulador!$C$40:$F$40,F31),I31)-INDEX(Simulador!$C$41:$F$41,F31))*(INDEX(Simulador!$C$68:$F$68,F31)+Simulador!$N$8)/Simulador!$C$7,0)</f>
        <v>87318.1086486487</v>
      </c>
      <c r="U31" s="2"/>
    </row>
    <row r="32" customFormat="false" ht="15" hidden="false" customHeight="false" outlineLevel="0" collapsed="false">
      <c r="B32" s="44" t="n">
        <v>45390</v>
      </c>
      <c r="C32" s="21" t="s">
        <v>515</v>
      </c>
      <c r="D32" s="45" t="n">
        <v>5.2</v>
      </c>
      <c r="E32" s="21" t="s">
        <v>496</v>
      </c>
      <c r="F32" s="26" t="n">
        <f aca="false">MATCH(E32,{"Misma locación","0.15 - 5 km","5 - 10 km","10+ km"},0)</f>
        <v>3</v>
      </c>
      <c r="G32" s="26" t="n">
        <f aca="false">MONTH(B32)</f>
        <v>4</v>
      </c>
      <c r="H32" s="26" t="n">
        <f aca="false">COUNTIF($G$8:G32,G32)</f>
        <v>3</v>
      </c>
      <c r="I32" s="45" t="n">
        <v>20.25</v>
      </c>
      <c r="J32" s="46" t="n">
        <f aca="false">INDEX(Simulador!$C$39:$F$39,F32)</f>
        <v>24</v>
      </c>
      <c r="K32" s="47" t="n">
        <f aca="false">IF(I32="","",I32-J32)</f>
        <v>-3.75</v>
      </c>
      <c r="L32" s="12" t="n">
        <f aca="false">INDEX(Simulador!$C$51:$F$51,F32)</f>
        <v>96184.8108108108</v>
      </c>
      <c r="M32" s="11" t="n">
        <f aca="false">IF(H32&gt;=Simulador!$C$19,INDEX(Simulador!$C$63:$F$63,F32),INDEX(Simulador!$C$62:$F$62,F32))</f>
        <v>99393.4589189189</v>
      </c>
      <c r="N32" s="11" t="n">
        <f aca="false">INDEX(Simulador!$C$64:$F$64,F32)</f>
        <v>135930.452432432</v>
      </c>
      <c r="O32" s="11" t="n">
        <f aca="false">IF(H32&gt;=Simulador!$C$19,INDEX(Simulador!$C$65:$F$65,F32),INDEX(Simulador!$C$64:$F$64,F32))</f>
        <v>135930.452432432</v>
      </c>
      <c r="P32" s="11" t="n">
        <f aca="false">IF(H32&gt;=Simulador!$C$19,INDEX(Simulador!$C$67:$F$67,F32),INDEX(Simulador!$C$66:$F$66,F32))</f>
        <v>102242.108648649</v>
      </c>
      <c r="Q32" s="11" t="n">
        <f aca="false">M32+(IF(I32="",J32+INDEX(Simulador!$C$40:$F$40,F32),I32)-J32-INDEX(Simulador!$C$40:$F$40,F32))*Simulador!$C$9-INDEX(Simulador!$C$69:$F$69,F32)+IF(Simulador!$N$7="Sí",MAX(0,IF(I32="",J32+INDEX(Simulador!$C$40:$F$40,F32),I32)-INDEX(Simulador!$C$41:$F$41,F32))*(INDEX(Simulador!$C$68:$F$68,F32)+Simulador!$N$8)/Simulador!$C$7,0)</f>
        <v>93933.4589189189</v>
      </c>
      <c r="R32" s="11" t="n">
        <f aca="false">N32+(IF(I32="",J32+INDEX(Simulador!$C$40:$F$40,F32),I32)-J32-INDEX(Simulador!$C$40:$F$40,F32))*Simulador!$C$9-INDEX(Simulador!$C$69:$F$69,F32)+IF(Simulador!$N$7="Sí",MAX(0,IF(I32="",J32+INDEX(Simulador!$C$40:$F$40,F32),I32)-INDEX(Simulador!$C$41:$F$41,F32))*(INDEX(Simulador!$C$68:$F$68,F32)+Simulador!$N$8)/Simulador!$C$7,0)</f>
        <v>130470.452432432</v>
      </c>
      <c r="S32" s="11" t="n">
        <f aca="false">O32+(IF(I32="",J32+INDEX(Simulador!$C$40:$F$40,F32),I32)-J32-INDEX(Simulador!$C$40:$F$40,F32))*Simulador!$C$9-INDEX(Simulador!$C$69:$F$69,F32)+IF(Simulador!$N$7="Sí",MAX(0,IF(I32="",J32+INDEX(Simulador!$C$40:$F$40,F32),I32)-INDEX(Simulador!$C$41:$F$41,F32))*(INDEX(Simulador!$C$68:$F$68,F32)+Simulador!$N$8)/Simulador!$C$7,0)</f>
        <v>130470.452432432</v>
      </c>
      <c r="T32" s="11" t="n">
        <f aca="false">P32+(IF(I32="",J32+INDEX(Simulador!$C$40:$F$40,F32),I32)-J32-INDEX(Simulador!$C$40:$F$40,F32))*Simulador!$C$9-INDEX(Simulador!$C$69:$F$69,F32)+IF(Simulador!$N$7="Sí",MAX(0,IF(I32="",J32+INDEX(Simulador!$C$40:$F$40,F32),I32)-INDEX(Simulador!$C$41:$F$41,F32))*(INDEX(Simulador!$C$68:$F$68,F32)+Simulador!$N$8)/Simulador!$C$7,0)</f>
        <v>96782.1086486487</v>
      </c>
      <c r="U32" s="2"/>
    </row>
    <row r="33" customFormat="false" ht="15" hidden="false" customHeight="false" outlineLevel="0" collapsed="false">
      <c r="B33" s="44" t="n">
        <v>45393</v>
      </c>
      <c r="C33" s="21" t="s">
        <v>516</v>
      </c>
      <c r="D33" s="45" t="n">
        <v>0.6</v>
      </c>
      <c r="E33" s="21" t="s">
        <v>485</v>
      </c>
      <c r="F33" s="26" t="n">
        <f aca="false">MATCH(E33,{"Misma locación","0.15 - 5 km","5 - 10 km","10+ km"},0)</f>
        <v>2</v>
      </c>
      <c r="G33" s="26" t="n">
        <f aca="false">MONTH(B33)</f>
        <v>4</v>
      </c>
      <c r="H33" s="26" t="n">
        <f aca="false">COUNTIF($G$8:G33,G33)</f>
        <v>4</v>
      </c>
      <c r="I33" s="45" t="n">
        <v>17.25</v>
      </c>
      <c r="J33" s="46" t="n">
        <f aca="false">INDEX(Simulador!$C$39:$F$39,F33)</f>
        <v>18</v>
      </c>
      <c r="K33" s="47" t="n">
        <f aca="false">IF(I33="","",I33-J33)</f>
        <v>-0.75</v>
      </c>
      <c r="L33" s="12" t="n">
        <f aca="false">INDEX(Simulador!$C$51:$F$51,F33)</f>
        <v>99473.8108108108</v>
      </c>
      <c r="M33" s="11" t="n">
        <f aca="false">IF(H33&gt;=Simulador!$C$19,INDEX(Simulador!$C$63:$F$63,F33),INDEX(Simulador!$C$62:$F$62,F33))</f>
        <v>85898.0227027027</v>
      </c>
      <c r="N33" s="11" t="n">
        <f aca="false">INDEX(Simulador!$C$64:$F$64,F33)</f>
        <v>108447.105405405</v>
      </c>
      <c r="O33" s="11" t="n">
        <f aca="false">IF(H33&gt;=Simulador!$C$19,INDEX(Simulador!$C$65:$F$65,F33),INDEX(Simulador!$C$64:$F$64,F33))</f>
        <v>108447.105405405</v>
      </c>
      <c r="P33" s="11" t="n">
        <f aca="false">IF(H33&gt;=Simulador!$C$19,INDEX(Simulador!$C$67:$F$67,F33),INDEX(Simulador!$C$66:$F$66,F33))</f>
        <v>82343.9464864865</v>
      </c>
      <c r="Q33" s="11" t="n">
        <f aca="false">M33+(IF(I33="",J33+INDEX(Simulador!$C$40:$F$40,F33),I33)-J33-INDEX(Simulador!$C$40:$F$40,F33))*Simulador!$C$9-INDEX(Simulador!$C$69:$F$69,F33)+IF(Simulador!$N$7="Sí",MAX(0,IF(I33="",J33+INDEX(Simulador!$C$40:$F$40,F33),I33)-INDEX(Simulador!$C$41:$F$41,F33))*(INDEX(Simulador!$C$68:$F$68,F33)+Simulador!$N$8)/Simulador!$C$7,0)</f>
        <v>84806.0227027027</v>
      </c>
      <c r="R33" s="11" t="n">
        <f aca="false">N33+(IF(I33="",J33+INDEX(Simulador!$C$40:$F$40,F33),I33)-J33-INDEX(Simulador!$C$40:$F$40,F33))*Simulador!$C$9-INDEX(Simulador!$C$69:$F$69,F33)+IF(Simulador!$N$7="Sí",MAX(0,IF(I33="",J33+INDEX(Simulador!$C$40:$F$40,F33),I33)-INDEX(Simulador!$C$41:$F$41,F33))*(INDEX(Simulador!$C$68:$F$68,F33)+Simulador!$N$8)/Simulador!$C$7,0)</f>
        <v>107355.105405405</v>
      </c>
      <c r="S33" s="11" t="n">
        <f aca="false">O33+(IF(I33="",J33+INDEX(Simulador!$C$40:$F$40,F33),I33)-J33-INDEX(Simulador!$C$40:$F$40,F33))*Simulador!$C$9-INDEX(Simulador!$C$69:$F$69,F33)+IF(Simulador!$N$7="Sí",MAX(0,IF(I33="",J33+INDEX(Simulador!$C$40:$F$40,F33),I33)-INDEX(Simulador!$C$41:$F$41,F33))*(INDEX(Simulador!$C$68:$F$68,F33)+Simulador!$N$8)/Simulador!$C$7,0)</f>
        <v>107355.105405405</v>
      </c>
      <c r="T33" s="11" t="n">
        <f aca="false">P33+(IF(I33="",J33+INDEX(Simulador!$C$40:$F$40,F33),I33)-J33-INDEX(Simulador!$C$40:$F$40,F33))*Simulador!$C$9-INDEX(Simulador!$C$69:$F$69,F33)+IF(Simulador!$N$7="Sí",MAX(0,IF(I33="",J33+INDEX(Simulador!$C$40:$F$40,F33),I33)-INDEX(Simulador!$C$41:$F$41,F33))*(INDEX(Simulador!$C$68:$F$68,F33)+Simulador!$N$8)/Simulador!$C$7,0)</f>
        <v>81251.9464864865</v>
      </c>
      <c r="U33" s="2"/>
    </row>
    <row r="34" customFormat="false" ht="15" hidden="false" customHeight="false" outlineLevel="0" collapsed="false">
      <c r="B34" s="44" t="n">
        <v>45401</v>
      </c>
      <c r="C34" s="21" t="s">
        <v>517</v>
      </c>
      <c r="D34" s="45" t="n">
        <v>0.0448055985662208</v>
      </c>
      <c r="E34" s="21" t="s">
        <v>498</v>
      </c>
      <c r="F34" s="26" t="n">
        <f aca="false">MATCH(E34,{"Misma locación","0.15 - 5 km","5 - 10 km","10+ km"},0)</f>
        <v>1</v>
      </c>
      <c r="G34" s="26" t="n">
        <f aca="false">MONTH(B34)</f>
        <v>4</v>
      </c>
      <c r="H34" s="26" t="n">
        <f aca="false">COUNTIF($G$8:G34,G34)</f>
        <v>5</v>
      </c>
      <c r="I34" s="45" t="n">
        <v>14</v>
      </c>
      <c r="J34" s="46" t="n">
        <f aca="false">INDEX(Simulador!$C$39:$F$39,F34)</f>
        <v>12</v>
      </c>
      <c r="K34" s="47" t="n">
        <f aca="false">IF(I34="","",I34-J34)</f>
        <v>2</v>
      </c>
      <c r="L34" s="12" t="n">
        <f aca="false">INDEX(Simulador!$C$51:$F$51,F34)</f>
        <v>76047.4054054054</v>
      </c>
      <c r="M34" s="11" t="n">
        <f aca="false">IF(H34&gt;=Simulador!$C$19,INDEX(Simulador!$C$63:$F$63,F34),INDEX(Simulador!$C$62:$F$62,F34))</f>
        <v>55414.0110810811</v>
      </c>
      <c r="N34" s="11" t="n">
        <f aca="false">INDEX(Simulador!$C$64:$F$64,F34)</f>
        <v>65678.4554054054</v>
      </c>
      <c r="O34" s="11" t="n">
        <f aca="false">IF(H34&gt;=Simulador!$C$19,INDEX(Simulador!$C$65:$F$65,F34),INDEX(Simulador!$C$64:$F$64,F34))</f>
        <v>65678.4554054054</v>
      </c>
      <c r="P34" s="11" t="n">
        <f aca="false">IF(H34&gt;=Simulador!$C$19,INDEX(Simulador!$C$67:$F$67,F34),INDEX(Simulador!$C$66:$F$66,F34))</f>
        <v>55372.8113513514</v>
      </c>
      <c r="Q34" s="11" t="n">
        <f aca="false">M34+(IF(I34="",J34+INDEX(Simulador!$C$40:$F$40,F34),I34)-J34-INDEX(Simulador!$C$40:$F$40,F34))*Simulador!$C$9-INDEX(Simulador!$C$69:$F$69,F34)+IF(Simulador!$N$7="Sí",MAX(0,IF(I34="",J34+INDEX(Simulador!$C$40:$F$40,F34),I34)-INDEX(Simulador!$C$41:$F$41,F34))*(INDEX(Simulador!$C$68:$F$68,F34)+Simulador!$N$8)/Simulador!$C$7,0)</f>
        <v>61040.3354054054</v>
      </c>
      <c r="R34" s="11" t="n">
        <f aca="false">N34+(IF(I34="",J34+INDEX(Simulador!$C$40:$F$40,F34),I34)-J34-INDEX(Simulador!$C$40:$F$40,F34))*Simulador!$C$9-INDEX(Simulador!$C$69:$F$69,F34)+IF(Simulador!$N$7="Sí",MAX(0,IF(I34="",J34+INDEX(Simulador!$C$40:$F$40,F34),I34)-INDEX(Simulador!$C$41:$F$41,F34))*(INDEX(Simulador!$C$68:$F$68,F34)+Simulador!$N$8)/Simulador!$C$7,0)</f>
        <v>71304.7797297297</v>
      </c>
      <c r="S34" s="11" t="n">
        <f aca="false">O34+(IF(I34="",J34+INDEX(Simulador!$C$40:$F$40,F34),I34)-J34-INDEX(Simulador!$C$40:$F$40,F34))*Simulador!$C$9-INDEX(Simulador!$C$69:$F$69,F34)+IF(Simulador!$N$7="Sí",MAX(0,IF(I34="",J34+INDEX(Simulador!$C$40:$F$40,F34),I34)-INDEX(Simulador!$C$41:$F$41,F34))*(INDEX(Simulador!$C$68:$F$68,F34)+Simulador!$N$8)/Simulador!$C$7,0)</f>
        <v>71304.7797297297</v>
      </c>
      <c r="T34" s="11" t="n">
        <f aca="false">P34+(IF(I34="",J34+INDEX(Simulador!$C$40:$F$40,F34),I34)-J34-INDEX(Simulador!$C$40:$F$40,F34))*Simulador!$C$9-INDEX(Simulador!$C$69:$F$69,F34)+IF(Simulador!$N$7="Sí",MAX(0,IF(I34="",J34+INDEX(Simulador!$C$40:$F$40,F34),I34)-INDEX(Simulador!$C$41:$F$41,F34))*(INDEX(Simulador!$C$68:$F$68,F34)+Simulador!$N$8)/Simulador!$C$7,0)</f>
        <v>60999.1356756757</v>
      </c>
      <c r="U34" s="2"/>
    </row>
    <row r="35" customFormat="false" ht="15" hidden="false" customHeight="false" outlineLevel="0" collapsed="false">
      <c r="B35" s="44" t="n">
        <v>45405</v>
      </c>
      <c r="C35" s="21" t="s">
        <v>518</v>
      </c>
      <c r="D35" s="45" t="n">
        <v>4.4</v>
      </c>
      <c r="E35" s="21" t="s">
        <v>485</v>
      </c>
      <c r="F35" s="26" t="n">
        <f aca="false">MATCH(E35,{"Misma locación","0.15 - 5 km","5 - 10 km","10+ km"},0)</f>
        <v>2</v>
      </c>
      <c r="G35" s="26" t="n">
        <f aca="false">MONTH(B35)</f>
        <v>4</v>
      </c>
      <c r="H35" s="26" t="n">
        <f aca="false">COUNTIF($G$8:G35,G35)</f>
        <v>6</v>
      </c>
      <c r="I35" s="45" t="n">
        <v>18.5</v>
      </c>
      <c r="J35" s="46" t="n">
        <f aca="false">INDEX(Simulador!$C$39:$F$39,F35)</f>
        <v>18</v>
      </c>
      <c r="K35" s="47" t="n">
        <f aca="false">IF(I35="","",I35-J35)</f>
        <v>0.5</v>
      </c>
      <c r="L35" s="12" t="n">
        <f aca="false">INDEX(Simulador!$C$51:$F$51,F35)</f>
        <v>99473.8108108108</v>
      </c>
      <c r="M35" s="11" t="n">
        <f aca="false">IF(H35&gt;=Simulador!$C$19,INDEX(Simulador!$C$63:$F$63,F35),INDEX(Simulador!$C$62:$F$62,F35))</f>
        <v>56053.0113513514</v>
      </c>
      <c r="N35" s="11" t="n">
        <f aca="false">INDEX(Simulador!$C$64:$F$64,F35)</f>
        <v>108447.105405405</v>
      </c>
      <c r="O35" s="11" t="n">
        <f aca="false">IF(H35&gt;=Simulador!$C$19,INDEX(Simulador!$C$65:$F$65,F35),INDEX(Simulador!$C$64:$F$64,F35))</f>
        <v>67327.5527027027</v>
      </c>
      <c r="P35" s="11" t="n">
        <f aca="false">IF(H35&gt;=Simulador!$C$19,INDEX(Simulador!$C$67:$F$67,F35),INDEX(Simulador!$C$66:$F$66,F35))</f>
        <v>59499.8918918919</v>
      </c>
      <c r="Q35" s="11" t="n">
        <f aca="false">M35+(IF(I35="",J35+INDEX(Simulador!$C$40:$F$40,F35),I35)-J35-INDEX(Simulador!$C$40:$F$40,F35))*Simulador!$C$9-INDEX(Simulador!$C$69:$F$69,F35)+IF(Simulador!$N$7="Sí",MAX(0,IF(I35="",J35+INDEX(Simulador!$C$40:$F$40,F35),I35)-INDEX(Simulador!$C$41:$F$41,F35))*(INDEX(Simulador!$C$68:$F$68,F35)+Simulador!$N$8)/Simulador!$C$7,0)</f>
        <v>56781.0113513514</v>
      </c>
      <c r="R35" s="11" t="n">
        <f aca="false">N35+(IF(I35="",J35+INDEX(Simulador!$C$40:$F$40,F35),I35)-J35-INDEX(Simulador!$C$40:$F$40,F35))*Simulador!$C$9-INDEX(Simulador!$C$69:$F$69,F35)+IF(Simulador!$N$7="Sí",MAX(0,IF(I35="",J35+INDEX(Simulador!$C$40:$F$40,F35),I35)-INDEX(Simulador!$C$41:$F$41,F35))*(INDEX(Simulador!$C$68:$F$68,F35)+Simulador!$N$8)/Simulador!$C$7,0)</f>
        <v>109175.105405405</v>
      </c>
      <c r="S35" s="11" t="n">
        <f aca="false">O35+(IF(I35="",J35+INDEX(Simulador!$C$40:$F$40,F35),I35)-J35-INDEX(Simulador!$C$40:$F$40,F35))*Simulador!$C$9-INDEX(Simulador!$C$69:$F$69,F35)+IF(Simulador!$N$7="Sí",MAX(0,IF(I35="",J35+INDEX(Simulador!$C$40:$F$40,F35),I35)-INDEX(Simulador!$C$41:$F$41,F35))*(INDEX(Simulador!$C$68:$F$68,F35)+Simulador!$N$8)/Simulador!$C$7,0)</f>
        <v>68055.5527027027</v>
      </c>
      <c r="T35" s="11" t="n">
        <f aca="false">P35+(IF(I35="",J35+INDEX(Simulador!$C$40:$F$40,F35),I35)-J35-INDEX(Simulador!$C$40:$F$40,F35))*Simulador!$C$9-INDEX(Simulador!$C$69:$F$69,F35)+IF(Simulador!$N$7="Sí",MAX(0,IF(I35="",J35+INDEX(Simulador!$C$40:$F$40,F35),I35)-INDEX(Simulador!$C$41:$F$41,F35))*(INDEX(Simulador!$C$68:$F$68,F35)+Simulador!$N$8)/Simulador!$C$7,0)</f>
        <v>60227.8918918919</v>
      </c>
      <c r="U35" s="2"/>
    </row>
    <row r="36" customFormat="false" ht="15" hidden="false" customHeight="false" outlineLevel="0" collapsed="false">
      <c r="B36" s="44" t="n">
        <v>45412</v>
      </c>
      <c r="C36" s="21" t="s">
        <v>519</v>
      </c>
      <c r="D36" s="45" t="n">
        <v>5.1</v>
      </c>
      <c r="E36" s="21" t="s">
        <v>496</v>
      </c>
      <c r="F36" s="26" t="n">
        <f aca="false">MATCH(E36,{"Misma locación","0.15 - 5 km","5 - 10 km","10+ km"},0)</f>
        <v>3</v>
      </c>
      <c r="G36" s="26" t="n">
        <f aca="false">MONTH(B36)</f>
        <v>4</v>
      </c>
      <c r="H36" s="26" t="n">
        <f aca="false">COUNTIF($G$8:G36,G36)</f>
        <v>7</v>
      </c>
      <c r="I36" s="45" t="n">
        <v>17</v>
      </c>
      <c r="J36" s="46" t="n">
        <f aca="false">INDEX(Simulador!$C$39:$F$39,F36)</f>
        <v>24</v>
      </c>
      <c r="K36" s="47" t="n">
        <f aca="false">IF(I36="","",I36-J36)</f>
        <v>-7</v>
      </c>
      <c r="L36" s="12" t="n">
        <f aca="false">INDEX(Simulador!$C$51:$F$51,F36)</f>
        <v>96184.8108108108</v>
      </c>
      <c r="M36" s="11" t="n">
        <f aca="false">IF(H36&gt;=Simulador!$C$19,INDEX(Simulador!$C$63:$F$63,F36),INDEX(Simulador!$C$62:$F$62,F36))</f>
        <v>67168.7294594595</v>
      </c>
      <c r="N36" s="11" t="n">
        <f aca="false">INDEX(Simulador!$C$64:$F$64,F36)</f>
        <v>135930.452432432</v>
      </c>
      <c r="O36" s="11" t="n">
        <f aca="false">IF(H36&gt;=Simulador!$C$19,INDEX(Simulador!$C$65:$F$65,F36),INDEX(Simulador!$C$64:$F$64,F36))</f>
        <v>85437.2262162162</v>
      </c>
      <c r="P36" s="11" t="n">
        <f aca="false">IF(H36&gt;=Simulador!$C$19,INDEX(Simulador!$C$67:$F$67,F36),INDEX(Simulador!$C$66:$F$66,F36))</f>
        <v>72512.9189189189</v>
      </c>
      <c r="Q36" s="11" t="n">
        <f aca="false">M36+(IF(I36="",J36+INDEX(Simulador!$C$40:$F$40,F36),I36)-J36-INDEX(Simulador!$C$40:$F$40,F36))*Simulador!$C$9-INDEX(Simulador!$C$69:$F$69,F36)+IF(Simulador!$N$7="Sí",MAX(0,IF(I36="",J36+INDEX(Simulador!$C$40:$F$40,F36),I36)-INDEX(Simulador!$C$41:$F$41,F36))*(INDEX(Simulador!$C$68:$F$68,F36)+Simulador!$N$8)/Simulador!$C$7,0)</f>
        <v>56976.7294594595</v>
      </c>
      <c r="R36" s="11" t="n">
        <f aca="false">N36+(IF(I36="",J36+INDEX(Simulador!$C$40:$F$40,F36),I36)-J36-INDEX(Simulador!$C$40:$F$40,F36))*Simulador!$C$9-INDEX(Simulador!$C$69:$F$69,F36)+IF(Simulador!$N$7="Sí",MAX(0,IF(I36="",J36+INDEX(Simulador!$C$40:$F$40,F36),I36)-INDEX(Simulador!$C$41:$F$41,F36))*(INDEX(Simulador!$C$68:$F$68,F36)+Simulador!$N$8)/Simulador!$C$7,0)</f>
        <v>125738.452432432</v>
      </c>
      <c r="S36" s="11" t="n">
        <f aca="false">O36+(IF(I36="",J36+INDEX(Simulador!$C$40:$F$40,F36),I36)-J36-INDEX(Simulador!$C$40:$F$40,F36))*Simulador!$C$9-INDEX(Simulador!$C$69:$F$69,F36)+IF(Simulador!$N$7="Sí",MAX(0,IF(I36="",J36+INDEX(Simulador!$C$40:$F$40,F36),I36)-INDEX(Simulador!$C$41:$F$41,F36))*(INDEX(Simulador!$C$68:$F$68,F36)+Simulador!$N$8)/Simulador!$C$7,0)</f>
        <v>75245.2262162162</v>
      </c>
      <c r="T36" s="11" t="n">
        <f aca="false">P36+(IF(I36="",J36+INDEX(Simulador!$C$40:$F$40,F36),I36)-J36-INDEX(Simulador!$C$40:$F$40,F36))*Simulador!$C$9-INDEX(Simulador!$C$69:$F$69,F36)+IF(Simulador!$N$7="Sí",MAX(0,IF(I36="",J36+INDEX(Simulador!$C$40:$F$40,F36),I36)-INDEX(Simulador!$C$41:$F$41,F36))*(INDEX(Simulador!$C$68:$F$68,F36)+Simulador!$N$8)/Simulador!$C$7,0)</f>
        <v>62320.9189189189</v>
      </c>
      <c r="U36" s="2"/>
    </row>
    <row r="37" customFormat="false" ht="15" hidden="false" customHeight="false" outlineLevel="0" collapsed="false">
      <c r="B37" s="44" t="n">
        <v>45416</v>
      </c>
      <c r="C37" s="21" t="s">
        <v>520</v>
      </c>
      <c r="D37" s="45" t="n">
        <v>0.7</v>
      </c>
      <c r="E37" s="21" t="s">
        <v>485</v>
      </c>
      <c r="F37" s="26" t="n">
        <f aca="false">MATCH(E37,{"Misma locación","0.15 - 5 km","5 - 10 km","10+ km"},0)</f>
        <v>2</v>
      </c>
      <c r="G37" s="26" t="n">
        <f aca="false">MONTH(B37)</f>
        <v>5</v>
      </c>
      <c r="H37" s="26" t="n">
        <f aca="false">COUNTIF($G$8:G37,G37)</f>
        <v>1</v>
      </c>
      <c r="I37" s="45" t="n">
        <v>11.5</v>
      </c>
      <c r="J37" s="46" t="n">
        <f aca="false">INDEX(Simulador!$C$39:$F$39,F37)</f>
        <v>18</v>
      </c>
      <c r="K37" s="47" t="n">
        <f aca="false">IF(I37="","",I37-J37)</f>
        <v>-6.5</v>
      </c>
      <c r="L37" s="12" t="n">
        <f aca="false">INDEX(Simulador!$C$51:$F$51,F37)</f>
        <v>99473.8108108108</v>
      </c>
      <c r="M37" s="11" t="n">
        <f aca="false">IF(H37&gt;=Simulador!$C$19,INDEX(Simulador!$C$63:$F$63,F37),INDEX(Simulador!$C$62:$F$62,F37))</f>
        <v>85898.0227027027</v>
      </c>
      <c r="N37" s="11" t="n">
        <f aca="false">INDEX(Simulador!$C$64:$F$64,F37)</f>
        <v>108447.105405405</v>
      </c>
      <c r="O37" s="11" t="n">
        <f aca="false">IF(H37&gt;=Simulador!$C$19,INDEX(Simulador!$C$65:$F$65,F37),INDEX(Simulador!$C$64:$F$64,F37))</f>
        <v>108447.105405405</v>
      </c>
      <c r="P37" s="11" t="n">
        <f aca="false">IF(H37&gt;=Simulador!$C$19,INDEX(Simulador!$C$67:$F$67,F37),INDEX(Simulador!$C$66:$F$66,F37))</f>
        <v>82343.9464864865</v>
      </c>
      <c r="Q37" s="11" t="n">
        <f aca="false">M37+(IF(I37="",J37+INDEX(Simulador!$C$40:$F$40,F37),I37)-J37-INDEX(Simulador!$C$40:$F$40,F37))*Simulador!$C$9-INDEX(Simulador!$C$69:$F$69,F37)+IF(Simulador!$N$7="Sí",MAX(0,IF(I37="",J37+INDEX(Simulador!$C$40:$F$40,F37),I37)-INDEX(Simulador!$C$41:$F$41,F37))*(INDEX(Simulador!$C$68:$F$68,F37)+Simulador!$N$8)/Simulador!$C$7,0)</f>
        <v>76434.0227027027</v>
      </c>
      <c r="R37" s="11" t="n">
        <f aca="false">N37+(IF(I37="",J37+INDEX(Simulador!$C$40:$F$40,F37),I37)-J37-INDEX(Simulador!$C$40:$F$40,F37))*Simulador!$C$9-INDEX(Simulador!$C$69:$F$69,F37)+IF(Simulador!$N$7="Sí",MAX(0,IF(I37="",J37+INDEX(Simulador!$C$40:$F$40,F37),I37)-INDEX(Simulador!$C$41:$F$41,F37))*(INDEX(Simulador!$C$68:$F$68,F37)+Simulador!$N$8)/Simulador!$C$7,0)</f>
        <v>98983.1054054054</v>
      </c>
      <c r="S37" s="11" t="n">
        <f aca="false">O37+(IF(I37="",J37+INDEX(Simulador!$C$40:$F$40,F37),I37)-J37-INDEX(Simulador!$C$40:$F$40,F37))*Simulador!$C$9-INDEX(Simulador!$C$69:$F$69,F37)+IF(Simulador!$N$7="Sí",MAX(0,IF(I37="",J37+INDEX(Simulador!$C$40:$F$40,F37),I37)-INDEX(Simulador!$C$41:$F$41,F37))*(INDEX(Simulador!$C$68:$F$68,F37)+Simulador!$N$8)/Simulador!$C$7,0)</f>
        <v>98983.1054054054</v>
      </c>
      <c r="T37" s="11" t="n">
        <f aca="false">P37+(IF(I37="",J37+INDEX(Simulador!$C$40:$F$40,F37),I37)-J37-INDEX(Simulador!$C$40:$F$40,F37))*Simulador!$C$9-INDEX(Simulador!$C$69:$F$69,F37)+IF(Simulador!$N$7="Sí",MAX(0,IF(I37="",J37+INDEX(Simulador!$C$40:$F$40,F37),I37)-INDEX(Simulador!$C$41:$F$41,F37))*(INDEX(Simulador!$C$68:$F$68,F37)+Simulador!$N$8)/Simulador!$C$7,0)</f>
        <v>72879.9464864865</v>
      </c>
      <c r="U37" s="2"/>
    </row>
    <row r="38" customFormat="false" ht="15" hidden="false" customHeight="false" outlineLevel="0" collapsed="false">
      <c r="B38" s="44" t="n">
        <v>45420</v>
      </c>
      <c r="C38" s="21" t="s">
        <v>521</v>
      </c>
      <c r="D38" s="45" t="n">
        <v>0.03</v>
      </c>
      <c r="E38" s="21" t="s">
        <v>498</v>
      </c>
      <c r="F38" s="26" t="n">
        <f aca="false">MATCH(E38,{"Misma locación","0.15 - 5 km","5 - 10 km","10+ km"},0)</f>
        <v>1</v>
      </c>
      <c r="G38" s="26" t="n">
        <f aca="false">MONTH(B38)</f>
        <v>5</v>
      </c>
      <c r="H38" s="26" t="n">
        <f aca="false">COUNTIF($G$8:G38,G38)</f>
        <v>2</v>
      </c>
      <c r="I38" s="45" t="n">
        <v>17.5</v>
      </c>
      <c r="J38" s="46" t="n">
        <f aca="false">INDEX(Simulador!$C$39:$F$39,F38)</f>
        <v>12</v>
      </c>
      <c r="K38" s="47" t="n">
        <f aca="false">IF(I38="","",I38-J38)</f>
        <v>5.5</v>
      </c>
      <c r="L38" s="12" t="n">
        <f aca="false">INDEX(Simulador!$C$51:$F$51,F38)</f>
        <v>76047.4054054054</v>
      </c>
      <c r="M38" s="11" t="n">
        <f aca="false">IF(H38&gt;=Simulador!$C$19,INDEX(Simulador!$C$63:$F$63,F38),INDEX(Simulador!$C$62:$F$62,F38))</f>
        <v>55414.0110810811</v>
      </c>
      <c r="N38" s="11" t="n">
        <f aca="false">INDEX(Simulador!$C$64:$F$64,F38)</f>
        <v>65678.4554054054</v>
      </c>
      <c r="O38" s="11" t="n">
        <f aca="false">IF(H38&gt;=Simulador!$C$19,INDEX(Simulador!$C$65:$F$65,F38),INDEX(Simulador!$C$64:$F$64,F38))</f>
        <v>65678.4554054054</v>
      </c>
      <c r="P38" s="11" t="n">
        <f aca="false">IF(H38&gt;=Simulador!$C$19,INDEX(Simulador!$C$67:$F$67,F38),INDEX(Simulador!$C$66:$F$66,F38))</f>
        <v>55372.8113513514</v>
      </c>
      <c r="Q38" s="11" t="n">
        <f aca="false">M38+(IF(I38="",J38+INDEX(Simulador!$C$40:$F$40,F38),I38)-J38-INDEX(Simulador!$C$40:$F$40,F38))*Simulador!$C$9-INDEX(Simulador!$C$69:$F$69,F38)+IF(Simulador!$N$7="Sí",MAX(0,IF(I38="",J38+INDEX(Simulador!$C$40:$F$40,F38),I38)-INDEX(Simulador!$C$41:$F$41,F38))*(INDEX(Simulador!$C$68:$F$68,F38)+Simulador!$N$8)/Simulador!$C$7,0)</f>
        <v>70886.402972973</v>
      </c>
      <c r="R38" s="11" t="n">
        <f aca="false">N38+(IF(I38="",J38+INDEX(Simulador!$C$40:$F$40,F38),I38)-J38-INDEX(Simulador!$C$40:$F$40,F38))*Simulador!$C$9-INDEX(Simulador!$C$69:$F$69,F38)+IF(Simulador!$N$7="Sí",MAX(0,IF(I38="",J38+INDEX(Simulador!$C$40:$F$40,F38),I38)-INDEX(Simulador!$C$41:$F$41,F38))*(INDEX(Simulador!$C$68:$F$68,F38)+Simulador!$N$8)/Simulador!$C$7,0)</f>
        <v>81150.8472972973</v>
      </c>
      <c r="S38" s="11" t="n">
        <f aca="false">O38+(IF(I38="",J38+INDEX(Simulador!$C$40:$F$40,F38),I38)-J38-INDEX(Simulador!$C$40:$F$40,F38))*Simulador!$C$9-INDEX(Simulador!$C$69:$F$69,F38)+IF(Simulador!$N$7="Sí",MAX(0,IF(I38="",J38+INDEX(Simulador!$C$40:$F$40,F38),I38)-INDEX(Simulador!$C$41:$F$41,F38))*(INDEX(Simulador!$C$68:$F$68,F38)+Simulador!$N$8)/Simulador!$C$7,0)</f>
        <v>81150.8472972973</v>
      </c>
      <c r="T38" s="11" t="n">
        <f aca="false">P38+(IF(I38="",J38+INDEX(Simulador!$C$40:$F$40,F38),I38)-J38-INDEX(Simulador!$C$40:$F$40,F38))*Simulador!$C$9-INDEX(Simulador!$C$69:$F$69,F38)+IF(Simulador!$N$7="Sí",MAX(0,IF(I38="",J38+INDEX(Simulador!$C$40:$F$40,F38),I38)-INDEX(Simulador!$C$41:$F$41,F38))*(INDEX(Simulador!$C$68:$F$68,F38)+Simulador!$N$8)/Simulador!$C$7,0)</f>
        <v>70845.2032432433</v>
      </c>
      <c r="U38" s="2"/>
    </row>
    <row r="39" customFormat="false" ht="15" hidden="false" customHeight="false" outlineLevel="0" collapsed="false">
      <c r="B39" s="44" t="n">
        <v>45423</v>
      </c>
      <c r="C39" s="21" t="s">
        <v>522</v>
      </c>
      <c r="D39" s="45" t="n">
        <v>1.3</v>
      </c>
      <c r="E39" s="21" t="s">
        <v>485</v>
      </c>
      <c r="F39" s="26" t="n">
        <f aca="false">MATCH(E39,{"Misma locación","0.15 - 5 km","5 - 10 km","10+ km"},0)</f>
        <v>2</v>
      </c>
      <c r="G39" s="26" t="n">
        <f aca="false">MONTH(B39)</f>
        <v>5</v>
      </c>
      <c r="H39" s="26" t="n">
        <f aca="false">COUNTIF($G$8:G39,G39)</f>
        <v>3</v>
      </c>
      <c r="I39" s="45" t="n">
        <v>11</v>
      </c>
      <c r="J39" s="46" t="n">
        <f aca="false">INDEX(Simulador!$C$39:$F$39,F39)</f>
        <v>18</v>
      </c>
      <c r="K39" s="47" t="n">
        <f aca="false">IF(I39="","",I39-J39)</f>
        <v>-7</v>
      </c>
      <c r="L39" s="12" t="n">
        <f aca="false">INDEX(Simulador!$C$51:$F$51,F39)</f>
        <v>99473.8108108108</v>
      </c>
      <c r="M39" s="11" t="n">
        <f aca="false">IF(H39&gt;=Simulador!$C$19,INDEX(Simulador!$C$63:$F$63,F39),INDEX(Simulador!$C$62:$F$62,F39))</f>
        <v>85898.0227027027</v>
      </c>
      <c r="N39" s="11" t="n">
        <f aca="false">INDEX(Simulador!$C$64:$F$64,F39)</f>
        <v>108447.105405405</v>
      </c>
      <c r="O39" s="11" t="n">
        <f aca="false">IF(H39&gt;=Simulador!$C$19,INDEX(Simulador!$C$65:$F$65,F39),INDEX(Simulador!$C$64:$F$64,F39))</f>
        <v>108447.105405405</v>
      </c>
      <c r="P39" s="11" t="n">
        <f aca="false">IF(H39&gt;=Simulador!$C$19,INDEX(Simulador!$C$67:$F$67,F39),INDEX(Simulador!$C$66:$F$66,F39))</f>
        <v>82343.9464864865</v>
      </c>
      <c r="Q39" s="11" t="n">
        <f aca="false">M39+(IF(I39="",J39+INDEX(Simulador!$C$40:$F$40,F39),I39)-J39-INDEX(Simulador!$C$40:$F$40,F39))*Simulador!$C$9-INDEX(Simulador!$C$69:$F$69,F39)+IF(Simulador!$N$7="Sí",MAX(0,IF(I39="",J39+INDEX(Simulador!$C$40:$F$40,F39),I39)-INDEX(Simulador!$C$41:$F$41,F39))*(INDEX(Simulador!$C$68:$F$68,F39)+Simulador!$N$8)/Simulador!$C$7,0)</f>
        <v>75706.0227027027</v>
      </c>
      <c r="R39" s="11" t="n">
        <f aca="false">N39+(IF(I39="",J39+INDEX(Simulador!$C$40:$F$40,F39),I39)-J39-INDEX(Simulador!$C$40:$F$40,F39))*Simulador!$C$9-INDEX(Simulador!$C$69:$F$69,F39)+IF(Simulador!$N$7="Sí",MAX(0,IF(I39="",J39+INDEX(Simulador!$C$40:$F$40,F39),I39)-INDEX(Simulador!$C$41:$F$41,F39))*(INDEX(Simulador!$C$68:$F$68,F39)+Simulador!$N$8)/Simulador!$C$7,0)</f>
        <v>98255.1054054054</v>
      </c>
      <c r="S39" s="11" t="n">
        <f aca="false">O39+(IF(I39="",J39+INDEX(Simulador!$C$40:$F$40,F39),I39)-J39-INDEX(Simulador!$C$40:$F$40,F39))*Simulador!$C$9-INDEX(Simulador!$C$69:$F$69,F39)+IF(Simulador!$N$7="Sí",MAX(0,IF(I39="",J39+INDEX(Simulador!$C$40:$F$40,F39),I39)-INDEX(Simulador!$C$41:$F$41,F39))*(INDEX(Simulador!$C$68:$F$68,F39)+Simulador!$N$8)/Simulador!$C$7,0)</f>
        <v>98255.1054054054</v>
      </c>
      <c r="T39" s="11" t="n">
        <f aca="false">P39+(IF(I39="",J39+INDEX(Simulador!$C$40:$F$40,F39),I39)-J39-INDEX(Simulador!$C$40:$F$40,F39))*Simulador!$C$9-INDEX(Simulador!$C$69:$F$69,F39)+IF(Simulador!$N$7="Sí",MAX(0,IF(I39="",J39+INDEX(Simulador!$C$40:$F$40,F39),I39)-INDEX(Simulador!$C$41:$F$41,F39))*(INDEX(Simulador!$C$68:$F$68,F39)+Simulador!$N$8)/Simulador!$C$7,0)</f>
        <v>72151.9464864865</v>
      </c>
      <c r="U39" s="2"/>
    </row>
    <row r="40" customFormat="false" ht="15" hidden="false" customHeight="false" outlineLevel="0" collapsed="false">
      <c r="B40" s="44" t="n">
        <v>45427</v>
      </c>
      <c r="C40" s="21" t="s">
        <v>523</v>
      </c>
      <c r="D40" s="45" t="n">
        <v>0.0384047987710464</v>
      </c>
      <c r="E40" s="21" t="s">
        <v>498</v>
      </c>
      <c r="F40" s="26" t="n">
        <f aca="false">MATCH(E40,{"Misma locación","0.15 - 5 km","5 - 10 km","10+ km"},0)</f>
        <v>1</v>
      </c>
      <c r="G40" s="26" t="n">
        <f aca="false">MONTH(B40)</f>
        <v>5</v>
      </c>
      <c r="H40" s="26" t="n">
        <f aca="false">COUNTIF($G$8:G40,G40)</f>
        <v>4</v>
      </c>
      <c r="I40" s="45" t="n">
        <v>18.75</v>
      </c>
      <c r="J40" s="46" t="n">
        <f aca="false">INDEX(Simulador!$C$39:$F$39,F40)</f>
        <v>12</v>
      </c>
      <c r="K40" s="47" t="n">
        <f aca="false">IF(I40="","",I40-J40)</f>
        <v>6.75</v>
      </c>
      <c r="L40" s="12" t="n">
        <f aca="false">INDEX(Simulador!$C$51:$F$51,F40)</f>
        <v>76047.4054054054</v>
      </c>
      <c r="M40" s="11" t="n">
        <f aca="false">IF(H40&gt;=Simulador!$C$19,INDEX(Simulador!$C$63:$F$63,F40),INDEX(Simulador!$C$62:$F$62,F40))</f>
        <v>55414.0110810811</v>
      </c>
      <c r="N40" s="11" t="n">
        <f aca="false">INDEX(Simulador!$C$64:$F$64,F40)</f>
        <v>65678.4554054054</v>
      </c>
      <c r="O40" s="11" t="n">
        <f aca="false">IF(H40&gt;=Simulador!$C$19,INDEX(Simulador!$C$65:$F$65,F40),INDEX(Simulador!$C$64:$F$64,F40))</f>
        <v>65678.4554054054</v>
      </c>
      <c r="P40" s="11" t="n">
        <f aca="false">IF(H40&gt;=Simulador!$C$19,INDEX(Simulador!$C$67:$F$67,F40),INDEX(Simulador!$C$66:$F$66,F40))</f>
        <v>55372.8113513514</v>
      </c>
      <c r="Q40" s="11" t="n">
        <f aca="false">M40+(IF(I40="",J40+INDEX(Simulador!$C$40:$F$40,F40),I40)-J40-INDEX(Simulador!$C$40:$F$40,F40))*Simulador!$C$9-INDEX(Simulador!$C$69:$F$69,F40)+IF(Simulador!$N$7="Sí",MAX(0,IF(I40="",J40+INDEX(Simulador!$C$40:$F$40,F40),I40)-INDEX(Simulador!$C$41:$F$41,F40))*(INDEX(Simulador!$C$68:$F$68,F40)+Simulador!$N$8)/Simulador!$C$7,0)</f>
        <v>74402.8556756757</v>
      </c>
      <c r="R40" s="11" t="n">
        <f aca="false">N40+(IF(I40="",J40+INDEX(Simulador!$C$40:$F$40,F40),I40)-J40-INDEX(Simulador!$C$40:$F$40,F40))*Simulador!$C$9-INDEX(Simulador!$C$69:$F$69,F40)+IF(Simulador!$N$7="Sí",MAX(0,IF(I40="",J40+INDEX(Simulador!$C$40:$F$40,F40),I40)-INDEX(Simulador!$C$41:$F$41,F40))*(INDEX(Simulador!$C$68:$F$68,F40)+Simulador!$N$8)/Simulador!$C$7,0)</f>
        <v>84667.3</v>
      </c>
      <c r="S40" s="11" t="n">
        <f aca="false">O40+(IF(I40="",J40+INDEX(Simulador!$C$40:$F$40,F40),I40)-J40-INDEX(Simulador!$C$40:$F$40,F40))*Simulador!$C$9-INDEX(Simulador!$C$69:$F$69,F40)+IF(Simulador!$N$7="Sí",MAX(0,IF(I40="",J40+INDEX(Simulador!$C$40:$F$40,F40),I40)-INDEX(Simulador!$C$41:$F$41,F40))*(INDEX(Simulador!$C$68:$F$68,F40)+Simulador!$N$8)/Simulador!$C$7,0)</f>
        <v>84667.3</v>
      </c>
      <c r="T40" s="11" t="n">
        <f aca="false">P40+(IF(I40="",J40+INDEX(Simulador!$C$40:$F$40,F40),I40)-J40-INDEX(Simulador!$C$40:$F$40,F40))*Simulador!$C$9-INDEX(Simulador!$C$69:$F$69,F40)+IF(Simulador!$N$7="Sí",MAX(0,IF(I40="",J40+INDEX(Simulador!$C$40:$F$40,F40),I40)-INDEX(Simulador!$C$41:$F$41,F40))*(INDEX(Simulador!$C$68:$F$68,F40)+Simulador!$N$8)/Simulador!$C$7,0)</f>
        <v>74361.655945946</v>
      </c>
      <c r="U40" s="2"/>
    </row>
    <row r="41" customFormat="false" ht="15" hidden="false" customHeight="false" outlineLevel="0" collapsed="false">
      <c r="B41" s="44" t="n">
        <v>45433</v>
      </c>
      <c r="C41" s="21" t="s">
        <v>524</v>
      </c>
      <c r="D41" s="45" t="n">
        <v>6.3</v>
      </c>
      <c r="E41" s="21" t="s">
        <v>496</v>
      </c>
      <c r="F41" s="26" t="n">
        <f aca="false">MATCH(E41,{"Misma locación","0.15 - 5 km","5 - 10 km","10+ km"},0)</f>
        <v>3</v>
      </c>
      <c r="G41" s="26" t="n">
        <f aca="false">MONTH(B41)</f>
        <v>5</v>
      </c>
      <c r="H41" s="26" t="n">
        <f aca="false">COUNTIF($G$8:G41,G41)</f>
        <v>5</v>
      </c>
      <c r="I41" s="45" t="n">
        <v>11.5</v>
      </c>
      <c r="J41" s="46" t="n">
        <f aca="false">INDEX(Simulador!$C$39:$F$39,F41)</f>
        <v>24</v>
      </c>
      <c r="K41" s="47" t="n">
        <f aca="false">IF(I41="","",I41-J41)</f>
        <v>-12.5</v>
      </c>
      <c r="L41" s="12" t="n">
        <f aca="false">INDEX(Simulador!$C$51:$F$51,F41)</f>
        <v>96184.8108108108</v>
      </c>
      <c r="M41" s="11" t="n">
        <f aca="false">IF(H41&gt;=Simulador!$C$19,INDEX(Simulador!$C$63:$F$63,F41),INDEX(Simulador!$C$62:$F$62,F41))</f>
        <v>99393.4589189189</v>
      </c>
      <c r="N41" s="11" t="n">
        <f aca="false">INDEX(Simulador!$C$64:$F$64,F41)</f>
        <v>135930.452432432</v>
      </c>
      <c r="O41" s="11" t="n">
        <f aca="false">IF(H41&gt;=Simulador!$C$19,INDEX(Simulador!$C$65:$F$65,F41),INDEX(Simulador!$C$64:$F$64,F41))</f>
        <v>135930.452432432</v>
      </c>
      <c r="P41" s="11" t="n">
        <f aca="false">IF(H41&gt;=Simulador!$C$19,INDEX(Simulador!$C$67:$F$67,F41),INDEX(Simulador!$C$66:$F$66,F41))</f>
        <v>102242.108648649</v>
      </c>
      <c r="Q41" s="11" t="n">
        <f aca="false">M41+(IF(I41="",J41+INDEX(Simulador!$C$40:$F$40,F41),I41)-J41-INDEX(Simulador!$C$40:$F$40,F41))*Simulador!$C$9-INDEX(Simulador!$C$69:$F$69,F41)+IF(Simulador!$N$7="Sí",MAX(0,IF(I41="",J41+INDEX(Simulador!$C$40:$F$40,F41),I41)-INDEX(Simulador!$C$41:$F$41,F41))*(INDEX(Simulador!$C$68:$F$68,F41)+Simulador!$N$8)/Simulador!$C$7,0)</f>
        <v>81193.4589189189</v>
      </c>
      <c r="R41" s="11" t="n">
        <f aca="false">N41+(IF(I41="",J41+INDEX(Simulador!$C$40:$F$40,F41),I41)-J41-INDEX(Simulador!$C$40:$F$40,F41))*Simulador!$C$9-INDEX(Simulador!$C$69:$F$69,F41)+IF(Simulador!$N$7="Sí",MAX(0,IF(I41="",J41+INDEX(Simulador!$C$40:$F$40,F41),I41)-INDEX(Simulador!$C$41:$F$41,F41))*(INDEX(Simulador!$C$68:$F$68,F41)+Simulador!$N$8)/Simulador!$C$7,0)</f>
        <v>117730.452432432</v>
      </c>
      <c r="S41" s="11" t="n">
        <f aca="false">O41+(IF(I41="",J41+INDEX(Simulador!$C$40:$F$40,F41),I41)-J41-INDEX(Simulador!$C$40:$F$40,F41))*Simulador!$C$9-INDEX(Simulador!$C$69:$F$69,F41)+IF(Simulador!$N$7="Sí",MAX(0,IF(I41="",J41+INDEX(Simulador!$C$40:$F$40,F41),I41)-INDEX(Simulador!$C$41:$F$41,F41))*(INDEX(Simulador!$C$68:$F$68,F41)+Simulador!$N$8)/Simulador!$C$7,0)</f>
        <v>117730.452432432</v>
      </c>
      <c r="T41" s="11" t="n">
        <f aca="false">P41+(IF(I41="",J41+INDEX(Simulador!$C$40:$F$40,F41),I41)-J41-INDEX(Simulador!$C$40:$F$40,F41))*Simulador!$C$9-INDEX(Simulador!$C$69:$F$69,F41)+IF(Simulador!$N$7="Sí",MAX(0,IF(I41="",J41+INDEX(Simulador!$C$40:$F$40,F41),I41)-INDEX(Simulador!$C$41:$F$41,F41))*(INDEX(Simulador!$C$68:$F$68,F41)+Simulador!$N$8)/Simulador!$C$7,0)</f>
        <v>84042.1086486487</v>
      </c>
      <c r="U41" s="2"/>
    </row>
    <row r="42" customFormat="false" ht="15" hidden="false" customHeight="false" outlineLevel="0" collapsed="false">
      <c r="B42" s="44" t="n">
        <v>45437</v>
      </c>
      <c r="C42" s="21" t="s">
        <v>525</v>
      </c>
      <c r="D42" s="45" t="n">
        <v>0.00640079979517441</v>
      </c>
      <c r="E42" s="21" t="s">
        <v>498</v>
      </c>
      <c r="F42" s="26" t="n">
        <f aca="false">MATCH(E42,{"Misma locación","0.15 - 5 km","5 - 10 km","10+ km"},0)</f>
        <v>1</v>
      </c>
      <c r="G42" s="26" t="n">
        <f aca="false">MONTH(B42)</f>
        <v>5</v>
      </c>
      <c r="H42" s="26" t="n">
        <f aca="false">COUNTIF($G$8:G42,G42)</f>
        <v>6</v>
      </c>
      <c r="I42" s="45" t="n">
        <v>12</v>
      </c>
      <c r="J42" s="46" t="n">
        <f aca="false">INDEX(Simulador!$C$39:$F$39,F42)</f>
        <v>12</v>
      </c>
      <c r="K42" s="47" t="n">
        <f aca="false">IF(I42="","",I42-J42)</f>
        <v>0</v>
      </c>
      <c r="L42" s="12" t="n">
        <f aca="false">INDEX(Simulador!$C$51:$F$51,F42)</f>
        <v>76047.4054054054</v>
      </c>
      <c r="M42" s="11" t="n">
        <f aca="false">IF(H42&gt;=Simulador!$C$19,INDEX(Simulador!$C$63:$F$63,F42),INDEX(Simulador!$C$62:$F$62,F42))</f>
        <v>36443.0055405405</v>
      </c>
      <c r="N42" s="11" t="n">
        <f aca="false">INDEX(Simulador!$C$64:$F$64,F42)</f>
        <v>65678.4554054054</v>
      </c>
      <c r="O42" s="11" t="n">
        <f aca="false">IF(H42&gt;=Simulador!$C$19,INDEX(Simulador!$C$65:$F$65,F42),INDEX(Simulador!$C$64:$F$64,F42))</f>
        <v>41575.2277027027</v>
      </c>
      <c r="P42" s="11" t="n">
        <f aca="false">IF(H42&gt;=Simulador!$C$19,INDEX(Simulador!$C$67:$F$67,F42),INDEX(Simulador!$C$66:$F$66,F42))</f>
        <v>50763.8918918919</v>
      </c>
      <c r="Q42" s="11" t="n">
        <f aca="false">M42+(IF(I42="",J42+INDEX(Simulador!$C$40:$F$40,F42),I42)-J42-INDEX(Simulador!$C$40:$F$40,F42))*Simulador!$C$9-INDEX(Simulador!$C$69:$F$69,F42)+IF(Simulador!$N$7="Sí",MAX(0,IF(I42="",J42+INDEX(Simulador!$C$40:$F$40,F42),I42)-INDEX(Simulador!$C$41:$F$41,F42))*(INDEX(Simulador!$C$68:$F$68,F42)+Simulador!$N$8)/Simulador!$C$7,0)</f>
        <v>36443.0055405405</v>
      </c>
      <c r="R42" s="11" t="n">
        <f aca="false">N42+(IF(I42="",J42+INDEX(Simulador!$C$40:$F$40,F42),I42)-J42-INDEX(Simulador!$C$40:$F$40,F42))*Simulador!$C$9-INDEX(Simulador!$C$69:$F$69,F42)+IF(Simulador!$N$7="Sí",MAX(0,IF(I42="",J42+INDEX(Simulador!$C$40:$F$40,F42),I42)-INDEX(Simulador!$C$41:$F$41,F42))*(INDEX(Simulador!$C$68:$F$68,F42)+Simulador!$N$8)/Simulador!$C$7,0)</f>
        <v>65678.4554054054</v>
      </c>
      <c r="S42" s="11" t="n">
        <f aca="false">O42+(IF(I42="",J42+INDEX(Simulador!$C$40:$F$40,F42),I42)-J42-INDEX(Simulador!$C$40:$F$40,F42))*Simulador!$C$9-INDEX(Simulador!$C$69:$F$69,F42)+IF(Simulador!$N$7="Sí",MAX(0,IF(I42="",J42+INDEX(Simulador!$C$40:$F$40,F42),I42)-INDEX(Simulador!$C$41:$F$41,F42))*(INDEX(Simulador!$C$68:$F$68,F42)+Simulador!$N$8)/Simulador!$C$7,0)</f>
        <v>41575.2277027027</v>
      </c>
      <c r="T42" s="11" t="n">
        <f aca="false">P42+(IF(I42="",J42+INDEX(Simulador!$C$40:$F$40,F42),I42)-J42-INDEX(Simulador!$C$40:$F$40,F42))*Simulador!$C$9-INDEX(Simulador!$C$69:$F$69,F42)+IF(Simulador!$N$7="Sí",MAX(0,IF(I42="",J42+INDEX(Simulador!$C$40:$F$40,F42),I42)-INDEX(Simulador!$C$41:$F$41,F42))*(INDEX(Simulador!$C$68:$F$68,F42)+Simulador!$N$8)/Simulador!$C$7,0)</f>
        <v>50763.8918918919</v>
      </c>
      <c r="U42" s="2"/>
    </row>
    <row r="43" customFormat="false" ht="15" hidden="false" customHeight="false" outlineLevel="0" collapsed="false">
      <c r="B43" s="44" t="n">
        <v>45441</v>
      </c>
      <c r="C43" s="21" t="s">
        <v>526</v>
      </c>
      <c r="D43" s="45" t="n">
        <v>4.9</v>
      </c>
      <c r="E43" s="21" t="s">
        <v>485</v>
      </c>
      <c r="F43" s="26" t="n">
        <f aca="false">MATCH(E43,{"Misma locación","0.15 - 5 km","5 - 10 km","10+ km"},0)</f>
        <v>2</v>
      </c>
      <c r="G43" s="26" t="n">
        <f aca="false">MONTH(B43)</f>
        <v>5</v>
      </c>
      <c r="H43" s="26" t="n">
        <f aca="false">COUNTIF($G$8:G43,G43)</f>
        <v>7</v>
      </c>
      <c r="I43" s="45" t="n">
        <v>15.5</v>
      </c>
      <c r="J43" s="46" t="n">
        <f aca="false">INDEX(Simulador!$C$39:$F$39,F43)</f>
        <v>18</v>
      </c>
      <c r="K43" s="47" t="n">
        <f aca="false">IF(I43="","",I43-J43)</f>
        <v>-2.5</v>
      </c>
      <c r="L43" s="12" t="n">
        <f aca="false">INDEX(Simulador!$C$51:$F$51,F43)</f>
        <v>99473.8108108108</v>
      </c>
      <c r="M43" s="11" t="n">
        <f aca="false">IF(H43&gt;=Simulador!$C$19,INDEX(Simulador!$C$63:$F$63,F43),INDEX(Simulador!$C$62:$F$62,F43))</f>
        <v>56053.0113513514</v>
      </c>
      <c r="N43" s="11" t="n">
        <f aca="false">INDEX(Simulador!$C$64:$F$64,F43)</f>
        <v>108447.105405405</v>
      </c>
      <c r="O43" s="11" t="n">
        <f aca="false">IF(H43&gt;=Simulador!$C$19,INDEX(Simulador!$C$65:$F$65,F43),INDEX(Simulador!$C$64:$F$64,F43))</f>
        <v>67327.5527027027</v>
      </c>
      <c r="P43" s="11" t="n">
        <f aca="false">IF(H43&gt;=Simulador!$C$19,INDEX(Simulador!$C$67:$F$67,F43),INDEX(Simulador!$C$66:$F$66,F43))</f>
        <v>59499.8918918919</v>
      </c>
      <c r="Q43" s="11" t="n">
        <f aca="false">M43+(IF(I43="",J43+INDEX(Simulador!$C$40:$F$40,F43),I43)-J43-INDEX(Simulador!$C$40:$F$40,F43))*Simulador!$C$9-INDEX(Simulador!$C$69:$F$69,F43)+IF(Simulador!$N$7="Sí",MAX(0,IF(I43="",J43+INDEX(Simulador!$C$40:$F$40,F43),I43)-INDEX(Simulador!$C$41:$F$41,F43))*(INDEX(Simulador!$C$68:$F$68,F43)+Simulador!$N$8)/Simulador!$C$7,0)</f>
        <v>52413.0113513514</v>
      </c>
      <c r="R43" s="11" t="n">
        <f aca="false">N43+(IF(I43="",J43+INDEX(Simulador!$C$40:$F$40,F43),I43)-J43-INDEX(Simulador!$C$40:$F$40,F43))*Simulador!$C$9-INDEX(Simulador!$C$69:$F$69,F43)+IF(Simulador!$N$7="Sí",MAX(0,IF(I43="",J43+INDEX(Simulador!$C$40:$F$40,F43),I43)-INDEX(Simulador!$C$41:$F$41,F43))*(INDEX(Simulador!$C$68:$F$68,F43)+Simulador!$N$8)/Simulador!$C$7,0)</f>
        <v>104807.105405405</v>
      </c>
      <c r="S43" s="11" t="n">
        <f aca="false">O43+(IF(I43="",J43+INDEX(Simulador!$C$40:$F$40,F43),I43)-J43-INDEX(Simulador!$C$40:$F$40,F43))*Simulador!$C$9-INDEX(Simulador!$C$69:$F$69,F43)+IF(Simulador!$N$7="Sí",MAX(0,IF(I43="",J43+INDEX(Simulador!$C$40:$F$40,F43),I43)-INDEX(Simulador!$C$41:$F$41,F43))*(INDEX(Simulador!$C$68:$F$68,F43)+Simulador!$N$8)/Simulador!$C$7,0)</f>
        <v>63687.5527027027</v>
      </c>
      <c r="T43" s="11" t="n">
        <f aca="false">P43+(IF(I43="",J43+INDEX(Simulador!$C$40:$F$40,F43),I43)-J43-INDEX(Simulador!$C$40:$F$40,F43))*Simulador!$C$9-INDEX(Simulador!$C$69:$F$69,F43)+IF(Simulador!$N$7="Sí",MAX(0,IF(I43="",J43+INDEX(Simulador!$C$40:$F$40,F43),I43)-INDEX(Simulador!$C$41:$F$41,F43))*(INDEX(Simulador!$C$68:$F$68,F43)+Simulador!$N$8)/Simulador!$C$7,0)</f>
        <v>55859.8918918919</v>
      </c>
      <c r="U43" s="2"/>
    </row>
    <row r="44" customFormat="false" ht="15" hidden="false" customHeight="false" outlineLevel="0" collapsed="false">
      <c r="B44" s="44" t="n">
        <v>45444</v>
      </c>
      <c r="C44" s="21" t="s">
        <v>527</v>
      </c>
      <c r="D44" s="45" t="n">
        <v>4.5</v>
      </c>
      <c r="E44" s="21" t="s">
        <v>485</v>
      </c>
      <c r="F44" s="26" t="n">
        <f aca="false">MATCH(E44,{"Misma locación","0.15 - 5 km","5 - 10 km","10+ km"},0)</f>
        <v>2</v>
      </c>
      <c r="G44" s="26" t="n">
        <f aca="false">MONTH(B44)</f>
        <v>6</v>
      </c>
      <c r="H44" s="26" t="n">
        <f aca="false">COUNTIF($G$8:G44,G44)</f>
        <v>1</v>
      </c>
      <c r="I44" s="45" t="n">
        <v>19.75</v>
      </c>
      <c r="J44" s="46" t="n">
        <f aca="false">INDEX(Simulador!$C$39:$F$39,F44)</f>
        <v>18</v>
      </c>
      <c r="K44" s="47" t="n">
        <f aca="false">IF(I44="","",I44-J44)</f>
        <v>1.75</v>
      </c>
      <c r="L44" s="12" t="n">
        <f aca="false">INDEX(Simulador!$C$51:$F$51,F44)</f>
        <v>99473.8108108108</v>
      </c>
      <c r="M44" s="11" t="n">
        <f aca="false">IF(H44&gt;=Simulador!$C$19,INDEX(Simulador!$C$63:$F$63,F44),INDEX(Simulador!$C$62:$F$62,F44))</f>
        <v>85898.0227027027</v>
      </c>
      <c r="N44" s="11" t="n">
        <f aca="false">INDEX(Simulador!$C$64:$F$64,F44)</f>
        <v>108447.105405405</v>
      </c>
      <c r="O44" s="11" t="n">
        <f aca="false">IF(H44&gt;=Simulador!$C$19,INDEX(Simulador!$C$65:$F$65,F44),INDEX(Simulador!$C$64:$F$64,F44))</f>
        <v>108447.105405405</v>
      </c>
      <c r="P44" s="11" t="n">
        <f aca="false">IF(H44&gt;=Simulador!$C$19,INDEX(Simulador!$C$67:$F$67,F44),INDEX(Simulador!$C$66:$F$66,F44))</f>
        <v>82343.9464864865</v>
      </c>
      <c r="Q44" s="11" t="n">
        <f aca="false">M44+(IF(I44="",J44+INDEX(Simulador!$C$40:$F$40,F44),I44)-J44-INDEX(Simulador!$C$40:$F$40,F44))*Simulador!$C$9-INDEX(Simulador!$C$69:$F$69,F44)+IF(Simulador!$N$7="Sí",MAX(0,IF(I44="",J44+INDEX(Simulador!$C$40:$F$40,F44),I44)-INDEX(Simulador!$C$41:$F$41,F44))*(INDEX(Simulador!$C$68:$F$68,F44)+Simulador!$N$8)/Simulador!$C$7,0)</f>
        <v>88446.0227027027</v>
      </c>
      <c r="R44" s="11" t="n">
        <f aca="false">N44+(IF(I44="",J44+INDEX(Simulador!$C$40:$F$40,F44),I44)-J44-INDEX(Simulador!$C$40:$F$40,F44))*Simulador!$C$9-INDEX(Simulador!$C$69:$F$69,F44)+IF(Simulador!$N$7="Sí",MAX(0,IF(I44="",J44+INDEX(Simulador!$C$40:$F$40,F44),I44)-INDEX(Simulador!$C$41:$F$41,F44))*(INDEX(Simulador!$C$68:$F$68,F44)+Simulador!$N$8)/Simulador!$C$7,0)</f>
        <v>110995.105405405</v>
      </c>
      <c r="S44" s="11" t="n">
        <f aca="false">O44+(IF(I44="",J44+INDEX(Simulador!$C$40:$F$40,F44),I44)-J44-INDEX(Simulador!$C$40:$F$40,F44))*Simulador!$C$9-INDEX(Simulador!$C$69:$F$69,F44)+IF(Simulador!$N$7="Sí",MAX(0,IF(I44="",J44+INDEX(Simulador!$C$40:$F$40,F44),I44)-INDEX(Simulador!$C$41:$F$41,F44))*(INDEX(Simulador!$C$68:$F$68,F44)+Simulador!$N$8)/Simulador!$C$7,0)</f>
        <v>110995.105405405</v>
      </c>
      <c r="T44" s="11" t="n">
        <f aca="false">P44+(IF(I44="",J44+INDEX(Simulador!$C$40:$F$40,F44),I44)-J44-INDEX(Simulador!$C$40:$F$40,F44))*Simulador!$C$9-INDEX(Simulador!$C$69:$F$69,F44)+IF(Simulador!$N$7="Sí",MAX(0,IF(I44="",J44+INDEX(Simulador!$C$40:$F$40,F44),I44)-INDEX(Simulador!$C$41:$F$41,F44))*(INDEX(Simulador!$C$68:$F$68,F44)+Simulador!$N$8)/Simulador!$C$7,0)</f>
        <v>84891.9464864865</v>
      </c>
      <c r="U44" s="2"/>
    </row>
    <row r="45" customFormat="false" ht="15" hidden="false" customHeight="false" outlineLevel="0" collapsed="false">
      <c r="B45" s="44" t="n">
        <v>45448</v>
      </c>
      <c r="C45" s="21" t="s">
        <v>528</v>
      </c>
      <c r="D45" s="45" t="n">
        <v>0.0609599980492801</v>
      </c>
      <c r="E45" s="21" t="s">
        <v>498</v>
      </c>
      <c r="F45" s="26" t="n">
        <f aca="false">MATCH(E45,{"Misma locación","0.15 - 5 km","5 - 10 km","10+ km"},0)</f>
        <v>1</v>
      </c>
      <c r="G45" s="26" t="n">
        <f aca="false">MONTH(B45)</f>
        <v>6</v>
      </c>
      <c r="H45" s="26" t="n">
        <f aca="false">COUNTIF($G$8:G45,G45)</f>
        <v>2</v>
      </c>
      <c r="I45" s="45" t="n">
        <v>12.5</v>
      </c>
      <c r="J45" s="46" t="n">
        <f aca="false">INDEX(Simulador!$C$39:$F$39,F45)</f>
        <v>12</v>
      </c>
      <c r="K45" s="47" t="n">
        <f aca="false">IF(I45="","",I45-J45)</f>
        <v>0.5</v>
      </c>
      <c r="L45" s="12" t="n">
        <f aca="false">INDEX(Simulador!$C$51:$F$51,F45)</f>
        <v>76047.4054054054</v>
      </c>
      <c r="M45" s="11" t="n">
        <f aca="false">IF(H45&gt;=Simulador!$C$19,INDEX(Simulador!$C$63:$F$63,F45),INDEX(Simulador!$C$62:$F$62,F45))</f>
        <v>55414.0110810811</v>
      </c>
      <c r="N45" s="11" t="n">
        <f aca="false">INDEX(Simulador!$C$64:$F$64,F45)</f>
        <v>65678.4554054054</v>
      </c>
      <c r="O45" s="11" t="n">
        <f aca="false">IF(H45&gt;=Simulador!$C$19,INDEX(Simulador!$C$65:$F$65,F45),INDEX(Simulador!$C$64:$F$64,F45))</f>
        <v>65678.4554054054</v>
      </c>
      <c r="P45" s="11" t="n">
        <f aca="false">IF(H45&gt;=Simulador!$C$19,INDEX(Simulador!$C$67:$F$67,F45),INDEX(Simulador!$C$66:$F$66,F45))</f>
        <v>55372.8113513514</v>
      </c>
      <c r="Q45" s="11" t="n">
        <f aca="false">M45+(IF(I45="",J45+INDEX(Simulador!$C$40:$F$40,F45),I45)-J45-INDEX(Simulador!$C$40:$F$40,F45))*Simulador!$C$9-INDEX(Simulador!$C$69:$F$69,F45)+IF(Simulador!$N$7="Sí",MAX(0,IF(I45="",J45+INDEX(Simulador!$C$40:$F$40,F45),I45)-INDEX(Simulador!$C$41:$F$41,F45))*(INDEX(Simulador!$C$68:$F$68,F45)+Simulador!$N$8)/Simulador!$C$7,0)</f>
        <v>56820.5921621622</v>
      </c>
      <c r="R45" s="11" t="n">
        <f aca="false">N45+(IF(I45="",J45+INDEX(Simulador!$C$40:$F$40,F45),I45)-J45-INDEX(Simulador!$C$40:$F$40,F45))*Simulador!$C$9-INDEX(Simulador!$C$69:$F$69,F45)+IF(Simulador!$N$7="Sí",MAX(0,IF(I45="",J45+INDEX(Simulador!$C$40:$F$40,F45),I45)-INDEX(Simulador!$C$41:$F$41,F45))*(INDEX(Simulador!$C$68:$F$68,F45)+Simulador!$N$8)/Simulador!$C$7,0)</f>
        <v>67085.0364864865</v>
      </c>
      <c r="S45" s="11" t="n">
        <f aca="false">O45+(IF(I45="",J45+INDEX(Simulador!$C$40:$F$40,F45),I45)-J45-INDEX(Simulador!$C$40:$F$40,F45))*Simulador!$C$9-INDEX(Simulador!$C$69:$F$69,F45)+IF(Simulador!$N$7="Sí",MAX(0,IF(I45="",J45+INDEX(Simulador!$C$40:$F$40,F45),I45)-INDEX(Simulador!$C$41:$F$41,F45))*(INDEX(Simulador!$C$68:$F$68,F45)+Simulador!$N$8)/Simulador!$C$7,0)</f>
        <v>67085.0364864865</v>
      </c>
      <c r="T45" s="11" t="n">
        <f aca="false">P45+(IF(I45="",J45+INDEX(Simulador!$C$40:$F$40,F45),I45)-J45-INDEX(Simulador!$C$40:$F$40,F45))*Simulador!$C$9-INDEX(Simulador!$C$69:$F$69,F45)+IF(Simulador!$N$7="Sí",MAX(0,IF(I45="",J45+INDEX(Simulador!$C$40:$F$40,F45),I45)-INDEX(Simulador!$C$41:$F$41,F45))*(INDEX(Simulador!$C$68:$F$68,F45)+Simulador!$N$8)/Simulador!$C$7,0)</f>
        <v>56779.3924324324</v>
      </c>
      <c r="U45" s="2"/>
    </row>
    <row r="46" customFormat="false" ht="15" hidden="false" customHeight="false" outlineLevel="0" collapsed="false">
      <c r="B46" s="44" t="n">
        <v>45451</v>
      </c>
      <c r="C46" s="21" t="s">
        <v>529</v>
      </c>
      <c r="D46" s="45" t="n">
        <v>0.0609599980492801</v>
      </c>
      <c r="E46" s="21" t="s">
        <v>498</v>
      </c>
      <c r="F46" s="26" t="n">
        <f aca="false">MATCH(E46,{"Misma locación","0.15 - 5 km","5 - 10 km","10+ km"},0)</f>
        <v>1</v>
      </c>
      <c r="G46" s="26" t="n">
        <f aca="false">MONTH(B46)</f>
        <v>6</v>
      </c>
      <c r="H46" s="26" t="n">
        <f aca="false">COUNTIF($G$8:G46,G46)</f>
        <v>3</v>
      </c>
      <c r="I46" s="45" t="n">
        <v>11.25</v>
      </c>
      <c r="J46" s="46" t="n">
        <f aca="false">INDEX(Simulador!$C$39:$F$39,F46)</f>
        <v>12</v>
      </c>
      <c r="K46" s="47" t="n">
        <f aca="false">IF(I46="","",I46-J46)</f>
        <v>-0.75</v>
      </c>
      <c r="L46" s="12" t="n">
        <f aca="false">INDEX(Simulador!$C$51:$F$51,F46)</f>
        <v>76047.4054054054</v>
      </c>
      <c r="M46" s="11" t="n">
        <f aca="false">IF(H46&gt;=Simulador!$C$19,INDEX(Simulador!$C$63:$F$63,F46),INDEX(Simulador!$C$62:$F$62,F46))</f>
        <v>55414.0110810811</v>
      </c>
      <c r="N46" s="11" t="n">
        <f aca="false">INDEX(Simulador!$C$64:$F$64,F46)</f>
        <v>65678.4554054054</v>
      </c>
      <c r="O46" s="11" t="n">
        <f aca="false">IF(H46&gt;=Simulador!$C$19,INDEX(Simulador!$C$65:$F$65,F46),INDEX(Simulador!$C$64:$F$64,F46))</f>
        <v>65678.4554054054</v>
      </c>
      <c r="P46" s="11" t="n">
        <f aca="false">IF(H46&gt;=Simulador!$C$19,INDEX(Simulador!$C$67:$F$67,F46),INDEX(Simulador!$C$66:$F$66,F46))</f>
        <v>55372.8113513514</v>
      </c>
      <c r="Q46" s="11" t="n">
        <f aca="false">M46+(IF(I46="",J46+INDEX(Simulador!$C$40:$F$40,F46),I46)-J46-INDEX(Simulador!$C$40:$F$40,F46))*Simulador!$C$9-INDEX(Simulador!$C$69:$F$69,F46)+IF(Simulador!$N$7="Sí",MAX(0,IF(I46="",J46+INDEX(Simulador!$C$40:$F$40,F46),I46)-INDEX(Simulador!$C$41:$F$41,F46))*(INDEX(Simulador!$C$68:$F$68,F46)+Simulador!$N$8)/Simulador!$C$7,0)</f>
        <v>54322.0110810811</v>
      </c>
      <c r="R46" s="11" t="n">
        <f aca="false">N46+(IF(I46="",J46+INDEX(Simulador!$C$40:$F$40,F46),I46)-J46-INDEX(Simulador!$C$40:$F$40,F46))*Simulador!$C$9-INDEX(Simulador!$C$69:$F$69,F46)+IF(Simulador!$N$7="Sí",MAX(0,IF(I46="",J46+INDEX(Simulador!$C$40:$F$40,F46),I46)-INDEX(Simulador!$C$41:$F$41,F46))*(INDEX(Simulador!$C$68:$F$68,F46)+Simulador!$N$8)/Simulador!$C$7,0)</f>
        <v>64586.4554054054</v>
      </c>
      <c r="S46" s="11" t="n">
        <f aca="false">O46+(IF(I46="",J46+INDEX(Simulador!$C$40:$F$40,F46),I46)-J46-INDEX(Simulador!$C$40:$F$40,F46))*Simulador!$C$9-INDEX(Simulador!$C$69:$F$69,F46)+IF(Simulador!$N$7="Sí",MAX(0,IF(I46="",J46+INDEX(Simulador!$C$40:$F$40,F46),I46)-INDEX(Simulador!$C$41:$F$41,F46))*(INDEX(Simulador!$C$68:$F$68,F46)+Simulador!$N$8)/Simulador!$C$7,0)</f>
        <v>64586.4554054054</v>
      </c>
      <c r="T46" s="11" t="n">
        <f aca="false">P46+(IF(I46="",J46+INDEX(Simulador!$C$40:$F$40,F46),I46)-J46-INDEX(Simulador!$C$40:$F$40,F46))*Simulador!$C$9-INDEX(Simulador!$C$69:$F$69,F46)+IF(Simulador!$N$7="Sí",MAX(0,IF(I46="",J46+INDEX(Simulador!$C$40:$F$40,F46),I46)-INDEX(Simulador!$C$41:$F$41,F46))*(INDEX(Simulador!$C$68:$F$68,F46)+Simulador!$N$8)/Simulador!$C$7,0)</f>
        <v>54280.8113513514</v>
      </c>
      <c r="U46" s="2"/>
    </row>
    <row r="47" customFormat="false" ht="15" hidden="false" customHeight="false" outlineLevel="0" collapsed="false">
      <c r="B47" s="44" t="n">
        <v>45455</v>
      </c>
      <c r="C47" s="21" t="s">
        <v>530</v>
      </c>
      <c r="D47" s="45" t="n">
        <v>6.6</v>
      </c>
      <c r="E47" s="21" t="s">
        <v>496</v>
      </c>
      <c r="F47" s="26" t="n">
        <f aca="false">MATCH(E47,{"Misma locación","0.15 - 5 km","5 - 10 km","10+ km"},0)</f>
        <v>3</v>
      </c>
      <c r="G47" s="26" t="n">
        <f aca="false">MONTH(B47)</f>
        <v>6</v>
      </c>
      <c r="H47" s="26" t="n">
        <f aca="false">COUNTIF($G$8:G47,G47)</f>
        <v>4</v>
      </c>
      <c r="I47" s="45" t="n">
        <v>15.25</v>
      </c>
      <c r="J47" s="46" t="n">
        <f aca="false">INDEX(Simulador!$C$39:$F$39,F47)</f>
        <v>24</v>
      </c>
      <c r="K47" s="47" t="n">
        <f aca="false">IF(I47="","",I47-J47)</f>
        <v>-8.75</v>
      </c>
      <c r="L47" s="12" t="n">
        <f aca="false">INDEX(Simulador!$C$51:$F$51,F47)</f>
        <v>96184.8108108108</v>
      </c>
      <c r="M47" s="11" t="n">
        <f aca="false">IF(H47&gt;=Simulador!$C$19,INDEX(Simulador!$C$63:$F$63,F47),INDEX(Simulador!$C$62:$F$62,F47))</f>
        <v>99393.4589189189</v>
      </c>
      <c r="N47" s="11" t="n">
        <f aca="false">INDEX(Simulador!$C$64:$F$64,F47)</f>
        <v>135930.452432432</v>
      </c>
      <c r="O47" s="11" t="n">
        <f aca="false">IF(H47&gt;=Simulador!$C$19,INDEX(Simulador!$C$65:$F$65,F47),INDEX(Simulador!$C$64:$F$64,F47))</f>
        <v>135930.452432432</v>
      </c>
      <c r="P47" s="11" t="n">
        <f aca="false">IF(H47&gt;=Simulador!$C$19,INDEX(Simulador!$C$67:$F$67,F47),INDEX(Simulador!$C$66:$F$66,F47))</f>
        <v>102242.108648649</v>
      </c>
      <c r="Q47" s="11" t="n">
        <f aca="false">M47+(IF(I47="",J47+INDEX(Simulador!$C$40:$F$40,F47),I47)-J47-INDEX(Simulador!$C$40:$F$40,F47))*Simulador!$C$9-INDEX(Simulador!$C$69:$F$69,F47)+IF(Simulador!$N$7="Sí",MAX(0,IF(I47="",J47+INDEX(Simulador!$C$40:$F$40,F47),I47)-INDEX(Simulador!$C$41:$F$41,F47))*(INDEX(Simulador!$C$68:$F$68,F47)+Simulador!$N$8)/Simulador!$C$7,0)</f>
        <v>86653.4589189189</v>
      </c>
      <c r="R47" s="11" t="n">
        <f aca="false">N47+(IF(I47="",J47+INDEX(Simulador!$C$40:$F$40,F47),I47)-J47-INDEX(Simulador!$C$40:$F$40,F47))*Simulador!$C$9-INDEX(Simulador!$C$69:$F$69,F47)+IF(Simulador!$N$7="Sí",MAX(0,IF(I47="",J47+INDEX(Simulador!$C$40:$F$40,F47),I47)-INDEX(Simulador!$C$41:$F$41,F47))*(INDEX(Simulador!$C$68:$F$68,F47)+Simulador!$N$8)/Simulador!$C$7,0)</f>
        <v>123190.452432432</v>
      </c>
      <c r="S47" s="11" t="n">
        <f aca="false">O47+(IF(I47="",J47+INDEX(Simulador!$C$40:$F$40,F47),I47)-J47-INDEX(Simulador!$C$40:$F$40,F47))*Simulador!$C$9-INDEX(Simulador!$C$69:$F$69,F47)+IF(Simulador!$N$7="Sí",MAX(0,IF(I47="",J47+INDEX(Simulador!$C$40:$F$40,F47),I47)-INDEX(Simulador!$C$41:$F$41,F47))*(INDEX(Simulador!$C$68:$F$68,F47)+Simulador!$N$8)/Simulador!$C$7,0)</f>
        <v>123190.452432432</v>
      </c>
      <c r="T47" s="11" t="n">
        <f aca="false">P47+(IF(I47="",J47+INDEX(Simulador!$C$40:$F$40,F47),I47)-J47-INDEX(Simulador!$C$40:$F$40,F47))*Simulador!$C$9-INDEX(Simulador!$C$69:$F$69,F47)+IF(Simulador!$N$7="Sí",MAX(0,IF(I47="",J47+INDEX(Simulador!$C$40:$F$40,F47),I47)-INDEX(Simulador!$C$41:$F$41,F47))*(INDEX(Simulador!$C$68:$F$68,F47)+Simulador!$N$8)/Simulador!$C$7,0)</f>
        <v>89502.1086486487</v>
      </c>
      <c r="U47" s="2"/>
    </row>
    <row r="48" customFormat="false" ht="15" hidden="false" customHeight="false" outlineLevel="0" collapsed="false">
      <c r="B48" s="44" t="n">
        <v>45459</v>
      </c>
      <c r="C48" s="21" t="s">
        <v>531</v>
      </c>
      <c r="D48" s="45" t="n">
        <v>3.9</v>
      </c>
      <c r="E48" s="21" t="s">
        <v>485</v>
      </c>
      <c r="F48" s="26" t="n">
        <f aca="false">MATCH(E48,{"Misma locación","0.15 - 5 km","5 - 10 km","10+ km"},0)</f>
        <v>2</v>
      </c>
      <c r="G48" s="26" t="n">
        <f aca="false">MONTH(B48)</f>
        <v>6</v>
      </c>
      <c r="H48" s="26" t="n">
        <f aca="false">COUNTIF($G$8:G48,G48)</f>
        <v>5</v>
      </c>
      <c r="I48" s="45" t="n">
        <v>14.5</v>
      </c>
      <c r="J48" s="46" t="n">
        <f aca="false">INDEX(Simulador!$C$39:$F$39,F48)</f>
        <v>18</v>
      </c>
      <c r="K48" s="47" t="n">
        <f aca="false">IF(I48="","",I48-J48)</f>
        <v>-3.5</v>
      </c>
      <c r="L48" s="12" t="n">
        <f aca="false">INDEX(Simulador!$C$51:$F$51,F48)</f>
        <v>99473.8108108108</v>
      </c>
      <c r="M48" s="11" t="n">
        <f aca="false">IF(H48&gt;=Simulador!$C$19,INDEX(Simulador!$C$63:$F$63,F48),INDEX(Simulador!$C$62:$F$62,F48))</f>
        <v>85898.0227027027</v>
      </c>
      <c r="N48" s="11" t="n">
        <f aca="false">INDEX(Simulador!$C$64:$F$64,F48)</f>
        <v>108447.105405405</v>
      </c>
      <c r="O48" s="11" t="n">
        <f aca="false">IF(H48&gt;=Simulador!$C$19,INDEX(Simulador!$C$65:$F$65,F48),INDEX(Simulador!$C$64:$F$64,F48))</f>
        <v>108447.105405405</v>
      </c>
      <c r="P48" s="11" t="n">
        <f aca="false">IF(H48&gt;=Simulador!$C$19,INDEX(Simulador!$C$67:$F$67,F48),INDEX(Simulador!$C$66:$F$66,F48))</f>
        <v>82343.9464864865</v>
      </c>
      <c r="Q48" s="11" t="n">
        <f aca="false">M48+(IF(I48="",J48+INDEX(Simulador!$C$40:$F$40,F48),I48)-J48-INDEX(Simulador!$C$40:$F$40,F48))*Simulador!$C$9-INDEX(Simulador!$C$69:$F$69,F48)+IF(Simulador!$N$7="Sí",MAX(0,IF(I48="",J48+INDEX(Simulador!$C$40:$F$40,F48),I48)-INDEX(Simulador!$C$41:$F$41,F48))*(INDEX(Simulador!$C$68:$F$68,F48)+Simulador!$N$8)/Simulador!$C$7,0)</f>
        <v>80802.0227027027</v>
      </c>
      <c r="R48" s="11" t="n">
        <f aca="false">N48+(IF(I48="",J48+INDEX(Simulador!$C$40:$F$40,F48),I48)-J48-INDEX(Simulador!$C$40:$F$40,F48))*Simulador!$C$9-INDEX(Simulador!$C$69:$F$69,F48)+IF(Simulador!$N$7="Sí",MAX(0,IF(I48="",J48+INDEX(Simulador!$C$40:$F$40,F48),I48)-INDEX(Simulador!$C$41:$F$41,F48))*(INDEX(Simulador!$C$68:$F$68,F48)+Simulador!$N$8)/Simulador!$C$7,0)</f>
        <v>103351.105405405</v>
      </c>
      <c r="S48" s="11" t="n">
        <f aca="false">O48+(IF(I48="",J48+INDEX(Simulador!$C$40:$F$40,F48),I48)-J48-INDEX(Simulador!$C$40:$F$40,F48))*Simulador!$C$9-INDEX(Simulador!$C$69:$F$69,F48)+IF(Simulador!$N$7="Sí",MAX(0,IF(I48="",J48+INDEX(Simulador!$C$40:$F$40,F48),I48)-INDEX(Simulador!$C$41:$F$41,F48))*(INDEX(Simulador!$C$68:$F$68,F48)+Simulador!$N$8)/Simulador!$C$7,0)</f>
        <v>103351.105405405</v>
      </c>
      <c r="T48" s="11" t="n">
        <f aca="false">P48+(IF(I48="",J48+INDEX(Simulador!$C$40:$F$40,F48),I48)-J48-INDEX(Simulador!$C$40:$F$40,F48))*Simulador!$C$9-INDEX(Simulador!$C$69:$F$69,F48)+IF(Simulador!$N$7="Sí",MAX(0,IF(I48="",J48+INDEX(Simulador!$C$40:$F$40,F48),I48)-INDEX(Simulador!$C$41:$F$41,F48))*(INDEX(Simulador!$C$68:$F$68,F48)+Simulador!$N$8)/Simulador!$C$7,0)</f>
        <v>77247.9464864865</v>
      </c>
      <c r="U48" s="2"/>
    </row>
    <row r="49" customFormat="false" ht="15" hidden="false" customHeight="false" outlineLevel="0" collapsed="false">
      <c r="B49" s="44" t="n">
        <v>45463</v>
      </c>
      <c r="C49" s="21" t="s">
        <v>532</v>
      </c>
      <c r="D49" s="45" t="n">
        <v>1.7</v>
      </c>
      <c r="E49" s="21" t="s">
        <v>485</v>
      </c>
      <c r="F49" s="26" t="n">
        <f aca="false">MATCH(E49,{"Misma locación","0.15 - 5 km","5 - 10 km","10+ km"},0)</f>
        <v>2</v>
      </c>
      <c r="G49" s="26" t="n">
        <f aca="false">MONTH(B49)</f>
        <v>6</v>
      </c>
      <c r="H49" s="26" t="n">
        <f aca="false">COUNTIF($G$8:G49,G49)</f>
        <v>6</v>
      </c>
      <c r="I49" s="45" t="n">
        <v>22.75</v>
      </c>
      <c r="J49" s="46" t="n">
        <f aca="false">INDEX(Simulador!$C$39:$F$39,F49)</f>
        <v>18</v>
      </c>
      <c r="K49" s="47" t="n">
        <f aca="false">IF(I49="","",I49-J49)</f>
        <v>4.75</v>
      </c>
      <c r="L49" s="12" t="n">
        <f aca="false">INDEX(Simulador!$C$51:$F$51,F49)</f>
        <v>99473.8108108108</v>
      </c>
      <c r="M49" s="11" t="n">
        <f aca="false">IF(H49&gt;=Simulador!$C$19,INDEX(Simulador!$C$63:$F$63,F49),INDEX(Simulador!$C$62:$F$62,F49))</f>
        <v>56053.0113513514</v>
      </c>
      <c r="N49" s="11" t="n">
        <f aca="false">INDEX(Simulador!$C$64:$F$64,F49)</f>
        <v>108447.105405405</v>
      </c>
      <c r="O49" s="11" t="n">
        <f aca="false">IF(H49&gt;=Simulador!$C$19,INDEX(Simulador!$C$65:$F$65,F49),INDEX(Simulador!$C$64:$F$64,F49))</f>
        <v>67327.5527027027</v>
      </c>
      <c r="P49" s="11" t="n">
        <f aca="false">IF(H49&gt;=Simulador!$C$19,INDEX(Simulador!$C$67:$F$67,F49),INDEX(Simulador!$C$66:$F$66,F49))</f>
        <v>59499.8918918919</v>
      </c>
      <c r="Q49" s="11" t="n">
        <f aca="false">M49+(IF(I49="",J49+INDEX(Simulador!$C$40:$F$40,F49),I49)-J49-INDEX(Simulador!$C$40:$F$40,F49))*Simulador!$C$9-INDEX(Simulador!$C$69:$F$69,F49)+IF(Simulador!$N$7="Sí",MAX(0,IF(I49="",J49+INDEX(Simulador!$C$40:$F$40,F49),I49)-INDEX(Simulador!$C$41:$F$41,F49))*(INDEX(Simulador!$C$68:$F$68,F49)+Simulador!$N$8)/Simulador!$C$7,0)</f>
        <v>62969.0113513514</v>
      </c>
      <c r="R49" s="11" t="n">
        <f aca="false">N49+(IF(I49="",J49+INDEX(Simulador!$C$40:$F$40,F49),I49)-J49-INDEX(Simulador!$C$40:$F$40,F49))*Simulador!$C$9-INDEX(Simulador!$C$69:$F$69,F49)+IF(Simulador!$N$7="Sí",MAX(0,IF(I49="",J49+INDEX(Simulador!$C$40:$F$40,F49),I49)-INDEX(Simulador!$C$41:$F$41,F49))*(INDEX(Simulador!$C$68:$F$68,F49)+Simulador!$N$8)/Simulador!$C$7,0)</f>
        <v>115363.105405405</v>
      </c>
      <c r="S49" s="11" t="n">
        <f aca="false">O49+(IF(I49="",J49+INDEX(Simulador!$C$40:$F$40,F49),I49)-J49-INDEX(Simulador!$C$40:$F$40,F49))*Simulador!$C$9-INDEX(Simulador!$C$69:$F$69,F49)+IF(Simulador!$N$7="Sí",MAX(0,IF(I49="",J49+INDEX(Simulador!$C$40:$F$40,F49),I49)-INDEX(Simulador!$C$41:$F$41,F49))*(INDEX(Simulador!$C$68:$F$68,F49)+Simulador!$N$8)/Simulador!$C$7,0)</f>
        <v>74243.5527027027</v>
      </c>
      <c r="T49" s="11" t="n">
        <f aca="false">P49+(IF(I49="",J49+INDEX(Simulador!$C$40:$F$40,F49),I49)-J49-INDEX(Simulador!$C$40:$F$40,F49))*Simulador!$C$9-INDEX(Simulador!$C$69:$F$69,F49)+IF(Simulador!$N$7="Sí",MAX(0,IF(I49="",J49+INDEX(Simulador!$C$40:$F$40,F49),I49)-INDEX(Simulador!$C$41:$F$41,F49))*(INDEX(Simulador!$C$68:$F$68,F49)+Simulador!$N$8)/Simulador!$C$7,0)</f>
        <v>66415.8918918919</v>
      </c>
      <c r="U49" s="2"/>
    </row>
    <row r="50" customFormat="false" ht="15" hidden="false" customHeight="false" outlineLevel="0" collapsed="false">
      <c r="B50" s="44" t="n">
        <v>45466</v>
      </c>
      <c r="C50" s="21" t="s">
        <v>533</v>
      </c>
      <c r="D50" s="45" t="n">
        <v>0.00640079979517441</v>
      </c>
      <c r="E50" s="21" t="s">
        <v>498</v>
      </c>
      <c r="F50" s="26" t="n">
        <f aca="false">MATCH(E50,{"Misma locación","0.15 - 5 km","5 - 10 km","10+ km"},0)</f>
        <v>1</v>
      </c>
      <c r="G50" s="26" t="n">
        <f aca="false">MONTH(B50)</f>
        <v>6</v>
      </c>
      <c r="H50" s="26" t="n">
        <f aca="false">COUNTIF($G$8:G50,G50)</f>
        <v>7</v>
      </c>
      <c r="I50" s="45" t="n">
        <v>13.5</v>
      </c>
      <c r="J50" s="46" t="n">
        <f aca="false">INDEX(Simulador!$C$39:$F$39,F50)</f>
        <v>12</v>
      </c>
      <c r="K50" s="47" t="n">
        <f aca="false">IF(I50="","",I50-J50)</f>
        <v>1.5</v>
      </c>
      <c r="L50" s="12" t="n">
        <f aca="false">INDEX(Simulador!$C$51:$F$51,F50)</f>
        <v>76047.4054054054</v>
      </c>
      <c r="M50" s="11" t="n">
        <f aca="false">IF(H50&gt;=Simulador!$C$19,INDEX(Simulador!$C$63:$F$63,F50),INDEX(Simulador!$C$62:$F$62,F50))</f>
        <v>36443.0055405405</v>
      </c>
      <c r="N50" s="11" t="n">
        <f aca="false">INDEX(Simulador!$C$64:$F$64,F50)</f>
        <v>65678.4554054054</v>
      </c>
      <c r="O50" s="11" t="n">
        <f aca="false">IF(H50&gt;=Simulador!$C$19,INDEX(Simulador!$C$65:$F$65,F50),INDEX(Simulador!$C$64:$F$64,F50))</f>
        <v>41575.2277027027</v>
      </c>
      <c r="P50" s="11" t="n">
        <f aca="false">IF(H50&gt;=Simulador!$C$19,INDEX(Simulador!$C$67:$F$67,F50),INDEX(Simulador!$C$66:$F$66,F50))</f>
        <v>50763.8918918919</v>
      </c>
      <c r="Q50" s="11" t="n">
        <f aca="false">M50+(IF(I50="",J50+INDEX(Simulador!$C$40:$F$40,F50),I50)-J50-INDEX(Simulador!$C$40:$F$40,F50))*Simulador!$C$9-INDEX(Simulador!$C$69:$F$69,F50)+IF(Simulador!$N$7="Sí",MAX(0,IF(I50="",J50+INDEX(Simulador!$C$40:$F$40,F50),I50)-INDEX(Simulador!$C$41:$F$41,F50))*(INDEX(Simulador!$C$68:$F$68,F50)+Simulador!$N$8)/Simulador!$C$7,0)</f>
        <v>40662.7487837838</v>
      </c>
      <c r="R50" s="11" t="n">
        <f aca="false">N50+(IF(I50="",J50+INDEX(Simulador!$C$40:$F$40,F50),I50)-J50-INDEX(Simulador!$C$40:$F$40,F50))*Simulador!$C$9-INDEX(Simulador!$C$69:$F$69,F50)+IF(Simulador!$N$7="Sí",MAX(0,IF(I50="",J50+INDEX(Simulador!$C$40:$F$40,F50),I50)-INDEX(Simulador!$C$41:$F$41,F50))*(INDEX(Simulador!$C$68:$F$68,F50)+Simulador!$N$8)/Simulador!$C$7,0)</f>
        <v>69898.1986486486</v>
      </c>
      <c r="S50" s="11" t="n">
        <f aca="false">O50+(IF(I50="",J50+INDEX(Simulador!$C$40:$F$40,F50),I50)-J50-INDEX(Simulador!$C$40:$F$40,F50))*Simulador!$C$9-INDEX(Simulador!$C$69:$F$69,F50)+IF(Simulador!$N$7="Sí",MAX(0,IF(I50="",J50+INDEX(Simulador!$C$40:$F$40,F50),I50)-INDEX(Simulador!$C$41:$F$41,F50))*(INDEX(Simulador!$C$68:$F$68,F50)+Simulador!$N$8)/Simulador!$C$7,0)</f>
        <v>45794.9709459459</v>
      </c>
      <c r="T50" s="11" t="n">
        <f aca="false">P50+(IF(I50="",J50+INDEX(Simulador!$C$40:$F$40,F50),I50)-J50-INDEX(Simulador!$C$40:$F$40,F50))*Simulador!$C$9-INDEX(Simulador!$C$69:$F$69,F50)+IF(Simulador!$N$7="Sí",MAX(0,IF(I50="",J50+INDEX(Simulador!$C$40:$F$40,F50),I50)-INDEX(Simulador!$C$41:$F$41,F50))*(INDEX(Simulador!$C$68:$F$68,F50)+Simulador!$N$8)/Simulador!$C$7,0)</f>
        <v>54983.6351351351</v>
      </c>
      <c r="U50" s="2"/>
    </row>
    <row r="51" customFormat="false" ht="15" hidden="false" customHeight="false" outlineLevel="0" collapsed="false">
      <c r="B51" s="44" t="n">
        <v>45470</v>
      </c>
      <c r="C51" s="21" t="s">
        <v>534</v>
      </c>
      <c r="D51" s="45" t="n">
        <v>3.5</v>
      </c>
      <c r="E51" s="21" t="s">
        <v>485</v>
      </c>
      <c r="F51" s="26" t="n">
        <f aca="false">MATCH(E51,{"Misma locación","0.15 - 5 km","5 - 10 km","10+ km"},0)</f>
        <v>2</v>
      </c>
      <c r="G51" s="26" t="n">
        <f aca="false">MONTH(B51)</f>
        <v>6</v>
      </c>
      <c r="H51" s="26" t="n">
        <f aca="false">COUNTIF($G$8:G51,G51)</f>
        <v>8</v>
      </c>
      <c r="I51" s="45" t="n">
        <v>17.25</v>
      </c>
      <c r="J51" s="46" t="n">
        <f aca="false">INDEX(Simulador!$C$39:$F$39,F51)</f>
        <v>18</v>
      </c>
      <c r="K51" s="47" t="n">
        <f aca="false">IF(I51="","",I51-J51)</f>
        <v>-0.75</v>
      </c>
      <c r="L51" s="12" t="n">
        <f aca="false">INDEX(Simulador!$C$51:$F$51,F51)</f>
        <v>99473.8108108108</v>
      </c>
      <c r="M51" s="11" t="n">
        <f aca="false">IF(H51&gt;=Simulador!$C$19,INDEX(Simulador!$C$63:$F$63,F51),INDEX(Simulador!$C$62:$F$62,F51))</f>
        <v>56053.0113513514</v>
      </c>
      <c r="N51" s="11" t="n">
        <f aca="false">INDEX(Simulador!$C$64:$F$64,F51)</f>
        <v>108447.105405405</v>
      </c>
      <c r="O51" s="11" t="n">
        <f aca="false">IF(H51&gt;=Simulador!$C$19,INDEX(Simulador!$C$65:$F$65,F51),INDEX(Simulador!$C$64:$F$64,F51))</f>
        <v>67327.5527027027</v>
      </c>
      <c r="P51" s="11" t="n">
        <f aca="false">IF(H51&gt;=Simulador!$C$19,INDEX(Simulador!$C$67:$F$67,F51),INDEX(Simulador!$C$66:$F$66,F51))</f>
        <v>59499.8918918919</v>
      </c>
      <c r="Q51" s="11" t="n">
        <f aca="false">M51+(IF(I51="",J51+INDEX(Simulador!$C$40:$F$40,F51),I51)-J51-INDEX(Simulador!$C$40:$F$40,F51))*Simulador!$C$9-INDEX(Simulador!$C$69:$F$69,F51)+IF(Simulador!$N$7="Sí",MAX(0,IF(I51="",J51+INDEX(Simulador!$C$40:$F$40,F51),I51)-INDEX(Simulador!$C$41:$F$41,F51))*(INDEX(Simulador!$C$68:$F$68,F51)+Simulador!$N$8)/Simulador!$C$7,0)</f>
        <v>54961.0113513514</v>
      </c>
      <c r="R51" s="11" t="n">
        <f aca="false">N51+(IF(I51="",J51+INDEX(Simulador!$C$40:$F$40,F51),I51)-J51-INDEX(Simulador!$C$40:$F$40,F51))*Simulador!$C$9-INDEX(Simulador!$C$69:$F$69,F51)+IF(Simulador!$N$7="Sí",MAX(0,IF(I51="",J51+INDEX(Simulador!$C$40:$F$40,F51),I51)-INDEX(Simulador!$C$41:$F$41,F51))*(INDEX(Simulador!$C$68:$F$68,F51)+Simulador!$N$8)/Simulador!$C$7,0)</f>
        <v>107355.105405405</v>
      </c>
      <c r="S51" s="11" t="n">
        <f aca="false">O51+(IF(I51="",J51+INDEX(Simulador!$C$40:$F$40,F51),I51)-J51-INDEX(Simulador!$C$40:$F$40,F51))*Simulador!$C$9-INDEX(Simulador!$C$69:$F$69,F51)+IF(Simulador!$N$7="Sí",MAX(0,IF(I51="",J51+INDEX(Simulador!$C$40:$F$40,F51),I51)-INDEX(Simulador!$C$41:$F$41,F51))*(INDEX(Simulador!$C$68:$F$68,F51)+Simulador!$N$8)/Simulador!$C$7,0)</f>
        <v>66235.5527027027</v>
      </c>
      <c r="T51" s="11" t="n">
        <f aca="false">P51+(IF(I51="",J51+INDEX(Simulador!$C$40:$F$40,F51),I51)-J51-INDEX(Simulador!$C$40:$F$40,F51))*Simulador!$C$9-INDEX(Simulador!$C$69:$F$69,F51)+IF(Simulador!$N$7="Sí",MAX(0,IF(I51="",J51+INDEX(Simulador!$C$40:$F$40,F51),I51)-INDEX(Simulador!$C$41:$F$41,F51))*(INDEX(Simulador!$C$68:$F$68,F51)+Simulador!$N$8)/Simulador!$C$7,0)</f>
        <v>58407.8918918919</v>
      </c>
      <c r="U51" s="2"/>
    </row>
    <row r="52" customFormat="false" ht="15" hidden="false" customHeight="false" outlineLevel="0" collapsed="false">
      <c r="B52" s="44" t="n">
        <v>45473</v>
      </c>
      <c r="C52" s="21" t="s">
        <v>535</v>
      </c>
      <c r="D52" s="45" t="n">
        <v>0.0124967996001024</v>
      </c>
      <c r="E52" s="21" t="s">
        <v>498</v>
      </c>
      <c r="F52" s="26" t="n">
        <f aca="false">MATCH(E52,{"Misma locación","0.15 - 5 km","5 - 10 km","10+ km"},0)</f>
        <v>1</v>
      </c>
      <c r="G52" s="26" t="n">
        <f aca="false">MONTH(B52)</f>
        <v>6</v>
      </c>
      <c r="H52" s="26" t="n">
        <f aca="false">COUNTIF($G$8:G52,G52)</f>
        <v>9</v>
      </c>
      <c r="I52" s="45" t="n">
        <v>11</v>
      </c>
      <c r="J52" s="46" t="n">
        <f aca="false">INDEX(Simulador!$C$39:$F$39,F52)</f>
        <v>12</v>
      </c>
      <c r="K52" s="47" t="n">
        <f aca="false">IF(I52="","",I52-J52)</f>
        <v>-1</v>
      </c>
      <c r="L52" s="12" t="n">
        <f aca="false">INDEX(Simulador!$C$51:$F$51,F52)</f>
        <v>76047.4054054054</v>
      </c>
      <c r="M52" s="11" t="n">
        <f aca="false">IF(H52&gt;=Simulador!$C$19,INDEX(Simulador!$C$63:$F$63,F52),INDEX(Simulador!$C$62:$F$62,F52))</f>
        <v>36443.0055405405</v>
      </c>
      <c r="N52" s="11" t="n">
        <f aca="false">INDEX(Simulador!$C$64:$F$64,F52)</f>
        <v>65678.4554054054</v>
      </c>
      <c r="O52" s="11" t="n">
        <f aca="false">IF(H52&gt;=Simulador!$C$19,INDEX(Simulador!$C$65:$F$65,F52),INDEX(Simulador!$C$64:$F$64,F52))</f>
        <v>41575.2277027027</v>
      </c>
      <c r="P52" s="11" t="n">
        <f aca="false">IF(H52&gt;=Simulador!$C$19,INDEX(Simulador!$C$67:$F$67,F52),INDEX(Simulador!$C$66:$F$66,F52))</f>
        <v>50763.8918918919</v>
      </c>
      <c r="Q52" s="11" t="n">
        <f aca="false">M52+(IF(I52="",J52+INDEX(Simulador!$C$40:$F$40,F52),I52)-J52-INDEX(Simulador!$C$40:$F$40,F52))*Simulador!$C$9-INDEX(Simulador!$C$69:$F$69,F52)+IF(Simulador!$N$7="Sí",MAX(0,IF(I52="",J52+INDEX(Simulador!$C$40:$F$40,F52),I52)-INDEX(Simulador!$C$41:$F$41,F52))*(INDEX(Simulador!$C$68:$F$68,F52)+Simulador!$N$8)/Simulador!$C$7,0)</f>
        <v>34987.0055405405</v>
      </c>
      <c r="R52" s="11" t="n">
        <f aca="false">N52+(IF(I52="",J52+INDEX(Simulador!$C$40:$F$40,F52),I52)-J52-INDEX(Simulador!$C$40:$F$40,F52))*Simulador!$C$9-INDEX(Simulador!$C$69:$F$69,F52)+IF(Simulador!$N$7="Sí",MAX(0,IF(I52="",J52+INDEX(Simulador!$C$40:$F$40,F52),I52)-INDEX(Simulador!$C$41:$F$41,F52))*(INDEX(Simulador!$C$68:$F$68,F52)+Simulador!$N$8)/Simulador!$C$7,0)</f>
        <v>64222.4554054054</v>
      </c>
      <c r="S52" s="11" t="n">
        <f aca="false">O52+(IF(I52="",J52+INDEX(Simulador!$C$40:$F$40,F52),I52)-J52-INDEX(Simulador!$C$40:$F$40,F52))*Simulador!$C$9-INDEX(Simulador!$C$69:$F$69,F52)+IF(Simulador!$N$7="Sí",MAX(0,IF(I52="",J52+INDEX(Simulador!$C$40:$F$40,F52),I52)-INDEX(Simulador!$C$41:$F$41,F52))*(INDEX(Simulador!$C$68:$F$68,F52)+Simulador!$N$8)/Simulador!$C$7,0)</f>
        <v>40119.2277027027</v>
      </c>
      <c r="T52" s="11" t="n">
        <f aca="false">P52+(IF(I52="",J52+INDEX(Simulador!$C$40:$F$40,F52),I52)-J52-INDEX(Simulador!$C$40:$F$40,F52))*Simulador!$C$9-INDEX(Simulador!$C$69:$F$69,F52)+IF(Simulador!$N$7="Sí",MAX(0,IF(I52="",J52+INDEX(Simulador!$C$40:$F$40,F52),I52)-INDEX(Simulador!$C$41:$F$41,F52))*(INDEX(Simulador!$C$68:$F$68,F52)+Simulador!$N$8)/Simulador!$C$7,0)</f>
        <v>49307.8918918919</v>
      </c>
      <c r="U52" s="2"/>
    </row>
    <row r="53" customFormat="false" ht="15" hidden="false" customHeight="false" outlineLevel="0" collapsed="false">
      <c r="B53" s="44" t="n">
        <v>45476</v>
      </c>
      <c r="C53" s="21" t="s">
        <v>536</v>
      </c>
      <c r="D53" s="45" t="n">
        <v>0.6</v>
      </c>
      <c r="E53" s="21" t="s">
        <v>485</v>
      </c>
      <c r="F53" s="26" t="n">
        <f aca="false">MATCH(E53,{"Misma locación","0.15 - 5 km","5 - 10 km","10+ km"},0)</f>
        <v>2</v>
      </c>
      <c r="G53" s="26" t="n">
        <f aca="false">MONTH(B53)</f>
        <v>7</v>
      </c>
      <c r="H53" s="26" t="n">
        <f aca="false">COUNTIF($G$8:G53,G53)</f>
        <v>1</v>
      </c>
      <c r="I53" s="45" t="n">
        <v>17.5</v>
      </c>
      <c r="J53" s="46" t="n">
        <f aca="false">INDEX(Simulador!$C$39:$F$39,F53)</f>
        <v>18</v>
      </c>
      <c r="K53" s="47" t="n">
        <f aca="false">IF(I53="","",I53-J53)</f>
        <v>-0.5</v>
      </c>
      <c r="L53" s="12" t="n">
        <f aca="false">INDEX(Simulador!$C$51:$F$51,F53)</f>
        <v>99473.8108108108</v>
      </c>
      <c r="M53" s="11" t="n">
        <f aca="false">IF(H53&gt;=Simulador!$C$19,INDEX(Simulador!$C$63:$F$63,F53),INDEX(Simulador!$C$62:$F$62,F53))</f>
        <v>85898.0227027027</v>
      </c>
      <c r="N53" s="11" t="n">
        <f aca="false">INDEX(Simulador!$C$64:$F$64,F53)</f>
        <v>108447.105405405</v>
      </c>
      <c r="O53" s="11" t="n">
        <f aca="false">IF(H53&gt;=Simulador!$C$19,INDEX(Simulador!$C$65:$F$65,F53),INDEX(Simulador!$C$64:$F$64,F53))</f>
        <v>108447.105405405</v>
      </c>
      <c r="P53" s="11" t="n">
        <f aca="false">IF(H53&gt;=Simulador!$C$19,INDEX(Simulador!$C$67:$F$67,F53),INDEX(Simulador!$C$66:$F$66,F53))</f>
        <v>82343.9464864865</v>
      </c>
      <c r="Q53" s="11" t="n">
        <f aca="false">M53+(IF(I53="",J53+INDEX(Simulador!$C$40:$F$40,F53),I53)-J53-INDEX(Simulador!$C$40:$F$40,F53))*Simulador!$C$9-INDEX(Simulador!$C$69:$F$69,F53)+IF(Simulador!$N$7="Sí",MAX(0,IF(I53="",J53+INDEX(Simulador!$C$40:$F$40,F53),I53)-INDEX(Simulador!$C$41:$F$41,F53))*(INDEX(Simulador!$C$68:$F$68,F53)+Simulador!$N$8)/Simulador!$C$7,0)</f>
        <v>85170.0227027027</v>
      </c>
      <c r="R53" s="11" t="n">
        <f aca="false">N53+(IF(I53="",J53+INDEX(Simulador!$C$40:$F$40,F53),I53)-J53-INDEX(Simulador!$C$40:$F$40,F53))*Simulador!$C$9-INDEX(Simulador!$C$69:$F$69,F53)+IF(Simulador!$N$7="Sí",MAX(0,IF(I53="",J53+INDEX(Simulador!$C$40:$F$40,F53),I53)-INDEX(Simulador!$C$41:$F$41,F53))*(INDEX(Simulador!$C$68:$F$68,F53)+Simulador!$N$8)/Simulador!$C$7,0)</f>
        <v>107719.105405405</v>
      </c>
      <c r="S53" s="11" t="n">
        <f aca="false">O53+(IF(I53="",J53+INDEX(Simulador!$C$40:$F$40,F53),I53)-J53-INDEX(Simulador!$C$40:$F$40,F53))*Simulador!$C$9-INDEX(Simulador!$C$69:$F$69,F53)+IF(Simulador!$N$7="Sí",MAX(0,IF(I53="",J53+INDEX(Simulador!$C$40:$F$40,F53),I53)-INDEX(Simulador!$C$41:$F$41,F53))*(INDEX(Simulador!$C$68:$F$68,F53)+Simulador!$N$8)/Simulador!$C$7,0)</f>
        <v>107719.105405405</v>
      </c>
      <c r="T53" s="11" t="n">
        <f aca="false">P53+(IF(I53="",J53+INDEX(Simulador!$C$40:$F$40,F53),I53)-J53-INDEX(Simulador!$C$40:$F$40,F53))*Simulador!$C$9-INDEX(Simulador!$C$69:$F$69,F53)+IF(Simulador!$N$7="Sí",MAX(0,IF(I53="",J53+INDEX(Simulador!$C$40:$F$40,F53),I53)-INDEX(Simulador!$C$41:$F$41,F53))*(INDEX(Simulador!$C$68:$F$68,F53)+Simulador!$N$8)/Simulador!$C$7,0)</f>
        <v>81615.9464864865</v>
      </c>
      <c r="U53" s="2"/>
    </row>
    <row r="54" customFormat="false" ht="15" hidden="false" customHeight="false" outlineLevel="0" collapsed="false">
      <c r="B54" s="44" t="n">
        <v>45481</v>
      </c>
      <c r="C54" s="21" t="s">
        <v>537</v>
      </c>
      <c r="D54" s="45" t="n">
        <v>0.5</v>
      </c>
      <c r="E54" s="21" t="s">
        <v>485</v>
      </c>
      <c r="F54" s="26" t="n">
        <f aca="false">MATCH(E54,{"Misma locación","0.15 - 5 km","5 - 10 km","10+ km"},0)</f>
        <v>2</v>
      </c>
      <c r="G54" s="26" t="n">
        <f aca="false">MONTH(B54)</f>
        <v>7</v>
      </c>
      <c r="H54" s="26" t="n">
        <f aca="false">COUNTIF($G$8:G54,G54)</f>
        <v>2</v>
      </c>
      <c r="I54" s="45" t="n">
        <v>19.25</v>
      </c>
      <c r="J54" s="46" t="n">
        <f aca="false">INDEX(Simulador!$C$39:$F$39,F54)</f>
        <v>18</v>
      </c>
      <c r="K54" s="47" t="n">
        <f aca="false">IF(I54="","",I54-J54)</f>
        <v>1.25</v>
      </c>
      <c r="L54" s="12" t="n">
        <f aca="false">INDEX(Simulador!$C$51:$F$51,F54)</f>
        <v>99473.8108108108</v>
      </c>
      <c r="M54" s="11" t="n">
        <f aca="false">IF(H54&gt;=Simulador!$C$19,INDEX(Simulador!$C$63:$F$63,F54),INDEX(Simulador!$C$62:$F$62,F54))</f>
        <v>85898.0227027027</v>
      </c>
      <c r="N54" s="11" t="n">
        <f aca="false">INDEX(Simulador!$C$64:$F$64,F54)</f>
        <v>108447.105405405</v>
      </c>
      <c r="O54" s="11" t="n">
        <f aca="false">IF(H54&gt;=Simulador!$C$19,INDEX(Simulador!$C$65:$F$65,F54),INDEX(Simulador!$C$64:$F$64,F54))</f>
        <v>108447.105405405</v>
      </c>
      <c r="P54" s="11" t="n">
        <f aca="false">IF(H54&gt;=Simulador!$C$19,INDEX(Simulador!$C$67:$F$67,F54),INDEX(Simulador!$C$66:$F$66,F54))</f>
        <v>82343.9464864865</v>
      </c>
      <c r="Q54" s="11" t="n">
        <f aca="false">M54+(IF(I54="",J54+INDEX(Simulador!$C$40:$F$40,F54),I54)-J54-INDEX(Simulador!$C$40:$F$40,F54))*Simulador!$C$9-INDEX(Simulador!$C$69:$F$69,F54)+IF(Simulador!$N$7="Sí",MAX(0,IF(I54="",J54+INDEX(Simulador!$C$40:$F$40,F54),I54)-INDEX(Simulador!$C$41:$F$41,F54))*(INDEX(Simulador!$C$68:$F$68,F54)+Simulador!$N$8)/Simulador!$C$7,0)</f>
        <v>87718.0227027027</v>
      </c>
      <c r="R54" s="11" t="n">
        <f aca="false">N54+(IF(I54="",J54+INDEX(Simulador!$C$40:$F$40,F54),I54)-J54-INDEX(Simulador!$C$40:$F$40,F54))*Simulador!$C$9-INDEX(Simulador!$C$69:$F$69,F54)+IF(Simulador!$N$7="Sí",MAX(0,IF(I54="",J54+INDEX(Simulador!$C$40:$F$40,F54),I54)-INDEX(Simulador!$C$41:$F$41,F54))*(INDEX(Simulador!$C$68:$F$68,F54)+Simulador!$N$8)/Simulador!$C$7,0)</f>
        <v>110267.105405405</v>
      </c>
      <c r="S54" s="11" t="n">
        <f aca="false">O54+(IF(I54="",J54+INDEX(Simulador!$C$40:$F$40,F54),I54)-J54-INDEX(Simulador!$C$40:$F$40,F54))*Simulador!$C$9-INDEX(Simulador!$C$69:$F$69,F54)+IF(Simulador!$N$7="Sí",MAX(0,IF(I54="",J54+INDEX(Simulador!$C$40:$F$40,F54),I54)-INDEX(Simulador!$C$41:$F$41,F54))*(INDEX(Simulador!$C$68:$F$68,F54)+Simulador!$N$8)/Simulador!$C$7,0)</f>
        <v>110267.105405405</v>
      </c>
      <c r="T54" s="11" t="n">
        <f aca="false">P54+(IF(I54="",J54+INDEX(Simulador!$C$40:$F$40,F54),I54)-J54-INDEX(Simulador!$C$40:$F$40,F54))*Simulador!$C$9-INDEX(Simulador!$C$69:$F$69,F54)+IF(Simulador!$N$7="Sí",MAX(0,IF(I54="",J54+INDEX(Simulador!$C$40:$F$40,F54),I54)-INDEX(Simulador!$C$41:$F$41,F54))*(INDEX(Simulador!$C$68:$F$68,F54)+Simulador!$N$8)/Simulador!$C$7,0)</f>
        <v>84163.9464864865</v>
      </c>
      <c r="U54" s="2"/>
    </row>
    <row r="55" customFormat="false" ht="15" hidden="false" customHeight="false" outlineLevel="0" collapsed="false">
      <c r="B55" s="44" t="n">
        <v>45486</v>
      </c>
      <c r="C55" s="21" t="s">
        <v>538</v>
      </c>
      <c r="D55" s="45" t="n">
        <v>0.00640079979517441</v>
      </c>
      <c r="E55" s="21" t="s">
        <v>498</v>
      </c>
      <c r="F55" s="26" t="n">
        <f aca="false">MATCH(E55,{"Misma locación","0.15 - 5 km","5 - 10 km","10+ km"},0)</f>
        <v>1</v>
      </c>
      <c r="G55" s="26" t="n">
        <f aca="false">MONTH(B55)</f>
        <v>7</v>
      </c>
      <c r="H55" s="26" t="n">
        <f aca="false">COUNTIF($G$8:G55,G55)</f>
        <v>3</v>
      </c>
      <c r="I55" s="45" t="n">
        <v>9.25</v>
      </c>
      <c r="J55" s="46" t="n">
        <f aca="false">INDEX(Simulador!$C$39:$F$39,F55)</f>
        <v>12</v>
      </c>
      <c r="K55" s="47" t="n">
        <f aca="false">IF(I55="","",I55-J55)</f>
        <v>-2.75</v>
      </c>
      <c r="L55" s="12" t="n">
        <f aca="false">INDEX(Simulador!$C$51:$F$51,F55)</f>
        <v>76047.4054054054</v>
      </c>
      <c r="M55" s="11" t="n">
        <f aca="false">IF(H55&gt;=Simulador!$C$19,INDEX(Simulador!$C$63:$F$63,F55),INDEX(Simulador!$C$62:$F$62,F55))</f>
        <v>55414.0110810811</v>
      </c>
      <c r="N55" s="11" t="n">
        <f aca="false">INDEX(Simulador!$C$64:$F$64,F55)</f>
        <v>65678.4554054054</v>
      </c>
      <c r="O55" s="11" t="n">
        <f aca="false">IF(H55&gt;=Simulador!$C$19,INDEX(Simulador!$C$65:$F$65,F55),INDEX(Simulador!$C$64:$F$64,F55))</f>
        <v>65678.4554054054</v>
      </c>
      <c r="P55" s="11" t="n">
        <f aca="false">IF(H55&gt;=Simulador!$C$19,INDEX(Simulador!$C$67:$F$67,F55),INDEX(Simulador!$C$66:$F$66,F55))</f>
        <v>55372.8113513514</v>
      </c>
      <c r="Q55" s="11" t="n">
        <f aca="false">M55+(IF(I55="",J55+INDEX(Simulador!$C$40:$F$40,F55),I55)-J55-INDEX(Simulador!$C$40:$F$40,F55))*Simulador!$C$9-INDEX(Simulador!$C$69:$F$69,F55)+IF(Simulador!$N$7="Sí",MAX(0,IF(I55="",J55+INDEX(Simulador!$C$40:$F$40,F55),I55)-INDEX(Simulador!$C$41:$F$41,F55))*(INDEX(Simulador!$C$68:$F$68,F55)+Simulador!$N$8)/Simulador!$C$7,0)</f>
        <v>51410.0110810811</v>
      </c>
      <c r="R55" s="11" t="n">
        <f aca="false">N55+(IF(I55="",J55+INDEX(Simulador!$C$40:$F$40,F55),I55)-J55-INDEX(Simulador!$C$40:$F$40,F55))*Simulador!$C$9-INDEX(Simulador!$C$69:$F$69,F55)+IF(Simulador!$N$7="Sí",MAX(0,IF(I55="",J55+INDEX(Simulador!$C$40:$F$40,F55),I55)-INDEX(Simulador!$C$41:$F$41,F55))*(INDEX(Simulador!$C$68:$F$68,F55)+Simulador!$N$8)/Simulador!$C$7,0)</f>
        <v>61674.4554054054</v>
      </c>
      <c r="S55" s="11" t="n">
        <f aca="false">O55+(IF(I55="",J55+INDEX(Simulador!$C$40:$F$40,F55),I55)-J55-INDEX(Simulador!$C$40:$F$40,F55))*Simulador!$C$9-INDEX(Simulador!$C$69:$F$69,F55)+IF(Simulador!$N$7="Sí",MAX(0,IF(I55="",J55+INDEX(Simulador!$C$40:$F$40,F55),I55)-INDEX(Simulador!$C$41:$F$41,F55))*(INDEX(Simulador!$C$68:$F$68,F55)+Simulador!$N$8)/Simulador!$C$7,0)</f>
        <v>61674.4554054054</v>
      </c>
      <c r="T55" s="11" t="n">
        <f aca="false">P55+(IF(I55="",J55+INDEX(Simulador!$C$40:$F$40,F55),I55)-J55-INDEX(Simulador!$C$40:$F$40,F55))*Simulador!$C$9-INDEX(Simulador!$C$69:$F$69,F55)+IF(Simulador!$N$7="Sí",MAX(0,IF(I55="",J55+INDEX(Simulador!$C$40:$F$40,F55),I55)-INDEX(Simulador!$C$41:$F$41,F55))*(INDEX(Simulador!$C$68:$F$68,F55)+Simulador!$N$8)/Simulador!$C$7,0)</f>
        <v>51368.8113513514</v>
      </c>
      <c r="U55" s="2"/>
    </row>
    <row r="56" customFormat="false" ht="15" hidden="false" customHeight="false" outlineLevel="0" collapsed="false">
      <c r="B56" s="44" t="n">
        <v>45490</v>
      </c>
      <c r="C56" s="21" t="s">
        <v>539</v>
      </c>
      <c r="D56" s="45" t="n">
        <v>4.5</v>
      </c>
      <c r="E56" s="21" t="s">
        <v>485</v>
      </c>
      <c r="F56" s="26" t="n">
        <f aca="false">MATCH(E56,{"Misma locación","0.15 - 5 km","5 - 10 km","10+ km"},0)</f>
        <v>2</v>
      </c>
      <c r="G56" s="26" t="n">
        <f aca="false">MONTH(B56)</f>
        <v>7</v>
      </c>
      <c r="H56" s="26" t="n">
        <f aca="false">COUNTIF($G$8:G56,G56)</f>
        <v>4</v>
      </c>
      <c r="I56" s="45" t="n">
        <v>15</v>
      </c>
      <c r="J56" s="46" t="n">
        <f aca="false">INDEX(Simulador!$C$39:$F$39,F56)</f>
        <v>18</v>
      </c>
      <c r="K56" s="47" t="n">
        <f aca="false">IF(I56="","",I56-J56)</f>
        <v>-3</v>
      </c>
      <c r="L56" s="12" t="n">
        <f aca="false">INDEX(Simulador!$C$51:$F$51,F56)</f>
        <v>99473.8108108108</v>
      </c>
      <c r="M56" s="11" t="n">
        <f aca="false">IF(H56&gt;=Simulador!$C$19,INDEX(Simulador!$C$63:$F$63,F56),INDEX(Simulador!$C$62:$F$62,F56))</f>
        <v>85898.0227027027</v>
      </c>
      <c r="N56" s="11" t="n">
        <f aca="false">INDEX(Simulador!$C$64:$F$64,F56)</f>
        <v>108447.105405405</v>
      </c>
      <c r="O56" s="11" t="n">
        <f aca="false">IF(H56&gt;=Simulador!$C$19,INDEX(Simulador!$C$65:$F$65,F56),INDEX(Simulador!$C$64:$F$64,F56))</f>
        <v>108447.105405405</v>
      </c>
      <c r="P56" s="11" t="n">
        <f aca="false">IF(H56&gt;=Simulador!$C$19,INDEX(Simulador!$C$67:$F$67,F56),INDEX(Simulador!$C$66:$F$66,F56))</f>
        <v>82343.9464864865</v>
      </c>
      <c r="Q56" s="11" t="n">
        <f aca="false">M56+(IF(I56="",J56+INDEX(Simulador!$C$40:$F$40,F56),I56)-J56-INDEX(Simulador!$C$40:$F$40,F56))*Simulador!$C$9-INDEX(Simulador!$C$69:$F$69,F56)+IF(Simulador!$N$7="Sí",MAX(0,IF(I56="",J56+INDEX(Simulador!$C$40:$F$40,F56),I56)-INDEX(Simulador!$C$41:$F$41,F56))*(INDEX(Simulador!$C$68:$F$68,F56)+Simulador!$N$8)/Simulador!$C$7,0)</f>
        <v>81530.0227027027</v>
      </c>
      <c r="R56" s="11" t="n">
        <f aca="false">N56+(IF(I56="",J56+INDEX(Simulador!$C$40:$F$40,F56),I56)-J56-INDEX(Simulador!$C$40:$F$40,F56))*Simulador!$C$9-INDEX(Simulador!$C$69:$F$69,F56)+IF(Simulador!$N$7="Sí",MAX(0,IF(I56="",J56+INDEX(Simulador!$C$40:$F$40,F56),I56)-INDEX(Simulador!$C$41:$F$41,F56))*(INDEX(Simulador!$C$68:$F$68,F56)+Simulador!$N$8)/Simulador!$C$7,0)</f>
        <v>104079.105405405</v>
      </c>
      <c r="S56" s="11" t="n">
        <f aca="false">O56+(IF(I56="",J56+INDEX(Simulador!$C$40:$F$40,F56),I56)-J56-INDEX(Simulador!$C$40:$F$40,F56))*Simulador!$C$9-INDEX(Simulador!$C$69:$F$69,F56)+IF(Simulador!$N$7="Sí",MAX(0,IF(I56="",J56+INDEX(Simulador!$C$40:$F$40,F56),I56)-INDEX(Simulador!$C$41:$F$41,F56))*(INDEX(Simulador!$C$68:$F$68,F56)+Simulador!$N$8)/Simulador!$C$7,0)</f>
        <v>104079.105405405</v>
      </c>
      <c r="T56" s="11" t="n">
        <f aca="false">P56+(IF(I56="",J56+INDEX(Simulador!$C$40:$F$40,F56),I56)-J56-INDEX(Simulador!$C$40:$F$40,F56))*Simulador!$C$9-INDEX(Simulador!$C$69:$F$69,F56)+IF(Simulador!$N$7="Sí",MAX(0,IF(I56="",J56+INDEX(Simulador!$C$40:$F$40,F56),I56)-INDEX(Simulador!$C$41:$F$41,F56))*(INDEX(Simulador!$C$68:$F$68,F56)+Simulador!$N$8)/Simulador!$C$7,0)</f>
        <v>77975.9464864865</v>
      </c>
      <c r="U56" s="2"/>
    </row>
    <row r="57" customFormat="false" ht="15" hidden="false" customHeight="false" outlineLevel="0" collapsed="false">
      <c r="B57" s="44" t="n">
        <v>45493</v>
      </c>
      <c r="C57" s="21" t="s">
        <v>540</v>
      </c>
      <c r="D57" s="45" t="n">
        <v>11.4</v>
      </c>
      <c r="E57" s="21" t="s">
        <v>482</v>
      </c>
      <c r="F57" s="26" t="n">
        <f aca="false">MATCH(E57,{"Misma locación","0.15 - 5 km","5 - 10 km","10+ km"},0)</f>
        <v>4</v>
      </c>
      <c r="G57" s="26" t="n">
        <f aca="false">MONTH(B57)</f>
        <v>7</v>
      </c>
      <c r="H57" s="26" t="n">
        <f aca="false">COUNTIF($G$8:G57,G57)</f>
        <v>5</v>
      </c>
      <c r="I57" s="45" t="n">
        <v>17.75</v>
      </c>
      <c r="J57" s="46" t="n">
        <f aca="false">INDEX(Simulador!$C$39:$F$39,F57)</f>
        <v>28</v>
      </c>
      <c r="K57" s="47" t="n">
        <f aca="false">IF(I57="","",I57-J57)</f>
        <v>-10.25</v>
      </c>
      <c r="L57" s="12" t="n">
        <f aca="false">INDEX(Simulador!$C$51:$F$51,F57)</f>
        <v>110984.810810811</v>
      </c>
      <c r="M57" s="11" t="n">
        <f aca="false">IF(H57&gt;=Simulador!$C$19,INDEX(Simulador!$C$63:$F$63,F57),INDEX(Simulador!$C$62:$F$62,F57))</f>
        <v>107379.621081081</v>
      </c>
      <c r="N57" s="11" t="n">
        <f aca="false">INDEX(Simulador!$C$64:$F$64,F57)</f>
        <v>152876.358918919</v>
      </c>
      <c r="O57" s="11" t="n">
        <f aca="false">IF(H57&gt;=Simulador!$C$19,INDEX(Simulador!$C$65:$F$65,F57),INDEX(Simulador!$C$64:$F$64,F57))</f>
        <v>152876.358918919</v>
      </c>
      <c r="P57" s="11" t="n">
        <f aca="false">IF(H57&gt;=Simulador!$C$19,INDEX(Simulador!$C$67:$F$67,F57),INDEX(Simulador!$C$66:$F$66,F57))</f>
        <v>109162.595135135</v>
      </c>
      <c r="Q57" s="11" t="n">
        <f aca="false">M57+(IF(I57="",J57+INDEX(Simulador!$C$40:$F$40,F57),I57)-J57-INDEX(Simulador!$C$40:$F$40,F57))*Simulador!$C$9-INDEX(Simulador!$C$69:$F$69,F57)+IF(Simulador!$N$7="Sí",MAX(0,IF(I57="",J57+INDEX(Simulador!$C$40:$F$40,F57),I57)-INDEX(Simulador!$C$41:$F$41,F57))*(INDEX(Simulador!$C$68:$F$68,F57)+Simulador!$N$8)/Simulador!$C$7,0)</f>
        <v>92455.6210810811</v>
      </c>
      <c r="R57" s="11" t="n">
        <f aca="false">N57+(IF(I57="",J57+INDEX(Simulador!$C$40:$F$40,F57),I57)-J57-INDEX(Simulador!$C$40:$F$40,F57))*Simulador!$C$9-INDEX(Simulador!$C$69:$F$69,F57)+IF(Simulador!$N$7="Sí",MAX(0,IF(I57="",J57+INDEX(Simulador!$C$40:$F$40,F57),I57)-INDEX(Simulador!$C$41:$F$41,F57))*(INDEX(Simulador!$C$68:$F$68,F57)+Simulador!$N$8)/Simulador!$C$7,0)</f>
        <v>137952.358918919</v>
      </c>
      <c r="S57" s="11" t="n">
        <f aca="false">O57+(IF(I57="",J57+INDEX(Simulador!$C$40:$F$40,F57),I57)-J57-INDEX(Simulador!$C$40:$F$40,F57))*Simulador!$C$9-INDEX(Simulador!$C$69:$F$69,F57)+IF(Simulador!$N$7="Sí",MAX(0,IF(I57="",J57+INDEX(Simulador!$C$40:$F$40,F57),I57)-INDEX(Simulador!$C$41:$F$41,F57))*(INDEX(Simulador!$C$68:$F$68,F57)+Simulador!$N$8)/Simulador!$C$7,0)</f>
        <v>137952.358918919</v>
      </c>
      <c r="T57" s="11" t="n">
        <f aca="false">P57+(IF(I57="",J57+INDEX(Simulador!$C$40:$F$40,F57),I57)-J57-INDEX(Simulador!$C$40:$F$40,F57))*Simulador!$C$9-INDEX(Simulador!$C$69:$F$69,F57)+IF(Simulador!$N$7="Sí",MAX(0,IF(I57="",J57+INDEX(Simulador!$C$40:$F$40,F57),I57)-INDEX(Simulador!$C$41:$F$41,F57))*(INDEX(Simulador!$C$68:$F$68,F57)+Simulador!$N$8)/Simulador!$C$7,0)</f>
        <v>94238.5951351351</v>
      </c>
      <c r="U57" s="2"/>
    </row>
    <row r="58" customFormat="false" ht="15" hidden="false" customHeight="false" outlineLevel="0" collapsed="false">
      <c r="B58" s="44" t="n">
        <v>45496</v>
      </c>
      <c r="C58" s="21" t="s">
        <v>541</v>
      </c>
      <c r="D58" s="45" t="n">
        <v>0.00640079979517441</v>
      </c>
      <c r="E58" s="21" t="s">
        <v>498</v>
      </c>
      <c r="F58" s="26" t="n">
        <f aca="false">MATCH(E58,{"Misma locación","0.15 - 5 km","5 - 10 km","10+ km"},0)</f>
        <v>1</v>
      </c>
      <c r="G58" s="26" t="n">
        <f aca="false">MONTH(B58)</f>
        <v>7</v>
      </c>
      <c r="H58" s="26" t="n">
        <f aca="false">COUNTIF($G$8:G58,G58)</f>
        <v>6</v>
      </c>
      <c r="I58" s="45" t="n">
        <v>7.75</v>
      </c>
      <c r="J58" s="46" t="n">
        <f aca="false">INDEX(Simulador!$C$39:$F$39,F58)</f>
        <v>12</v>
      </c>
      <c r="K58" s="47" t="n">
        <f aca="false">IF(I58="","",I58-J58)</f>
        <v>-4.25</v>
      </c>
      <c r="L58" s="12" t="n">
        <f aca="false">INDEX(Simulador!$C$51:$F$51,F58)</f>
        <v>76047.4054054054</v>
      </c>
      <c r="M58" s="11" t="n">
        <f aca="false">IF(H58&gt;=Simulador!$C$19,INDEX(Simulador!$C$63:$F$63,F58),INDEX(Simulador!$C$62:$F$62,F58))</f>
        <v>36443.0055405405</v>
      </c>
      <c r="N58" s="11" t="n">
        <f aca="false">INDEX(Simulador!$C$64:$F$64,F58)</f>
        <v>65678.4554054054</v>
      </c>
      <c r="O58" s="11" t="n">
        <f aca="false">IF(H58&gt;=Simulador!$C$19,INDEX(Simulador!$C$65:$F$65,F58),INDEX(Simulador!$C$64:$F$64,F58))</f>
        <v>41575.2277027027</v>
      </c>
      <c r="P58" s="11" t="n">
        <f aca="false">IF(H58&gt;=Simulador!$C$19,INDEX(Simulador!$C$67:$F$67,F58),INDEX(Simulador!$C$66:$F$66,F58))</f>
        <v>50763.8918918919</v>
      </c>
      <c r="Q58" s="11" t="n">
        <f aca="false">M58+(IF(I58="",J58+INDEX(Simulador!$C$40:$F$40,F58),I58)-J58-INDEX(Simulador!$C$40:$F$40,F58))*Simulador!$C$9-INDEX(Simulador!$C$69:$F$69,F58)+IF(Simulador!$N$7="Sí",MAX(0,IF(I58="",J58+INDEX(Simulador!$C$40:$F$40,F58),I58)-INDEX(Simulador!$C$41:$F$41,F58))*(INDEX(Simulador!$C$68:$F$68,F58)+Simulador!$N$8)/Simulador!$C$7,0)</f>
        <v>30255.0055405405</v>
      </c>
      <c r="R58" s="11" t="n">
        <f aca="false">N58+(IF(I58="",J58+INDEX(Simulador!$C$40:$F$40,F58),I58)-J58-INDEX(Simulador!$C$40:$F$40,F58))*Simulador!$C$9-INDEX(Simulador!$C$69:$F$69,F58)+IF(Simulador!$N$7="Sí",MAX(0,IF(I58="",J58+INDEX(Simulador!$C$40:$F$40,F58),I58)-INDEX(Simulador!$C$41:$F$41,F58))*(INDEX(Simulador!$C$68:$F$68,F58)+Simulador!$N$8)/Simulador!$C$7,0)</f>
        <v>59490.4554054054</v>
      </c>
      <c r="S58" s="11" t="n">
        <f aca="false">O58+(IF(I58="",J58+INDEX(Simulador!$C$40:$F$40,F58),I58)-J58-INDEX(Simulador!$C$40:$F$40,F58))*Simulador!$C$9-INDEX(Simulador!$C$69:$F$69,F58)+IF(Simulador!$N$7="Sí",MAX(0,IF(I58="",J58+INDEX(Simulador!$C$40:$F$40,F58),I58)-INDEX(Simulador!$C$41:$F$41,F58))*(INDEX(Simulador!$C$68:$F$68,F58)+Simulador!$N$8)/Simulador!$C$7,0)</f>
        <v>35387.2277027027</v>
      </c>
      <c r="T58" s="11" t="n">
        <f aca="false">P58+(IF(I58="",J58+INDEX(Simulador!$C$40:$F$40,F58),I58)-J58-INDEX(Simulador!$C$40:$F$40,F58))*Simulador!$C$9-INDEX(Simulador!$C$69:$F$69,F58)+IF(Simulador!$N$7="Sí",MAX(0,IF(I58="",J58+INDEX(Simulador!$C$40:$F$40,F58),I58)-INDEX(Simulador!$C$41:$F$41,F58))*(INDEX(Simulador!$C$68:$F$68,F58)+Simulador!$N$8)/Simulador!$C$7,0)</f>
        <v>44575.8918918919</v>
      </c>
      <c r="U58" s="2"/>
    </row>
    <row r="59" customFormat="false" ht="15" hidden="false" customHeight="false" outlineLevel="0" collapsed="false">
      <c r="B59" s="44" t="n">
        <v>45499</v>
      </c>
      <c r="C59" s="21" t="s">
        <v>542</v>
      </c>
      <c r="D59" s="45" t="n">
        <v>12.75</v>
      </c>
      <c r="E59" s="21" t="s">
        <v>482</v>
      </c>
      <c r="F59" s="26" t="n">
        <f aca="false">MATCH(E59,{"Misma locación","0.15 - 5 km","5 - 10 km","10+ km"},0)</f>
        <v>4</v>
      </c>
      <c r="G59" s="26" t="n">
        <f aca="false">MONTH(B59)</f>
        <v>7</v>
      </c>
      <c r="H59" s="26" t="n">
        <f aca="false">COUNTIF($G$8:G59,G59)</f>
        <v>7</v>
      </c>
      <c r="I59" s="45" t="n">
        <v>4.6</v>
      </c>
      <c r="J59" s="46" t="n">
        <f aca="false">INDEX(Simulador!$C$39:$F$39,F59)</f>
        <v>28</v>
      </c>
      <c r="K59" s="47" t="n">
        <f aca="false">IF(I59="","",I59-J59)</f>
        <v>-23.4</v>
      </c>
      <c r="L59" s="12" t="n">
        <f aca="false">INDEX(Simulador!$C$51:$F$51,F59)</f>
        <v>110984.810810811</v>
      </c>
      <c r="M59" s="11" t="n">
        <f aca="false">IF(H59&gt;=Simulador!$C$19,INDEX(Simulador!$C$63:$F$63,F59),INDEX(Simulador!$C$62:$F$62,F59))</f>
        <v>74073.8105405406</v>
      </c>
      <c r="N59" s="11" t="n">
        <f aca="false">INDEX(Simulador!$C$64:$F$64,F59)</f>
        <v>152876.358918919</v>
      </c>
      <c r="O59" s="11" t="n">
        <f aca="false">IF(H59&gt;=Simulador!$C$19,INDEX(Simulador!$C$65:$F$65,F59),INDEX(Simulador!$C$64:$F$64,F59))</f>
        <v>96822.1794594595</v>
      </c>
      <c r="P59" s="11" t="n">
        <f aca="false">IF(H59&gt;=Simulador!$C$19,INDEX(Simulador!$C$67:$F$67,F59),INDEX(Simulador!$C$66:$F$66,F59))</f>
        <v>85918</v>
      </c>
      <c r="Q59" s="11" t="n">
        <f aca="false">M59+(IF(I59="",J59+INDEX(Simulador!$C$40:$F$40,F59),I59)-J59-INDEX(Simulador!$C$40:$F$40,F59))*Simulador!$C$9-INDEX(Simulador!$C$69:$F$69,F59)+IF(Simulador!$N$7="Sí",MAX(0,IF(I59="",J59+INDEX(Simulador!$C$40:$F$40,F59),I59)-INDEX(Simulador!$C$41:$F$41,F59))*(INDEX(Simulador!$C$68:$F$68,F59)+Simulador!$N$8)/Simulador!$C$7,0)</f>
        <v>40003.4105405406</v>
      </c>
      <c r="R59" s="11" t="n">
        <f aca="false">N59+(IF(I59="",J59+INDEX(Simulador!$C$40:$F$40,F59),I59)-J59-INDEX(Simulador!$C$40:$F$40,F59))*Simulador!$C$9-INDEX(Simulador!$C$69:$F$69,F59)+IF(Simulador!$N$7="Sí",MAX(0,IF(I59="",J59+INDEX(Simulador!$C$40:$F$40,F59),I59)-INDEX(Simulador!$C$41:$F$41,F59))*(INDEX(Simulador!$C$68:$F$68,F59)+Simulador!$N$8)/Simulador!$C$7,0)</f>
        <v>118805.958918919</v>
      </c>
      <c r="S59" s="11" t="n">
        <f aca="false">O59+(IF(I59="",J59+INDEX(Simulador!$C$40:$F$40,F59),I59)-J59-INDEX(Simulador!$C$40:$F$40,F59))*Simulador!$C$9-INDEX(Simulador!$C$69:$F$69,F59)+IF(Simulador!$N$7="Sí",MAX(0,IF(I59="",J59+INDEX(Simulador!$C$40:$F$40,F59),I59)-INDEX(Simulador!$C$41:$F$41,F59))*(INDEX(Simulador!$C$68:$F$68,F59)+Simulador!$N$8)/Simulador!$C$7,0)</f>
        <v>62751.7794594595</v>
      </c>
      <c r="T59" s="11" t="n">
        <f aca="false">P59+(IF(I59="",J59+INDEX(Simulador!$C$40:$F$40,F59),I59)-J59-INDEX(Simulador!$C$40:$F$40,F59))*Simulador!$C$9-INDEX(Simulador!$C$69:$F$69,F59)+IF(Simulador!$N$7="Sí",MAX(0,IF(I59="",J59+INDEX(Simulador!$C$40:$F$40,F59),I59)-INDEX(Simulador!$C$41:$F$41,F59))*(INDEX(Simulador!$C$68:$F$68,F59)+Simulador!$N$8)/Simulador!$C$7,0)</f>
        <v>51847.6</v>
      </c>
      <c r="U59" s="2"/>
    </row>
    <row r="60" customFormat="false" ht="15" hidden="false" customHeight="false" outlineLevel="0" collapsed="false">
      <c r="B60" s="44" t="n">
        <v>45524</v>
      </c>
      <c r="C60" s="21" t="s">
        <v>543</v>
      </c>
      <c r="D60" s="45" t="n">
        <v>12.6</v>
      </c>
      <c r="E60" s="21" t="s">
        <v>482</v>
      </c>
      <c r="F60" s="26" t="n">
        <f aca="false">MATCH(E60,{"Misma locación","0.15 - 5 km","5 - 10 km","10+ km"},0)</f>
        <v>4</v>
      </c>
      <c r="G60" s="26" t="n">
        <f aca="false">MONTH(B60)</f>
        <v>8</v>
      </c>
      <c r="H60" s="26" t="n">
        <f aca="false">COUNTIF($G$8:G60,G60)</f>
        <v>1</v>
      </c>
      <c r="I60" s="45" t="n">
        <v>24</v>
      </c>
      <c r="J60" s="46" t="n">
        <f aca="false">INDEX(Simulador!$C$39:$F$39,F60)</f>
        <v>28</v>
      </c>
      <c r="K60" s="47" t="n">
        <f aca="false">IF(I60="","",I60-J60)</f>
        <v>-4</v>
      </c>
      <c r="L60" s="12" t="n">
        <f aca="false">INDEX(Simulador!$C$51:$F$51,F60)</f>
        <v>110984.810810811</v>
      </c>
      <c r="M60" s="11" t="n">
        <f aca="false">IF(H60&gt;=Simulador!$C$19,INDEX(Simulador!$C$63:$F$63,F60),INDEX(Simulador!$C$62:$F$62,F60))</f>
        <v>107379.621081081</v>
      </c>
      <c r="N60" s="11" t="n">
        <f aca="false">INDEX(Simulador!$C$64:$F$64,F60)</f>
        <v>152876.358918919</v>
      </c>
      <c r="O60" s="11" t="n">
        <f aca="false">IF(H60&gt;=Simulador!$C$19,INDEX(Simulador!$C$65:$F$65,F60),INDEX(Simulador!$C$64:$F$64,F60))</f>
        <v>152876.358918919</v>
      </c>
      <c r="P60" s="11" t="n">
        <f aca="false">IF(H60&gt;=Simulador!$C$19,INDEX(Simulador!$C$67:$F$67,F60),INDEX(Simulador!$C$66:$F$66,F60))</f>
        <v>109162.595135135</v>
      </c>
      <c r="Q60" s="11" t="n">
        <f aca="false">M60+(IF(I60="",J60+INDEX(Simulador!$C$40:$F$40,F60),I60)-J60-INDEX(Simulador!$C$40:$F$40,F60))*Simulador!$C$9-INDEX(Simulador!$C$69:$F$69,F60)+IF(Simulador!$N$7="Sí",MAX(0,IF(I60="",J60+INDEX(Simulador!$C$40:$F$40,F60),I60)-INDEX(Simulador!$C$41:$F$41,F60))*(INDEX(Simulador!$C$68:$F$68,F60)+Simulador!$N$8)/Simulador!$C$7,0)</f>
        <v>101555.621081081</v>
      </c>
      <c r="R60" s="11" t="n">
        <f aca="false">N60+(IF(I60="",J60+INDEX(Simulador!$C$40:$F$40,F60),I60)-J60-INDEX(Simulador!$C$40:$F$40,F60))*Simulador!$C$9-INDEX(Simulador!$C$69:$F$69,F60)+IF(Simulador!$N$7="Sí",MAX(0,IF(I60="",J60+INDEX(Simulador!$C$40:$F$40,F60),I60)-INDEX(Simulador!$C$41:$F$41,F60))*(INDEX(Simulador!$C$68:$F$68,F60)+Simulador!$N$8)/Simulador!$C$7,0)</f>
        <v>147052.358918919</v>
      </c>
      <c r="S60" s="11" t="n">
        <f aca="false">O60+(IF(I60="",J60+INDEX(Simulador!$C$40:$F$40,F60),I60)-J60-INDEX(Simulador!$C$40:$F$40,F60))*Simulador!$C$9-INDEX(Simulador!$C$69:$F$69,F60)+IF(Simulador!$N$7="Sí",MAX(0,IF(I60="",J60+INDEX(Simulador!$C$40:$F$40,F60),I60)-INDEX(Simulador!$C$41:$F$41,F60))*(INDEX(Simulador!$C$68:$F$68,F60)+Simulador!$N$8)/Simulador!$C$7,0)</f>
        <v>147052.358918919</v>
      </c>
      <c r="T60" s="11" t="n">
        <f aca="false">P60+(IF(I60="",J60+INDEX(Simulador!$C$40:$F$40,F60),I60)-J60-INDEX(Simulador!$C$40:$F$40,F60))*Simulador!$C$9-INDEX(Simulador!$C$69:$F$69,F60)+IF(Simulador!$N$7="Sí",MAX(0,IF(I60="",J60+INDEX(Simulador!$C$40:$F$40,F60),I60)-INDEX(Simulador!$C$41:$F$41,F60))*(INDEX(Simulador!$C$68:$F$68,F60)+Simulador!$N$8)/Simulador!$C$7,0)</f>
        <v>103338.595135135</v>
      </c>
      <c r="U60" s="2"/>
    </row>
    <row r="61" customFormat="false" ht="15" hidden="false" customHeight="false" outlineLevel="0" collapsed="false">
      <c r="B61" s="44" t="n">
        <v>45528</v>
      </c>
      <c r="C61" s="21" t="s">
        <v>544</v>
      </c>
      <c r="D61" s="45" t="n">
        <v>0.039623998732032</v>
      </c>
      <c r="E61" s="21" t="s">
        <v>498</v>
      </c>
      <c r="F61" s="26" t="n">
        <f aca="false">MATCH(E61,{"Misma locación","0.15 - 5 km","5 - 10 km","10+ km"},0)</f>
        <v>1</v>
      </c>
      <c r="G61" s="26" t="n">
        <f aca="false">MONTH(B61)</f>
        <v>8</v>
      </c>
      <c r="H61" s="26" t="n">
        <f aca="false">COUNTIF($G$8:G61,G61)</f>
        <v>2</v>
      </c>
      <c r="I61" s="45" t="n">
        <v>14.25</v>
      </c>
      <c r="J61" s="46" t="n">
        <f aca="false">INDEX(Simulador!$C$39:$F$39,F61)</f>
        <v>12</v>
      </c>
      <c r="K61" s="47" t="n">
        <f aca="false">IF(I61="","",I61-J61)</f>
        <v>2.25</v>
      </c>
      <c r="L61" s="12" t="n">
        <f aca="false">INDEX(Simulador!$C$51:$F$51,F61)</f>
        <v>76047.4054054054</v>
      </c>
      <c r="M61" s="11" t="n">
        <f aca="false">IF(H61&gt;=Simulador!$C$19,INDEX(Simulador!$C$63:$F$63,F61),INDEX(Simulador!$C$62:$F$62,F61))</f>
        <v>55414.0110810811</v>
      </c>
      <c r="N61" s="11" t="n">
        <f aca="false">INDEX(Simulador!$C$64:$F$64,F61)</f>
        <v>65678.4554054054</v>
      </c>
      <c r="O61" s="11" t="n">
        <f aca="false">IF(H61&gt;=Simulador!$C$19,INDEX(Simulador!$C$65:$F$65,F61),INDEX(Simulador!$C$64:$F$64,F61))</f>
        <v>65678.4554054054</v>
      </c>
      <c r="P61" s="11" t="n">
        <f aca="false">IF(H61&gt;=Simulador!$C$19,INDEX(Simulador!$C$67:$F$67,F61),INDEX(Simulador!$C$66:$F$66,F61))</f>
        <v>55372.8113513514</v>
      </c>
      <c r="Q61" s="11" t="n">
        <f aca="false">M61+(IF(I61="",J61+INDEX(Simulador!$C$40:$F$40,F61),I61)-J61-INDEX(Simulador!$C$40:$F$40,F61))*Simulador!$C$9-INDEX(Simulador!$C$69:$F$69,F61)+IF(Simulador!$N$7="Sí",MAX(0,IF(I61="",J61+INDEX(Simulador!$C$40:$F$40,F61),I61)-INDEX(Simulador!$C$41:$F$41,F61))*(INDEX(Simulador!$C$68:$F$68,F61)+Simulador!$N$8)/Simulador!$C$7,0)</f>
        <v>61743.625945946</v>
      </c>
      <c r="R61" s="11" t="n">
        <f aca="false">N61+(IF(I61="",J61+INDEX(Simulador!$C$40:$F$40,F61),I61)-J61-INDEX(Simulador!$C$40:$F$40,F61))*Simulador!$C$9-INDEX(Simulador!$C$69:$F$69,F61)+IF(Simulador!$N$7="Sí",MAX(0,IF(I61="",J61+INDEX(Simulador!$C$40:$F$40,F61),I61)-INDEX(Simulador!$C$41:$F$41,F61))*(INDEX(Simulador!$C$68:$F$68,F61)+Simulador!$N$8)/Simulador!$C$7,0)</f>
        <v>72008.0702702703</v>
      </c>
      <c r="S61" s="11" t="n">
        <f aca="false">O61+(IF(I61="",J61+INDEX(Simulador!$C$40:$F$40,F61),I61)-J61-INDEX(Simulador!$C$40:$F$40,F61))*Simulador!$C$9-INDEX(Simulador!$C$69:$F$69,F61)+IF(Simulador!$N$7="Sí",MAX(0,IF(I61="",J61+INDEX(Simulador!$C$40:$F$40,F61),I61)-INDEX(Simulador!$C$41:$F$41,F61))*(INDEX(Simulador!$C$68:$F$68,F61)+Simulador!$N$8)/Simulador!$C$7,0)</f>
        <v>72008.0702702703</v>
      </c>
      <c r="T61" s="11" t="n">
        <f aca="false">P61+(IF(I61="",J61+INDEX(Simulador!$C$40:$F$40,F61),I61)-J61-INDEX(Simulador!$C$40:$F$40,F61))*Simulador!$C$9-INDEX(Simulador!$C$69:$F$69,F61)+IF(Simulador!$N$7="Sí",MAX(0,IF(I61="",J61+INDEX(Simulador!$C$40:$F$40,F61),I61)-INDEX(Simulador!$C$41:$F$41,F61))*(INDEX(Simulador!$C$68:$F$68,F61)+Simulador!$N$8)/Simulador!$C$7,0)</f>
        <v>61702.4262162162</v>
      </c>
      <c r="U61" s="2"/>
    </row>
    <row r="62" customFormat="false" ht="15" hidden="false" customHeight="false" outlineLevel="0" collapsed="false">
      <c r="B62" s="44" t="n">
        <v>45535</v>
      </c>
      <c r="C62" s="21" t="s">
        <v>545</v>
      </c>
      <c r="D62" s="45" t="n">
        <v>9.1</v>
      </c>
      <c r="E62" s="21" t="s">
        <v>496</v>
      </c>
      <c r="F62" s="26" t="n">
        <f aca="false">MATCH(E62,{"Misma locación","0.15 - 5 km","5 - 10 km","10+ km"},0)</f>
        <v>3</v>
      </c>
      <c r="G62" s="26" t="n">
        <f aca="false">MONTH(B62)</f>
        <v>8</v>
      </c>
      <c r="H62" s="26" t="n">
        <f aca="false">COUNTIF($G$8:G62,G62)</f>
        <v>3</v>
      </c>
      <c r="I62" s="45" t="n">
        <v>15.75</v>
      </c>
      <c r="J62" s="46" t="n">
        <f aca="false">INDEX(Simulador!$C$39:$F$39,F62)</f>
        <v>24</v>
      </c>
      <c r="K62" s="47" t="n">
        <f aca="false">IF(I62="","",I62-J62)</f>
        <v>-8.25</v>
      </c>
      <c r="L62" s="12" t="n">
        <f aca="false">INDEX(Simulador!$C$51:$F$51,F62)</f>
        <v>96184.8108108108</v>
      </c>
      <c r="M62" s="11" t="n">
        <f aca="false">IF(H62&gt;=Simulador!$C$19,INDEX(Simulador!$C$63:$F$63,F62),INDEX(Simulador!$C$62:$F$62,F62))</f>
        <v>99393.4589189189</v>
      </c>
      <c r="N62" s="11" t="n">
        <f aca="false">INDEX(Simulador!$C$64:$F$64,F62)</f>
        <v>135930.452432432</v>
      </c>
      <c r="O62" s="11" t="n">
        <f aca="false">IF(H62&gt;=Simulador!$C$19,INDEX(Simulador!$C$65:$F$65,F62),INDEX(Simulador!$C$64:$F$64,F62))</f>
        <v>135930.452432432</v>
      </c>
      <c r="P62" s="11" t="n">
        <f aca="false">IF(H62&gt;=Simulador!$C$19,INDEX(Simulador!$C$67:$F$67,F62),INDEX(Simulador!$C$66:$F$66,F62))</f>
        <v>102242.108648649</v>
      </c>
      <c r="Q62" s="11" t="n">
        <f aca="false">M62+(IF(I62="",J62+INDEX(Simulador!$C$40:$F$40,F62),I62)-J62-INDEX(Simulador!$C$40:$F$40,F62))*Simulador!$C$9-INDEX(Simulador!$C$69:$F$69,F62)+IF(Simulador!$N$7="Sí",MAX(0,IF(I62="",J62+INDEX(Simulador!$C$40:$F$40,F62),I62)-INDEX(Simulador!$C$41:$F$41,F62))*(INDEX(Simulador!$C$68:$F$68,F62)+Simulador!$N$8)/Simulador!$C$7,0)</f>
        <v>87381.4589189189</v>
      </c>
      <c r="R62" s="11" t="n">
        <f aca="false">N62+(IF(I62="",J62+INDEX(Simulador!$C$40:$F$40,F62),I62)-J62-INDEX(Simulador!$C$40:$F$40,F62))*Simulador!$C$9-INDEX(Simulador!$C$69:$F$69,F62)+IF(Simulador!$N$7="Sí",MAX(0,IF(I62="",J62+INDEX(Simulador!$C$40:$F$40,F62),I62)-INDEX(Simulador!$C$41:$F$41,F62))*(INDEX(Simulador!$C$68:$F$68,F62)+Simulador!$N$8)/Simulador!$C$7,0)</f>
        <v>123918.452432432</v>
      </c>
      <c r="S62" s="11" t="n">
        <f aca="false">O62+(IF(I62="",J62+INDEX(Simulador!$C$40:$F$40,F62),I62)-J62-INDEX(Simulador!$C$40:$F$40,F62))*Simulador!$C$9-INDEX(Simulador!$C$69:$F$69,F62)+IF(Simulador!$N$7="Sí",MAX(0,IF(I62="",J62+INDEX(Simulador!$C$40:$F$40,F62),I62)-INDEX(Simulador!$C$41:$F$41,F62))*(INDEX(Simulador!$C$68:$F$68,F62)+Simulador!$N$8)/Simulador!$C$7,0)</f>
        <v>123918.452432432</v>
      </c>
      <c r="T62" s="11" t="n">
        <f aca="false">P62+(IF(I62="",J62+INDEX(Simulador!$C$40:$F$40,F62),I62)-J62-INDEX(Simulador!$C$40:$F$40,F62))*Simulador!$C$9-INDEX(Simulador!$C$69:$F$69,F62)+IF(Simulador!$N$7="Sí",MAX(0,IF(I62="",J62+INDEX(Simulador!$C$40:$F$40,F62),I62)-INDEX(Simulador!$C$41:$F$41,F62))*(INDEX(Simulador!$C$68:$F$68,F62)+Simulador!$N$8)/Simulador!$C$7,0)</f>
        <v>90230.1086486487</v>
      </c>
      <c r="U62" s="2"/>
    </row>
    <row r="63" customFormat="false" ht="15" hidden="false" customHeight="false" outlineLevel="0" collapsed="false">
      <c r="B63" s="44" t="n">
        <v>45539</v>
      </c>
      <c r="C63" s="21" t="s">
        <v>546</v>
      </c>
      <c r="D63" s="45" t="n">
        <v>5.5</v>
      </c>
      <c r="E63" s="21" t="s">
        <v>496</v>
      </c>
      <c r="F63" s="26" t="n">
        <f aca="false">MATCH(E63,{"Misma locación","0.15 - 5 km","5 - 10 km","10+ km"},0)</f>
        <v>3</v>
      </c>
      <c r="G63" s="26" t="n">
        <f aca="false">MONTH(B63)</f>
        <v>9</v>
      </c>
      <c r="H63" s="26" t="n">
        <f aca="false">COUNTIF($G$8:G63,G63)</f>
        <v>1</v>
      </c>
      <c r="I63" s="45" t="n">
        <v>20</v>
      </c>
      <c r="J63" s="46" t="n">
        <f aca="false">INDEX(Simulador!$C$39:$F$39,F63)</f>
        <v>24</v>
      </c>
      <c r="K63" s="47" t="n">
        <f aca="false">IF(I63="","",I63-J63)</f>
        <v>-4</v>
      </c>
      <c r="L63" s="12" t="n">
        <f aca="false">INDEX(Simulador!$C$51:$F$51,F63)</f>
        <v>96184.8108108108</v>
      </c>
      <c r="M63" s="11" t="n">
        <f aca="false">IF(H63&gt;=Simulador!$C$19,INDEX(Simulador!$C$63:$F$63,F63),INDEX(Simulador!$C$62:$F$62,F63))</f>
        <v>99393.4589189189</v>
      </c>
      <c r="N63" s="11" t="n">
        <f aca="false">INDEX(Simulador!$C$64:$F$64,F63)</f>
        <v>135930.452432432</v>
      </c>
      <c r="O63" s="11" t="n">
        <f aca="false">IF(H63&gt;=Simulador!$C$19,INDEX(Simulador!$C$65:$F$65,F63),INDEX(Simulador!$C$64:$F$64,F63))</f>
        <v>135930.452432432</v>
      </c>
      <c r="P63" s="11" t="n">
        <f aca="false">IF(H63&gt;=Simulador!$C$19,INDEX(Simulador!$C$67:$F$67,F63),INDEX(Simulador!$C$66:$F$66,F63))</f>
        <v>102242.108648649</v>
      </c>
      <c r="Q63" s="11" t="n">
        <f aca="false">M63+(IF(I63="",J63+INDEX(Simulador!$C$40:$F$40,F63),I63)-J63-INDEX(Simulador!$C$40:$F$40,F63))*Simulador!$C$9-INDEX(Simulador!$C$69:$F$69,F63)+IF(Simulador!$N$7="Sí",MAX(0,IF(I63="",J63+INDEX(Simulador!$C$40:$F$40,F63),I63)-INDEX(Simulador!$C$41:$F$41,F63))*(INDEX(Simulador!$C$68:$F$68,F63)+Simulador!$N$8)/Simulador!$C$7,0)</f>
        <v>93569.4589189189</v>
      </c>
      <c r="R63" s="11" t="n">
        <f aca="false">N63+(IF(I63="",J63+INDEX(Simulador!$C$40:$F$40,F63),I63)-J63-INDEX(Simulador!$C$40:$F$40,F63))*Simulador!$C$9-INDEX(Simulador!$C$69:$F$69,F63)+IF(Simulador!$N$7="Sí",MAX(0,IF(I63="",J63+INDEX(Simulador!$C$40:$F$40,F63),I63)-INDEX(Simulador!$C$41:$F$41,F63))*(INDEX(Simulador!$C$68:$F$68,F63)+Simulador!$N$8)/Simulador!$C$7,0)</f>
        <v>130106.452432432</v>
      </c>
      <c r="S63" s="11" t="n">
        <f aca="false">O63+(IF(I63="",J63+INDEX(Simulador!$C$40:$F$40,F63),I63)-J63-INDEX(Simulador!$C$40:$F$40,F63))*Simulador!$C$9-INDEX(Simulador!$C$69:$F$69,F63)+IF(Simulador!$N$7="Sí",MAX(0,IF(I63="",J63+INDEX(Simulador!$C$40:$F$40,F63),I63)-INDEX(Simulador!$C$41:$F$41,F63))*(INDEX(Simulador!$C$68:$F$68,F63)+Simulador!$N$8)/Simulador!$C$7,0)</f>
        <v>130106.452432432</v>
      </c>
      <c r="T63" s="11" t="n">
        <f aca="false">P63+(IF(I63="",J63+INDEX(Simulador!$C$40:$F$40,F63),I63)-J63-INDEX(Simulador!$C$40:$F$40,F63))*Simulador!$C$9-INDEX(Simulador!$C$69:$F$69,F63)+IF(Simulador!$N$7="Sí",MAX(0,IF(I63="",J63+INDEX(Simulador!$C$40:$F$40,F63),I63)-INDEX(Simulador!$C$41:$F$41,F63))*(INDEX(Simulador!$C$68:$F$68,F63)+Simulador!$N$8)/Simulador!$C$7,0)</f>
        <v>96418.1086486487</v>
      </c>
      <c r="U63" s="2"/>
    </row>
    <row r="64" customFormat="false" ht="15" hidden="false" customHeight="false" outlineLevel="0" collapsed="false">
      <c r="B64" s="44" t="n">
        <v>45544</v>
      </c>
      <c r="C64" s="21" t="s">
        <v>547</v>
      </c>
      <c r="D64" s="45" t="n">
        <v>7.7</v>
      </c>
      <c r="E64" s="21" t="s">
        <v>496</v>
      </c>
      <c r="F64" s="26" t="n">
        <f aca="false">MATCH(E64,{"Misma locación","0.15 - 5 km","5 - 10 km","10+ km"},0)</f>
        <v>3</v>
      </c>
      <c r="G64" s="26" t="n">
        <f aca="false">MONTH(B64)</f>
        <v>9</v>
      </c>
      <c r="H64" s="26" t="n">
        <f aca="false">COUNTIF($G$8:G64,G64)</f>
        <v>2</v>
      </c>
      <c r="I64" s="45" t="n">
        <v>15.25</v>
      </c>
      <c r="J64" s="46" t="n">
        <f aca="false">INDEX(Simulador!$C$39:$F$39,F64)</f>
        <v>24</v>
      </c>
      <c r="K64" s="47" t="n">
        <f aca="false">IF(I64="","",I64-J64)</f>
        <v>-8.75</v>
      </c>
      <c r="L64" s="12" t="n">
        <f aca="false">INDEX(Simulador!$C$51:$F$51,F64)</f>
        <v>96184.8108108108</v>
      </c>
      <c r="M64" s="11" t="n">
        <f aca="false">IF(H64&gt;=Simulador!$C$19,INDEX(Simulador!$C$63:$F$63,F64),INDEX(Simulador!$C$62:$F$62,F64))</f>
        <v>99393.4589189189</v>
      </c>
      <c r="N64" s="11" t="n">
        <f aca="false">INDEX(Simulador!$C$64:$F$64,F64)</f>
        <v>135930.452432432</v>
      </c>
      <c r="O64" s="11" t="n">
        <f aca="false">IF(H64&gt;=Simulador!$C$19,INDEX(Simulador!$C$65:$F$65,F64),INDEX(Simulador!$C$64:$F$64,F64))</f>
        <v>135930.452432432</v>
      </c>
      <c r="P64" s="11" t="n">
        <f aca="false">IF(H64&gt;=Simulador!$C$19,INDEX(Simulador!$C$67:$F$67,F64),INDEX(Simulador!$C$66:$F$66,F64))</f>
        <v>102242.108648649</v>
      </c>
      <c r="Q64" s="11" t="n">
        <f aca="false">M64+(IF(I64="",J64+INDEX(Simulador!$C$40:$F$40,F64),I64)-J64-INDEX(Simulador!$C$40:$F$40,F64))*Simulador!$C$9-INDEX(Simulador!$C$69:$F$69,F64)+IF(Simulador!$N$7="Sí",MAX(0,IF(I64="",J64+INDEX(Simulador!$C$40:$F$40,F64),I64)-INDEX(Simulador!$C$41:$F$41,F64))*(INDEX(Simulador!$C$68:$F$68,F64)+Simulador!$N$8)/Simulador!$C$7,0)</f>
        <v>86653.4589189189</v>
      </c>
      <c r="R64" s="11" t="n">
        <f aca="false">N64+(IF(I64="",J64+INDEX(Simulador!$C$40:$F$40,F64),I64)-J64-INDEX(Simulador!$C$40:$F$40,F64))*Simulador!$C$9-INDEX(Simulador!$C$69:$F$69,F64)+IF(Simulador!$N$7="Sí",MAX(0,IF(I64="",J64+INDEX(Simulador!$C$40:$F$40,F64),I64)-INDEX(Simulador!$C$41:$F$41,F64))*(INDEX(Simulador!$C$68:$F$68,F64)+Simulador!$N$8)/Simulador!$C$7,0)</f>
        <v>123190.452432432</v>
      </c>
      <c r="S64" s="11" t="n">
        <f aca="false">O64+(IF(I64="",J64+INDEX(Simulador!$C$40:$F$40,F64),I64)-J64-INDEX(Simulador!$C$40:$F$40,F64))*Simulador!$C$9-INDEX(Simulador!$C$69:$F$69,F64)+IF(Simulador!$N$7="Sí",MAX(0,IF(I64="",J64+INDEX(Simulador!$C$40:$F$40,F64),I64)-INDEX(Simulador!$C$41:$F$41,F64))*(INDEX(Simulador!$C$68:$F$68,F64)+Simulador!$N$8)/Simulador!$C$7,0)</f>
        <v>123190.452432432</v>
      </c>
      <c r="T64" s="11" t="n">
        <f aca="false">P64+(IF(I64="",J64+INDEX(Simulador!$C$40:$F$40,F64),I64)-J64-INDEX(Simulador!$C$40:$F$40,F64))*Simulador!$C$9-INDEX(Simulador!$C$69:$F$69,F64)+IF(Simulador!$N$7="Sí",MAX(0,IF(I64="",J64+INDEX(Simulador!$C$40:$F$40,F64),I64)-INDEX(Simulador!$C$41:$F$41,F64))*(INDEX(Simulador!$C$68:$F$68,F64)+Simulador!$N$8)/Simulador!$C$7,0)</f>
        <v>89502.1086486487</v>
      </c>
      <c r="U64" s="2"/>
    </row>
    <row r="65" customFormat="false" ht="15" hidden="false" customHeight="false" outlineLevel="0" collapsed="false">
      <c r="B65" s="44" t="n">
        <v>45545</v>
      </c>
      <c r="C65" s="21" t="s">
        <v>548</v>
      </c>
      <c r="D65" s="45" t="n">
        <v>0.0448055985662208</v>
      </c>
      <c r="E65" s="21" t="s">
        <v>498</v>
      </c>
      <c r="F65" s="26" t="n">
        <f aca="false">MATCH(E65,{"Misma locación","0.15 - 5 km","5 - 10 km","10+ km"},0)</f>
        <v>1</v>
      </c>
      <c r="G65" s="26" t="n">
        <f aca="false">MONTH(B65)</f>
        <v>9</v>
      </c>
      <c r="H65" s="26" t="n">
        <f aca="false">COUNTIF($G$8:G65,G65)</f>
        <v>3</v>
      </c>
      <c r="I65" s="45" t="n">
        <v>16</v>
      </c>
      <c r="J65" s="46" t="n">
        <f aca="false">INDEX(Simulador!$C$39:$F$39,F65)</f>
        <v>12</v>
      </c>
      <c r="K65" s="47" t="n">
        <f aca="false">IF(I65="","",I65-J65)</f>
        <v>4</v>
      </c>
      <c r="L65" s="12" t="n">
        <f aca="false">INDEX(Simulador!$C$51:$F$51,F65)</f>
        <v>76047.4054054054</v>
      </c>
      <c r="M65" s="11" t="n">
        <f aca="false">IF(H65&gt;=Simulador!$C$19,INDEX(Simulador!$C$63:$F$63,F65),INDEX(Simulador!$C$62:$F$62,F65))</f>
        <v>55414.0110810811</v>
      </c>
      <c r="N65" s="11" t="n">
        <f aca="false">INDEX(Simulador!$C$64:$F$64,F65)</f>
        <v>65678.4554054054</v>
      </c>
      <c r="O65" s="11" t="n">
        <f aca="false">IF(H65&gt;=Simulador!$C$19,INDEX(Simulador!$C$65:$F$65,F65),INDEX(Simulador!$C$64:$F$64,F65))</f>
        <v>65678.4554054054</v>
      </c>
      <c r="P65" s="11" t="n">
        <f aca="false">IF(H65&gt;=Simulador!$C$19,INDEX(Simulador!$C$67:$F$67,F65),INDEX(Simulador!$C$66:$F$66,F65))</f>
        <v>55372.8113513514</v>
      </c>
      <c r="Q65" s="11" t="n">
        <f aca="false">M65+(IF(I65="",J65+INDEX(Simulador!$C$40:$F$40,F65),I65)-J65-INDEX(Simulador!$C$40:$F$40,F65))*Simulador!$C$9-INDEX(Simulador!$C$69:$F$69,F65)+IF(Simulador!$N$7="Sí",MAX(0,IF(I65="",J65+INDEX(Simulador!$C$40:$F$40,F65),I65)-INDEX(Simulador!$C$41:$F$41,F65))*(INDEX(Simulador!$C$68:$F$68,F65)+Simulador!$N$8)/Simulador!$C$7,0)</f>
        <v>66666.6597297297</v>
      </c>
      <c r="R65" s="11" t="n">
        <f aca="false">N65+(IF(I65="",J65+INDEX(Simulador!$C$40:$F$40,F65),I65)-J65-INDEX(Simulador!$C$40:$F$40,F65))*Simulador!$C$9-INDEX(Simulador!$C$69:$F$69,F65)+IF(Simulador!$N$7="Sí",MAX(0,IF(I65="",J65+INDEX(Simulador!$C$40:$F$40,F65),I65)-INDEX(Simulador!$C$41:$F$41,F65))*(INDEX(Simulador!$C$68:$F$68,F65)+Simulador!$N$8)/Simulador!$C$7,0)</f>
        <v>76931.1040540541</v>
      </c>
      <c r="S65" s="11" t="n">
        <f aca="false">O65+(IF(I65="",J65+INDEX(Simulador!$C$40:$F$40,F65),I65)-J65-INDEX(Simulador!$C$40:$F$40,F65))*Simulador!$C$9-INDEX(Simulador!$C$69:$F$69,F65)+IF(Simulador!$N$7="Sí",MAX(0,IF(I65="",J65+INDEX(Simulador!$C$40:$F$40,F65),I65)-INDEX(Simulador!$C$41:$F$41,F65))*(INDEX(Simulador!$C$68:$F$68,F65)+Simulador!$N$8)/Simulador!$C$7,0)</f>
        <v>76931.1040540541</v>
      </c>
      <c r="T65" s="11" t="n">
        <f aca="false">P65+(IF(I65="",J65+INDEX(Simulador!$C$40:$F$40,F65),I65)-J65-INDEX(Simulador!$C$40:$F$40,F65))*Simulador!$C$9-INDEX(Simulador!$C$69:$F$69,F65)+IF(Simulador!$N$7="Sí",MAX(0,IF(I65="",J65+INDEX(Simulador!$C$40:$F$40,F65),I65)-INDEX(Simulador!$C$41:$F$41,F65))*(INDEX(Simulador!$C$68:$F$68,F65)+Simulador!$N$8)/Simulador!$C$7,0)</f>
        <v>66625.46</v>
      </c>
      <c r="U65" s="2"/>
    </row>
    <row r="66" customFormat="false" ht="15" hidden="false" customHeight="false" outlineLevel="0" collapsed="false">
      <c r="B66" s="44" t="n">
        <v>45549</v>
      </c>
      <c r="C66" s="21" t="s">
        <v>549</v>
      </c>
      <c r="D66" s="45" t="n">
        <v>0.00640079979517441</v>
      </c>
      <c r="E66" s="21" t="s">
        <v>498</v>
      </c>
      <c r="F66" s="26" t="n">
        <f aca="false">MATCH(E66,{"Misma locación","0.15 - 5 km","5 - 10 km","10+ km"},0)</f>
        <v>1</v>
      </c>
      <c r="G66" s="26" t="n">
        <f aca="false">MONTH(B66)</f>
        <v>9</v>
      </c>
      <c r="H66" s="26" t="n">
        <f aca="false">COUNTIF($G$8:G66,G66)</f>
        <v>4</v>
      </c>
      <c r="I66" s="45" t="n">
        <v>10</v>
      </c>
      <c r="J66" s="46" t="n">
        <f aca="false">INDEX(Simulador!$C$39:$F$39,F66)</f>
        <v>12</v>
      </c>
      <c r="K66" s="47" t="n">
        <f aca="false">IF(I66="","",I66-J66)</f>
        <v>-2</v>
      </c>
      <c r="L66" s="12" t="n">
        <f aca="false">INDEX(Simulador!$C$51:$F$51,F66)</f>
        <v>76047.4054054054</v>
      </c>
      <c r="M66" s="11" t="n">
        <f aca="false">IF(H66&gt;=Simulador!$C$19,INDEX(Simulador!$C$63:$F$63,F66),INDEX(Simulador!$C$62:$F$62,F66))</f>
        <v>55414.0110810811</v>
      </c>
      <c r="N66" s="11" t="n">
        <f aca="false">INDEX(Simulador!$C$64:$F$64,F66)</f>
        <v>65678.4554054054</v>
      </c>
      <c r="O66" s="11" t="n">
        <f aca="false">IF(H66&gt;=Simulador!$C$19,INDEX(Simulador!$C$65:$F$65,F66),INDEX(Simulador!$C$64:$F$64,F66))</f>
        <v>65678.4554054054</v>
      </c>
      <c r="P66" s="11" t="n">
        <f aca="false">IF(H66&gt;=Simulador!$C$19,INDEX(Simulador!$C$67:$F$67,F66),INDEX(Simulador!$C$66:$F$66,F66))</f>
        <v>55372.8113513514</v>
      </c>
      <c r="Q66" s="11" t="n">
        <f aca="false">M66+(IF(I66="",J66+INDEX(Simulador!$C$40:$F$40,F66),I66)-J66-INDEX(Simulador!$C$40:$F$40,F66))*Simulador!$C$9-INDEX(Simulador!$C$69:$F$69,F66)+IF(Simulador!$N$7="Sí",MAX(0,IF(I66="",J66+INDEX(Simulador!$C$40:$F$40,F66),I66)-INDEX(Simulador!$C$41:$F$41,F66))*(INDEX(Simulador!$C$68:$F$68,F66)+Simulador!$N$8)/Simulador!$C$7,0)</f>
        <v>52502.0110810811</v>
      </c>
      <c r="R66" s="11" t="n">
        <f aca="false">N66+(IF(I66="",J66+INDEX(Simulador!$C$40:$F$40,F66),I66)-J66-INDEX(Simulador!$C$40:$F$40,F66))*Simulador!$C$9-INDEX(Simulador!$C$69:$F$69,F66)+IF(Simulador!$N$7="Sí",MAX(0,IF(I66="",J66+INDEX(Simulador!$C$40:$F$40,F66),I66)-INDEX(Simulador!$C$41:$F$41,F66))*(INDEX(Simulador!$C$68:$F$68,F66)+Simulador!$N$8)/Simulador!$C$7,0)</f>
        <v>62766.4554054054</v>
      </c>
      <c r="S66" s="11" t="n">
        <f aca="false">O66+(IF(I66="",J66+INDEX(Simulador!$C$40:$F$40,F66),I66)-J66-INDEX(Simulador!$C$40:$F$40,F66))*Simulador!$C$9-INDEX(Simulador!$C$69:$F$69,F66)+IF(Simulador!$N$7="Sí",MAX(0,IF(I66="",J66+INDEX(Simulador!$C$40:$F$40,F66),I66)-INDEX(Simulador!$C$41:$F$41,F66))*(INDEX(Simulador!$C$68:$F$68,F66)+Simulador!$N$8)/Simulador!$C$7,0)</f>
        <v>62766.4554054054</v>
      </c>
      <c r="T66" s="11" t="n">
        <f aca="false">P66+(IF(I66="",J66+INDEX(Simulador!$C$40:$F$40,F66),I66)-J66-INDEX(Simulador!$C$40:$F$40,F66))*Simulador!$C$9-INDEX(Simulador!$C$69:$F$69,F66)+IF(Simulador!$N$7="Sí",MAX(0,IF(I66="",J66+INDEX(Simulador!$C$40:$F$40,F66),I66)-INDEX(Simulador!$C$41:$F$41,F66))*(INDEX(Simulador!$C$68:$F$68,F66)+Simulador!$N$8)/Simulador!$C$7,0)</f>
        <v>52460.8113513514</v>
      </c>
      <c r="U66" s="2"/>
    </row>
    <row r="67" customFormat="false" ht="15" hidden="false" customHeight="false" outlineLevel="0" collapsed="false">
      <c r="B67" s="44" t="n">
        <v>45553</v>
      </c>
      <c r="C67" s="21" t="s">
        <v>550</v>
      </c>
      <c r="D67" s="45" t="n">
        <v>3.2</v>
      </c>
      <c r="E67" s="21" t="s">
        <v>485</v>
      </c>
      <c r="F67" s="26" t="n">
        <f aca="false">MATCH(E67,{"Misma locación","0.15 - 5 km","5 - 10 km","10+ km"},0)</f>
        <v>2</v>
      </c>
      <c r="G67" s="26" t="n">
        <f aca="false">MONTH(B67)</f>
        <v>9</v>
      </c>
      <c r="H67" s="26" t="n">
        <f aca="false">COUNTIF($G$8:G67,G67)</f>
        <v>5</v>
      </c>
      <c r="I67" s="45" t="n">
        <v>21.25</v>
      </c>
      <c r="J67" s="46" t="n">
        <f aca="false">INDEX(Simulador!$C$39:$F$39,F67)</f>
        <v>18</v>
      </c>
      <c r="K67" s="47" t="n">
        <f aca="false">IF(I67="","",I67-J67)</f>
        <v>3.25</v>
      </c>
      <c r="L67" s="12" t="n">
        <f aca="false">INDEX(Simulador!$C$51:$F$51,F67)</f>
        <v>99473.8108108108</v>
      </c>
      <c r="M67" s="11" t="n">
        <f aca="false">IF(H67&gt;=Simulador!$C$19,INDEX(Simulador!$C$63:$F$63,F67),INDEX(Simulador!$C$62:$F$62,F67))</f>
        <v>85898.0227027027</v>
      </c>
      <c r="N67" s="11" t="n">
        <f aca="false">INDEX(Simulador!$C$64:$F$64,F67)</f>
        <v>108447.105405405</v>
      </c>
      <c r="O67" s="11" t="n">
        <f aca="false">IF(H67&gt;=Simulador!$C$19,INDEX(Simulador!$C$65:$F$65,F67),INDEX(Simulador!$C$64:$F$64,F67))</f>
        <v>108447.105405405</v>
      </c>
      <c r="P67" s="11" t="n">
        <f aca="false">IF(H67&gt;=Simulador!$C$19,INDEX(Simulador!$C$67:$F$67,F67),INDEX(Simulador!$C$66:$F$66,F67))</f>
        <v>82343.9464864865</v>
      </c>
      <c r="Q67" s="11" t="n">
        <f aca="false">M67+(IF(I67="",J67+INDEX(Simulador!$C$40:$F$40,F67),I67)-J67-INDEX(Simulador!$C$40:$F$40,F67))*Simulador!$C$9-INDEX(Simulador!$C$69:$F$69,F67)+IF(Simulador!$N$7="Sí",MAX(0,IF(I67="",J67+INDEX(Simulador!$C$40:$F$40,F67),I67)-INDEX(Simulador!$C$41:$F$41,F67))*(INDEX(Simulador!$C$68:$F$68,F67)+Simulador!$N$8)/Simulador!$C$7,0)</f>
        <v>90630.0227027027</v>
      </c>
      <c r="R67" s="11" t="n">
        <f aca="false">N67+(IF(I67="",J67+INDEX(Simulador!$C$40:$F$40,F67),I67)-J67-INDEX(Simulador!$C$40:$F$40,F67))*Simulador!$C$9-INDEX(Simulador!$C$69:$F$69,F67)+IF(Simulador!$N$7="Sí",MAX(0,IF(I67="",J67+INDEX(Simulador!$C$40:$F$40,F67),I67)-INDEX(Simulador!$C$41:$F$41,F67))*(INDEX(Simulador!$C$68:$F$68,F67)+Simulador!$N$8)/Simulador!$C$7,0)</f>
        <v>113179.105405405</v>
      </c>
      <c r="S67" s="11" t="n">
        <f aca="false">O67+(IF(I67="",J67+INDEX(Simulador!$C$40:$F$40,F67),I67)-J67-INDEX(Simulador!$C$40:$F$40,F67))*Simulador!$C$9-INDEX(Simulador!$C$69:$F$69,F67)+IF(Simulador!$N$7="Sí",MAX(0,IF(I67="",J67+INDEX(Simulador!$C$40:$F$40,F67),I67)-INDEX(Simulador!$C$41:$F$41,F67))*(INDEX(Simulador!$C$68:$F$68,F67)+Simulador!$N$8)/Simulador!$C$7,0)</f>
        <v>113179.105405405</v>
      </c>
      <c r="T67" s="11" t="n">
        <f aca="false">P67+(IF(I67="",J67+INDEX(Simulador!$C$40:$F$40,F67),I67)-J67-INDEX(Simulador!$C$40:$F$40,F67))*Simulador!$C$9-INDEX(Simulador!$C$69:$F$69,F67)+IF(Simulador!$N$7="Sí",MAX(0,IF(I67="",J67+INDEX(Simulador!$C$40:$F$40,F67),I67)-INDEX(Simulador!$C$41:$F$41,F67))*(INDEX(Simulador!$C$68:$F$68,F67)+Simulador!$N$8)/Simulador!$C$7,0)</f>
        <v>87075.9464864865</v>
      </c>
      <c r="U67" s="2"/>
    </row>
    <row r="68" customFormat="false" ht="15" hidden="false" customHeight="false" outlineLevel="0" collapsed="false">
      <c r="B68" s="44" t="n">
        <v>45560</v>
      </c>
      <c r="C68" s="21" t="s">
        <v>551</v>
      </c>
      <c r="D68" s="45" t="n">
        <v>1.2</v>
      </c>
      <c r="E68" s="21" t="s">
        <v>485</v>
      </c>
      <c r="F68" s="26" t="n">
        <f aca="false">MATCH(E68,{"Misma locación","0.15 - 5 km","5 - 10 km","10+ km"},0)</f>
        <v>2</v>
      </c>
      <c r="G68" s="26" t="n">
        <f aca="false">MONTH(B68)</f>
        <v>9</v>
      </c>
      <c r="H68" s="26" t="n">
        <f aca="false">COUNTIF($G$8:G68,G68)</f>
        <v>6</v>
      </c>
      <c r="I68" s="45" t="n">
        <v>19.5</v>
      </c>
      <c r="J68" s="46" t="n">
        <f aca="false">INDEX(Simulador!$C$39:$F$39,F68)</f>
        <v>18</v>
      </c>
      <c r="K68" s="47" t="n">
        <f aca="false">IF(I68="","",I68-J68)</f>
        <v>1.5</v>
      </c>
      <c r="L68" s="12" t="n">
        <f aca="false">INDEX(Simulador!$C$51:$F$51,F68)</f>
        <v>99473.8108108108</v>
      </c>
      <c r="M68" s="11" t="n">
        <f aca="false">IF(H68&gt;=Simulador!$C$19,INDEX(Simulador!$C$63:$F$63,F68),INDEX(Simulador!$C$62:$F$62,F68))</f>
        <v>56053.0113513514</v>
      </c>
      <c r="N68" s="11" t="n">
        <f aca="false">INDEX(Simulador!$C$64:$F$64,F68)</f>
        <v>108447.105405405</v>
      </c>
      <c r="O68" s="11" t="n">
        <f aca="false">IF(H68&gt;=Simulador!$C$19,INDEX(Simulador!$C$65:$F$65,F68),INDEX(Simulador!$C$64:$F$64,F68))</f>
        <v>67327.5527027027</v>
      </c>
      <c r="P68" s="11" t="n">
        <f aca="false">IF(H68&gt;=Simulador!$C$19,INDEX(Simulador!$C$67:$F$67,F68),INDEX(Simulador!$C$66:$F$66,F68))</f>
        <v>59499.8918918919</v>
      </c>
      <c r="Q68" s="11" t="n">
        <f aca="false">M68+(IF(I68="",J68+INDEX(Simulador!$C$40:$F$40,F68),I68)-J68-INDEX(Simulador!$C$40:$F$40,F68))*Simulador!$C$9-INDEX(Simulador!$C$69:$F$69,F68)+IF(Simulador!$N$7="Sí",MAX(0,IF(I68="",J68+INDEX(Simulador!$C$40:$F$40,F68),I68)-INDEX(Simulador!$C$41:$F$41,F68))*(INDEX(Simulador!$C$68:$F$68,F68)+Simulador!$N$8)/Simulador!$C$7,0)</f>
        <v>58237.0113513514</v>
      </c>
      <c r="R68" s="11" t="n">
        <f aca="false">N68+(IF(I68="",J68+INDEX(Simulador!$C$40:$F$40,F68),I68)-J68-INDEX(Simulador!$C$40:$F$40,F68))*Simulador!$C$9-INDEX(Simulador!$C$69:$F$69,F68)+IF(Simulador!$N$7="Sí",MAX(0,IF(I68="",J68+INDEX(Simulador!$C$40:$F$40,F68),I68)-INDEX(Simulador!$C$41:$F$41,F68))*(INDEX(Simulador!$C$68:$F$68,F68)+Simulador!$N$8)/Simulador!$C$7,0)</f>
        <v>110631.105405405</v>
      </c>
      <c r="S68" s="11" t="n">
        <f aca="false">O68+(IF(I68="",J68+INDEX(Simulador!$C$40:$F$40,F68),I68)-J68-INDEX(Simulador!$C$40:$F$40,F68))*Simulador!$C$9-INDEX(Simulador!$C$69:$F$69,F68)+IF(Simulador!$N$7="Sí",MAX(0,IF(I68="",J68+INDEX(Simulador!$C$40:$F$40,F68),I68)-INDEX(Simulador!$C$41:$F$41,F68))*(INDEX(Simulador!$C$68:$F$68,F68)+Simulador!$N$8)/Simulador!$C$7,0)</f>
        <v>69511.5527027027</v>
      </c>
      <c r="T68" s="11" t="n">
        <f aca="false">P68+(IF(I68="",J68+INDEX(Simulador!$C$40:$F$40,F68),I68)-J68-INDEX(Simulador!$C$40:$F$40,F68))*Simulador!$C$9-INDEX(Simulador!$C$69:$F$69,F68)+IF(Simulador!$N$7="Sí",MAX(0,IF(I68="",J68+INDEX(Simulador!$C$40:$F$40,F68),I68)-INDEX(Simulador!$C$41:$F$41,F68))*(INDEX(Simulador!$C$68:$F$68,F68)+Simulador!$N$8)/Simulador!$C$7,0)</f>
        <v>61683.8918918919</v>
      </c>
      <c r="U68" s="2"/>
    </row>
    <row r="69" customFormat="false" ht="15" hidden="false" customHeight="false" outlineLevel="0" collapsed="false">
      <c r="B69" s="44" t="n">
        <v>45568</v>
      </c>
      <c r="C69" s="21" t="s">
        <v>552</v>
      </c>
      <c r="D69" s="45" t="n">
        <v>7.7</v>
      </c>
      <c r="E69" s="21" t="s">
        <v>496</v>
      </c>
      <c r="F69" s="26" t="n">
        <f aca="false">MATCH(E69,{"Misma locación","0.15 - 5 km","5 - 10 km","10+ km"},0)</f>
        <v>3</v>
      </c>
      <c r="G69" s="26" t="n">
        <f aca="false">MONTH(B69)</f>
        <v>10</v>
      </c>
      <c r="H69" s="26" t="n">
        <f aca="false">COUNTIF($G$8:G69,G69)</f>
        <v>1</v>
      </c>
      <c r="I69" s="45" t="n">
        <v>16</v>
      </c>
      <c r="J69" s="46" t="n">
        <f aca="false">INDEX(Simulador!$C$39:$F$39,F69)</f>
        <v>24</v>
      </c>
      <c r="K69" s="47" t="n">
        <f aca="false">IF(I69="","",I69-J69)</f>
        <v>-8</v>
      </c>
      <c r="L69" s="12" t="n">
        <f aca="false">INDEX(Simulador!$C$51:$F$51,F69)</f>
        <v>96184.8108108108</v>
      </c>
      <c r="M69" s="11" t="n">
        <f aca="false">IF(H69&gt;=Simulador!$C$19,INDEX(Simulador!$C$63:$F$63,F69),INDEX(Simulador!$C$62:$F$62,F69))</f>
        <v>99393.4589189189</v>
      </c>
      <c r="N69" s="11" t="n">
        <f aca="false">INDEX(Simulador!$C$64:$F$64,F69)</f>
        <v>135930.452432432</v>
      </c>
      <c r="O69" s="11" t="n">
        <f aca="false">IF(H69&gt;=Simulador!$C$19,INDEX(Simulador!$C$65:$F$65,F69),INDEX(Simulador!$C$64:$F$64,F69))</f>
        <v>135930.452432432</v>
      </c>
      <c r="P69" s="11" t="n">
        <f aca="false">IF(H69&gt;=Simulador!$C$19,INDEX(Simulador!$C$67:$F$67,F69),INDEX(Simulador!$C$66:$F$66,F69))</f>
        <v>102242.108648649</v>
      </c>
      <c r="Q69" s="11" t="n">
        <f aca="false">M69+(IF(I69="",J69+INDEX(Simulador!$C$40:$F$40,F69),I69)-J69-INDEX(Simulador!$C$40:$F$40,F69))*Simulador!$C$9-INDEX(Simulador!$C$69:$F$69,F69)+IF(Simulador!$N$7="Sí",MAX(0,IF(I69="",J69+INDEX(Simulador!$C$40:$F$40,F69),I69)-INDEX(Simulador!$C$41:$F$41,F69))*(INDEX(Simulador!$C$68:$F$68,F69)+Simulador!$N$8)/Simulador!$C$7,0)</f>
        <v>87745.4589189189</v>
      </c>
      <c r="R69" s="11" t="n">
        <f aca="false">N69+(IF(I69="",J69+INDEX(Simulador!$C$40:$F$40,F69),I69)-J69-INDEX(Simulador!$C$40:$F$40,F69))*Simulador!$C$9-INDEX(Simulador!$C$69:$F$69,F69)+IF(Simulador!$N$7="Sí",MAX(0,IF(I69="",J69+INDEX(Simulador!$C$40:$F$40,F69),I69)-INDEX(Simulador!$C$41:$F$41,F69))*(INDEX(Simulador!$C$68:$F$68,F69)+Simulador!$N$8)/Simulador!$C$7,0)</f>
        <v>124282.452432432</v>
      </c>
      <c r="S69" s="11" t="n">
        <f aca="false">O69+(IF(I69="",J69+INDEX(Simulador!$C$40:$F$40,F69),I69)-J69-INDEX(Simulador!$C$40:$F$40,F69))*Simulador!$C$9-INDEX(Simulador!$C$69:$F$69,F69)+IF(Simulador!$N$7="Sí",MAX(0,IF(I69="",J69+INDEX(Simulador!$C$40:$F$40,F69),I69)-INDEX(Simulador!$C$41:$F$41,F69))*(INDEX(Simulador!$C$68:$F$68,F69)+Simulador!$N$8)/Simulador!$C$7,0)</f>
        <v>124282.452432432</v>
      </c>
      <c r="T69" s="11" t="n">
        <f aca="false">P69+(IF(I69="",J69+INDEX(Simulador!$C$40:$F$40,F69),I69)-J69-INDEX(Simulador!$C$40:$F$40,F69))*Simulador!$C$9-INDEX(Simulador!$C$69:$F$69,F69)+IF(Simulador!$N$7="Sí",MAX(0,IF(I69="",J69+INDEX(Simulador!$C$40:$F$40,F69),I69)-INDEX(Simulador!$C$41:$F$41,F69))*(INDEX(Simulador!$C$68:$F$68,F69)+Simulador!$N$8)/Simulador!$C$7,0)</f>
        <v>90594.1086486487</v>
      </c>
      <c r="U69" s="2"/>
    </row>
    <row r="70" customFormat="false" ht="15" hidden="false" customHeight="false" outlineLevel="0" collapsed="false">
      <c r="B70" s="44" t="n">
        <v>45572</v>
      </c>
      <c r="C70" s="21" t="s">
        <v>553</v>
      </c>
      <c r="D70" s="45" t="n">
        <v>0.025907999170944</v>
      </c>
      <c r="E70" s="21" t="s">
        <v>498</v>
      </c>
      <c r="F70" s="26" t="n">
        <f aca="false">MATCH(E70,{"Misma locación","0.15 - 5 km","5 - 10 km","10+ km"},0)</f>
        <v>1</v>
      </c>
      <c r="G70" s="26" t="n">
        <f aca="false">MONTH(B70)</f>
        <v>10</v>
      </c>
      <c r="H70" s="26" t="n">
        <f aca="false">COUNTIF($G$8:G70,G70)</f>
        <v>2</v>
      </c>
      <c r="I70" s="45" t="n">
        <v>13</v>
      </c>
      <c r="J70" s="46" t="n">
        <f aca="false">INDEX(Simulador!$C$39:$F$39,F70)</f>
        <v>12</v>
      </c>
      <c r="K70" s="47" t="n">
        <f aca="false">IF(I70="","",I70-J70)</f>
        <v>1</v>
      </c>
      <c r="L70" s="12" t="n">
        <f aca="false">INDEX(Simulador!$C$51:$F$51,F70)</f>
        <v>76047.4054054054</v>
      </c>
      <c r="M70" s="11" t="n">
        <f aca="false">IF(H70&gt;=Simulador!$C$19,INDEX(Simulador!$C$63:$F$63,F70),INDEX(Simulador!$C$62:$F$62,F70))</f>
        <v>55414.0110810811</v>
      </c>
      <c r="N70" s="11" t="n">
        <f aca="false">INDEX(Simulador!$C$64:$F$64,F70)</f>
        <v>65678.4554054054</v>
      </c>
      <c r="O70" s="11" t="n">
        <f aca="false">IF(H70&gt;=Simulador!$C$19,INDEX(Simulador!$C$65:$F$65,F70),INDEX(Simulador!$C$64:$F$64,F70))</f>
        <v>65678.4554054054</v>
      </c>
      <c r="P70" s="11" t="n">
        <f aca="false">IF(H70&gt;=Simulador!$C$19,INDEX(Simulador!$C$67:$F$67,F70),INDEX(Simulador!$C$66:$F$66,F70))</f>
        <v>55372.8113513514</v>
      </c>
      <c r="Q70" s="11" t="n">
        <f aca="false">M70+(IF(I70="",J70+INDEX(Simulador!$C$40:$F$40,F70),I70)-J70-INDEX(Simulador!$C$40:$F$40,F70))*Simulador!$C$9-INDEX(Simulador!$C$69:$F$69,F70)+IF(Simulador!$N$7="Sí",MAX(0,IF(I70="",J70+INDEX(Simulador!$C$40:$F$40,F70),I70)-INDEX(Simulador!$C$41:$F$41,F70))*(INDEX(Simulador!$C$68:$F$68,F70)+Simulador!$N$8)/Simulador!$C$7,0)</f>
        <v>58227.1732432432</v>
      </c>
      <c r="R70" s="11" t="n">
        <f aca="false">N70+(IF(I70="",J70+INDEX(Simulador!$C$40:$F$40,F70),I70)-J70-INDEX(Simulador!$C$40:$F$40,F70))*Simulador!$C$9-INDEX(Simulador!$C$69:$F$69,F70)+IF(Simulador!$N$7="Sí",MAX(0,IF(I70="",J70+INDEX(Simulador!$C$40:$F$40,F70),I70)-INDEX(Simulador!$C$41:$F$41,F70))*(INDEX(Simulador!$C$68:$F$68,F70)+Simulador!$N$8)/Simulador!$C$7,0)</f>
        <v>68491.6175675676</v>
      </c>
      <c r="S70" s="11" t="n">
        <f aca="false">O70+(IF(I70="",J70+INDEX(Simulador!$C$40:$F$40,F70),I70)-J70-INDEX(Simulador!$C$40:$F$40,F70))*Simulador!$C$9-INDEX(Simulador!$C$69:$F$69,F70)+IF(Simulador!$N$7="Sí",MAX(0,IF(I70="",J70+INDEX(Simulador!$C$40:$F$40,F70),I70)-INDEX(Simulador!$C$41:$F$41,F70))*(INDEX(Simulador!$C$68:$F$68,F70)+Simulador!$N$8)/Simulador!$C$7,0)</f>
        <v>68491.6175675676</v>
      </c>
      <c r="T70" s="11" t="n">
        <f aca="false">P70+(IF(I70="",J70+INDEX(Simulador!$C$40:$F$40,F70),I70)-J70-INDEX(Simulador!$C$40:$F$40,F70))*Simulador!$C$9-INDEX(Simulador!$C$69:$F$69,F70)+IF(Simulador!$N$7="Sí",MAX(0,IF(I70="",J70+INDEX(Simulador!$C$40:$F$40,F70),I70)-INDEX(Simulador!$C$41:$F$41,F70))*(INDEX(Simulador!$C$68:$F$68,F70)+Simulador!$N$8)/Simulador!$C$7,0)</f>
        <v>58185.9735135135</v>
      </c>
      <c r="U70" s="2"/>
    </row>
    <row r="71" customFormat="false" ht="15" hidden="false" customHeight="false" outlineLevel="0" collapsed="false">
      <c r="B71" s="44" t="n">
        <v>45576</v>
      </c>
      <c r="C71" s="21" t="s">
        <v>554</v>
      </c>
      <c r="D71" s="45" t="n">
        <v>0.00640079979517441</v>
      </c>
      <c r="E71" s="21" t="s">
        <v>498</v>
      </c>
      <c r="F71" s="26" t="n">
        <f aca="false">MATCH(E71,{"Misma locación","0.15 - 5 km","5 - 10 km","10+ km"},0)</f>
        <v>1</v>
      </c>
      <c r="G71" s="26" t="n">
        <f aca="false">MONTH(B71)</f>
        <v>10</v>
      </c>
      <c r="H71" s="26" t="n">
        <f aca="false">COUNTIF($G$8:G71,G71)</f>
        <v>3</v>
      </c>
      <c r="I71" s="45" t="n">
        <v>10</v>
      </c>
      <c r="J71" s="46" t="n">
        <f aca="false">INDEX(Simulador!$C$39:$F$39,F71)</f>
        <v>12</v>
      </c>
      <c r="K71" s="47" t="n">
        <f aca="false">IF(I71="","",I71-J71)</f>
        <v>-2</v>
      </c>
      <c r="L71" s="12" t="n">
        <f aca="false">INDEX(Simulador!$C$51:$F$51,F71)</f>
        <v>76047.4054054054</v>
      </c>
      <c r="M71" s="11" t="n">
        <f aca="false">IF(H71&gt;=Simulador!$C$19,INDEX(Simulador!$C$63:$F$63,F71),INDEX(Simulador!$C$62:$F$62,F71))</f>
        <v>55414.0110810811</v>
      </c>
      <c r="N71" s="11" t="n">
        <f aca="false">INDEX(Simulador!$C$64:$F$64,F71)</f>
        <v>65678.4554054054</v>
      </c>
      <c r="O71" s="11" t="n">
        <f aca="false">IF(H71&gt;=Simulador!$C$19,INDEX(Simulador!$C$65:$F$65,F71),INDEX(Simulador!$C$64:$F$64,F71))</f>
        <v>65678.4554054054</v>
      </c>
      <c r="P71" s="11" t="n">
        <f aca="false">IF(H71&gt;=Simulador!$C$19,INDEX(Simulador!$C$67:$F$67,F71),INDEX(Simulador!$C$66:$F$66,F71))</f>
        <v>55372.8113513514</v>
      </c>
      <c r="Q71" s="11" t="n">
        <f aca="false">M71+(IF(I71="",J71+INDEX(Simulador!$C$40:$F$40,F71),I71)-J71-INDEX(Simulador!$C$40:$F$40,F71))*Simulador!$C$9-INDEX(Simulador!$C$69:$F$69,F71)+IF(Simulador!$N$7="Sí",MAX(0,IF(I71="",J71+INDEX(Simulador!$C$40:$F$40,F71),I71)-INDEX(Simulador!$C$41:$F$41,F71))*(INDEX(Simulador!$C$68:$F$68,F71)+Simulador!$N$8)/Simulador!$C$7,0)</f>
        <v>52502.0110810811</v>
      </c>
      <c r="R71" s="11" t="n">
        <f aca="false">N71+(IF(I71="",J71+INDEX(Simulador!$C$40:$F$40,F71),I71)-J71-INDEX(Simulador!$C$40:$F$40,F71))*Simulador!$C$9-INDEX(Simulador!$C$69:$F$69,F71)+IF(Simulador!$N$7="Sí",MAX(0,IF(I71="",J71+INDEX(Simulador!$C$40:$F$40,F71),I71)-INDEX(Simulador!$C$41:$F$41,F71))*(INDEX(Simulador!$C$68:$F$68,F71)+Simulador!$N$8)/Simulador!$C$7,0)</f>
        <v>62766.4554054054</v>
      </c>
      <c r="S71" s="11" t="n">
        <f aca="false">O71+(IF(I71="",J71+INDEX(Simulador!$C$40:$F$40,F71),I71)-J71-INDEX(Simulador!$C$40:$F$40,F71))*Simulador!$C$9-INDEX(Simulador!$C$69:$F$69,F71)+IF(Simulador!$N$7="Sí",MAX(0,IF(I71="",J71+INDEX(Simulador!$C$40:$F$40,F71),I71)-INDEX(Simulador!$C$41:$F$41,F71))*(INDEX(Simulador!$C$68:$F$68,F71)+Simulador!$N$8)/Simulador!$C$7,0)</f>
        <v>62766.4554054054</v>
      </c>
      <c r="T71" s="11" t="n">
        <f aca="false">P71+(IF(I71="",J71+INDEX(Simulador!$C$40:$F$40,F71),I71)-J71-INDEX(Simulador!$C$40:$F$40,F71))*Simulador!$C$9-INDEX(Simulador!$C$69:$F$69,F71)+IF(Simulador!$N$7="Sí",MAX(0,IF(I71="",J71+INDEX(Simulador!$C$40:$F$40,F71),I71)-INDEX(Simulador!$C$41:$F$41,F71))*(INDEX(Simulador!$C$68:$F$68,F71)+Simulador!$N$8)/Simulador!$C$7,0)</f>
        <v>52460.8113513514</v>
      </c>
      <c r="U71" s="2"/>
    </row>
    <row r="72" customFormat="false" ht="15" hidden="false" customHeight="false" outlineLevel="0" collapsed="false">
      <c r="B72" s="44" t="n">
        <v>45578</v>
      </c>
      <c r="C72" s="21" t="s">
        <v>555</v>
      </c>
      <c r="D72" s="45" t="n">
        <v>0.03</v>
      </c>
      <c r="E72" s="21" t="s">
        <v>498</v>
      </c>
      <c r="F72" s="26" t="n">
        <f aca="false">MATCH(E72,{"Misma locación","0.15 - 5 km","5 - 10 km","10+ km"},0)</f>
        <v>1</v>
      </c>
      <c r="G72" s="26" t="n">
        <f aca="false">MONTH(B72)</f>
        <v>10</v>
      </c>
      <c r="H72" s="26" t="n">
        <f aca="false">COUNTIF($G$8:G72,G72)</f>
        <v>4</v>
      </c>
      <c r="I72" s="45" t="n">
        <v>9.75</v>
      </c>
      <c r="J72" s="46" t="n">
        <f aca="false">INDEX(Simulador!$C$39:$F$39,F72)</f>
        <v>12</v>
      </c>
      <c r="K72" s="47" t="n">
        <f aca="false">IF(I72="","",I72-J72)</f>
        <v>-2.25</v>
      </c>
      <c r="L72" s="12" t="n">
        <f aca="false">INDEX(Simulador!$C$51:$F$51,F72)</f>
        <v>76047.4054054054</v>
      </c>
      <c r="M72" s="11" t="n">
        <f aca="false">IF(H72&gt;=Simulador!$C$19,INDEX(Simulador!$C$63:$F$63,F72),INDEX(Simulador!$C$62:$F$62,F72))</f>
        <v>55414.0110810811</v>
      </c>
      <c r="N72" s="11" t="n">
        <f aca="false">INDEX(Simulador!$C$64:$F$64,F72)</f>
        <v>65678.4554054054</v>
      </c>
      <c r="O72" s="11" t="n">
        <f aca="false">IF(H72&gt;=Simulador!$C$19,INDEX(Simulador!$C$65:$F$65,F72),INDEX(Simulador!$C$64:$F$64,F72))</f>
        <v>65678.4554054054</v>
      </c>
      <c r="P72" s="11" t="n">
        <f aca="false">IF(H72&gt;=Simulador!$C$19,INDEX(Simulador!$C$67:$F$67,F72),INDEX(Simulador!$C$66:$F$66,F72))</f>
        <v>55372.8113513514</v>
      </c>
      <c r="Q72" s="11" t="n">
        <f aca="false">M72+(IF(I72="",J72+INDEX(Simulador!$C$40:$F$40,F72),I72)-J72-INDEX(Simulador!$C$40:$F$40,F72))*Simulador!$C$9-INDEX(Simulador!$C$69:$F$69,F72)+IF(Simulador!$N$7="Sí",MAX(0,IF(I72="",J72+INDEX(Simulador!$C$40:$F$40,F72),I72)-INDEX(Simulador!$C$41:$F$41,F72))*(INDEX(Simulador!$C$68:$F$68,F72)+Simulador!$N$8)/Simulador!$C$7,0)</f>
        <v>52138.0110810811</v>
      </c>
      <c r="R72" s="11" t="n">
        <f aca="false">N72+(IF(I72="",J72+INDEX(Simulador!$C$40:$F$40,F72),I72)-J72-INDEX(Simulador!$C$40:$F$40,F72))*Simulador!$C$9-INDEX(Simulador!$C$69:$F$69,F72)+IF(Simulador!$N$7="Sí",MAX(0,IF(I72="",J72+INDEX(Simulador!$C$40:$F$40,F72),I72)-INDEX(Simulador!$C$41:$F$41,F72))*(INDEX(Simulador!$C$68:$F$68,F72)+Simulador!$N$8)/Simulador!$C$7,0)</f>
        <v>62402.4554054054</v>
      </c>
      <c r="S72" s="11" t="n">
        <f aca="false">O72+(IF(I72="",J72+INDEX(Simulador!$C$40:$F$40,F72),I72)-J72-INDEX(Simulador!$C$40:$F$40,F72))*Simulador!$C$9-INDEX(Simulador!$C$69:$F$69,F72)+IF(Simulador!$N$7="Sí",MAX(0,IF(I72="",J72+INDEX(Simulador!$C$40:$F$40,F72),I72)-INDEX(Simulador!$C$41:$F$41,F72))*(INDEX(Simulador!$C$68:$F$68,F72)+Simulador!$N$8)/Simulador!$C$7,0)</f>
        <v>62402.4554054054</v>
      </c>
      <c r="T72" s="11" t="n">
        <f aca="false">P72+(IF(I72="",J72+INDEX(Simulador!$C$40:$F$40,F72),I72)-J72-INDEX(Simulador!$C$40:$F$40,F72))*Simulador!$C$9-INDEX(Simulador!$C$69:$F$69,F72)+IF(Simulador!$N$7="Sí",MAX(0,IF(I72="",J72+INDEX(Simulador!$C$40:$F$40,F72),I72)-INDEX(Simulador!$C$41:$F$41,F72))*(INDEX(Simulador!$C$68:$F$68,F72)+Simulador!$N$8)/Simulador!$C$7,0)</f>
        <v>52096.8113513514</v>
      </c>
      <c r="U72" s="2"/>
    </row>
    <row r="73" customFormat="false" ht="15" hidden="false" customHeight="false" outlineLevel="0" collapsed="false">
      <c r="B73" s="44" t="n">
        <v>45582</v>
      </c>
      <c r="C73" s="21" t="s">
        <v>556</v>
      </c>
      <c r="D73" s="45" t="n">
        <v>9.3</v>
      </c>
      <c r="E73" s="21" t="s">
        <v>496</v>
      </c>
      <c r="F73" s="26" t="n">
        <f aca="false">MATCH(E73,{"Misma locación","0.15 - 5 km","5 - 10 km","10+ km"},0)</f>
        <v>3</v>
      </c>
      <c r="G73" s="26" t="n">
        <f aca="false">MONTH(B73)</f>
        <v>10</v>
      </c>
      <c r="H73" s="26" t="n">
        <f aca="false">COUNTIF($G$8:G73,G73)</f>
        <v>5</v>
      </c>
      <c r="I73" s="45" t="n">
        <v>23</v>
      </c>
      <c r="J73" s="46" t="n">
        <f aca="false">INDEX(Simulador!$C$39:$F$39,F73)</f>
        <v>24</v>
      </c>
      <c r="K73" s="47" t="n">
        <f aca="false">IF(I73="","",I73-J73)</f>
        <v>-1</v>
      </c>
      <c r="L73" s="12" t="n">
        <f aca="false">INDEX(Simulador!$C$51:$F$51,F73)</f>
        <v>96184.8108108108</v>
      </c>
      <c r="M73" s="11" t="n">
        <f aca="false">IF(H73&gt;=Simulador!$C$19,INDEX(Simulador!$C$63:$F$63,F73),INDEX(Simulador!$C$62:$F$62,F73))</f>
        <v>99393.4589189189</v>
      </c>
      <c r="N73" s="11" t="n">
        <f aca="false">INDEX(Simulador!$C$64:$F$64,F73)</f>
        <v>135930.452432432</v>
      </c>
      <c r="O73" s="11" t="n">
        <f aca="false">IF(H73&gt;=Simulador!$C$19,INDEX(Simulador!$C$65:$F$65,F73),INDEX(Simulador!$C$64:$F$64,F73))</f>
        <v>135930.452432432</v>
      </c>
      <c r="P73" s="11" t="n">
        <f aca="false">IF(H73&gt;=Simulador!$C$19,INDEX(Simulador!$C$67:$F$67,F73),INDEX(Simulador!$C$66:$F$66,F73))</f>
        <v>102242.108648649</v>
      </c>
      <c r="Q73" s="11" t="n">
        <f aca="false">M73+(IF(I73="",J73+INDEX(Simulador!$C$40:$F$40,F73),I73)-J73-INDEX(Simulador!$C$40:$F$40,F73))*Simulador!$C$9-INDEX(Simulador!$C$69:$F$69,F73)+IF(Simulador!$N$7="Sí",MAX(0,IF(I73="",J73+INDEX(Simulador!$C$40:$F$40,F73),I73)-INDEX(Simulador!$C$41:$F$41,F73))*(INDEX(Simulador!$C$68:$F$68,F73)+Simulador!$N$8)/Simulador!$C$7,0)</f>
        <v>97937.4589189189</v>
      </c>
      <c r="R73" s="11" t="n">
        <f aca="false">N73+(IF(I73="",J73+INDEX(Simulador!$C$40:$F$40,F73),I73)-J73-INDEX(Simulador!$C$40:$F$40,F73))*Simulador!$C$9-INDEX(Simulador!$C$69:$F$69,F73)+IF(Simulador!$N$7="Sí",MAX(0,IF(I73="",J73+INDEX(Simulador!$C$40:$F$40,F73),I73)-INDEX(Simulador!$C$41:$F$41,F73))*(INDEX(Simulador!$C$68:$F$68,F73)+Simulador!$N$8)/Simulador!$C$7,0)</f>
        <v>134474.452432432</v>
      </c>
      <c r="S73" s="11" t="n">
        <f aca="false">O73+(IF(I73="",J73+INDEX(Simulador!$C$40:$F$40,F73),I73)-J73-INDEX(Simulador!$C$40:$F$40,F73))*Simulador!$C$9-INDEX(Simulador!$C$69:$F$69,F73)+IF(Simulador!$N$7="Sí",MAX(0,IF(I73="",J73+INDEX(Simulador!$C$40:$F$40,F73),I73)-INDEX(Simulador!$C$41:$F$41,F73))*(INDEX(Simulador!$C$68:$F$68,F73)+Simulador!$N$8)/Simulador!$C$7,0)</f>
        <v>134474.452432432</v>
      </c>
      <c r="T73" s="11" t="n">
        <f aca="false">P73+(IF(I73="",J73+INDEX(Simulador!$C$40:$F$40,F73),I73)-J73-INDEX(Simulador!$C$40:$F$40,F73))*Simulador!$C$9-INDEX(Simulador!$C$69:$F$69,F73)+IF(Simulador!$N$7="Sí",MAX(0,IF(I73="",J73+INDEX(Simulador!$C$40:$F$40,F73),I73)-INDEX(Simulador!$C$41:$F$41,F73))*(INDEX(Simulador!$C$68:$F$68,F73)+Simulador!$N$8)/Simulador!$C$7,0)</f>
        <v>100786.108648649</v>
      </c>
      <c r="U73" s="2"/>
    </row>
    <row r="74" customFormat="false" ht="15" hidden="false" customHeight="false" outlineLevel="0" collapsed="false">
      <c r="B74" s="44" t="n">
        <v>45595</v>
      </c>
      <c r="C74" s="21" t="s">
        <v>557</v>
      </c>
      <c r="D74" s="45" t="n">
        <v>7.3</v>
      </c>
      <c r="E74" s="21" t="s">
        <v>496</v>
      </c>
      <c r="F74" s="26" t="n">
        <f aca="false">MATCH(E74,{"Misma locación","0.15 - 5 km","5 - 10 km","10+ km"},0)</f>
        <v>3</v>
      </c>
      <c r="G74" s="26" t="n">
        <f aca="false">MONTH(B74)</f>
        <v>10</v>
      </c>
      <c r="H74" s="26" t="n">
        <f aca="false">COUNTIF($G$8:G74,G74)</f>
        <v>6</v>
      </c>
      <c r="I74" s="45" t="n">
        <v>15.75</v>
      </c>
      <c r="J74" s="46" t="n">
        <f aca="false">INDEX(Simulador!$C$39:$F$39,F74)</f>
        <v>24</v>
      </c>
      <c r="K74" s="47" t="n">
        <f aca="false">IF(I74="","",I74-J74)</f>
        <v>-8.25</v>
      </c>
      <c r="L74" s="12" t="n">
        <f aca="false">INDEX(Simulador!$C$51:$F$51,F74)</f>
        <v>96184.8108108108</v>
      </c>
      <c r="M74" s="11" t="n">
        <f aca="false">IF(H74&gt;=Simulador!$C$19,INDEX(Simulador!$C$63:$F$63,F74),INDEX(Simulador!$C$62:$F$62,F74))</f>
        <v>67168.7294594595</v>
      </c>
      <c r="N74" s="11" t="n">
        <f aca="false">INDEX(Simulador!$C$64:$F$64,F74)</f>
        <v>135930.452432432</v>
      </c>
      <c r="O74" s="11" t="n">
        <f aca="false">IF(H74&gt;=Simulador!$C$19,INDEX(Simulador!$C$65:$F$65,F74),INDEX(Simulador!$C$64:$F$64,F74))</f>
        <v>85437.2262162162</v>
      </c>
      <c r="P74" s="11" t="n">
        <f aca="false">IF(H74&gt;=Simulador!$C$19,INDEX(Simulador!$C$67:$F$67,F74),INDEX(Simulador!$C$66:$F$66,F74))</f>
        <v>72512.9189189189</v>
      </c>
      <c r="Q74" s="11" t="n">
        <f aca="false">M74+(IF(I74="",J74+INDEX(Simulador!$C$40:$F$40,F74),I74)-J74-INDEX(Simulador!$C$40:$F$40,F74))*Simulador!$C$9-INDEX(Simulador!$C$69:$F$69,F74)+IF(Simulador!$N$7="Sí",MAX(0,IF(I74="",J74+INDEX(Simulador!$C$40:$F$40,F74),I74)-INDEX(Simulador!$C$41:$F$41,F74))*(INDEX(Simulador!$C$68:$F$68,F74)+Simulador!$N$8)/Simulador!$C$7,0)</f>
        <v>55156.7294594595</v>
      </c>
      <c r="R74" s="11" t="n">
        <f aca="false">N74+(IF(I74="",J74+INDEX(Simulador!$C$40:$F$40,F74),I74)-J74-INDEX(Simulador!$C$40:$F$40,F74))*Simulador!$C$9-INDEX(Simulador!$C$69:$F$69,F74)+IF(Simulador!$N$7="Sí",MAX(0,IF(I74="",J74+INDEX(Simulador!$C$40:$F$40,F74),I74)-INDEX(Simulador!$C$41:$F$41,F74))*(INDEX(Simulador!$C$68:$F$68,F74)+Simulador!$N$8)/Simulador!$C$7,0)</f>
        <v>123918.452432432</v>
      </c>
      <c r="S74" s="11" t="n">
        <f aca="false">O74+(IF(I74="",J74+INDEX(Simulador!$C$40:$F$40,F74),I74)-J74-INDEX(Simulador!$C$40:$F$40,F74))*Simulador!$C$9-INDEX(Simulador!$C$69:$F$69,F74)+IF(Simulador!$N$7="Sí",MAX(0,IF(I74="",J74+INDEX(Simulador!$C$40:$F$40,F74),I74)-INDEX(Simulador!$C$41:$F$41,F74))*(INDEX(Simulador!$C$68:$F$68,F74)+Simulador!$N$8)/Simulador!$C$7,0)</f>
        <v>73425.2262162162</v>
      </c>
      <c r="T74" s="11" t="n">
        <f aca="false">P74+(IF(I74="",J74+INDEX(Simulador!$C$40:$F$40,F74),I74)-J74-INDEX(Simulador!$C$40:$F$40,F74))*Simulador!$C$9-INDEX(Simulador!$C$69:$F$69,F74)+IF(Simulador!$N$7="Sí",MAX(0,IF(I74="",J74+INDEX(Simulador!$C$40:$F$40,F74),I74)-INDEX(Simulador!$C$41:$F$41,F74))*(INDEX(Simulador!$C$68:$F$68,F74)+Simulador!$N$8)/Simulador!$C$7,0)</f>
        <v>60500.9189189189</v>
      </c>
      <c r="U74" s="2"/>
    </row>
    <row r="75" customFormat="false" ht="15" hidden="false" customHeight="false" outlineLevel="0" collapsed="false">
      <c r="B75" s="44" t="n">
        <v>45599</v>
      </c>
      <c r="C75" s="21" t="s">
        <v>558</v>
      </c>
      <c r="D75" s="45" t="n">
        <v>5.3</v>
      </c>
      <c r="E75" s="21" t="s">
        <v>496</v>
      </c>
      <c r="F75" s="26" t="n">
        <f aca="false">MATCH(E75,{"Misma locación","0.15 - 5 km","5 - 10 km","10+ km"},0)</f>
        <v>3</v>
      </c>
      <c r="G75" s="26" t="n">
        <f aca="false">MONTH(B75)</f>
        <v>11</v>
      </c>
      <c r="H75" s="26" t="n">
        <f aca="false">COUNTIF($G$8:G75,G75)</f>
        <v>1</v>
      </c>
      <c r="I75" s="45" t="n">
        <v>18.75</v>
      </c>
      <c r="J75" s="46" t="n">
        <f aca="false">INDEX(Simulador!$C$39:$F$39,F75)</f>
        <v>24</v>
      </c>
      <c r="K75" s="47" t="n">
        <f aca="false">IF(I75="","",I75-J75)</f>
        <v>-5.25</v>
      </c>
      <c r="L75" s="12" t="n">
        <f aca="false">INDEX(Simulador!$C$51:$F$51,F75)</f>
        <v>96184.8108108108</v>
      </c>
      <c r="M75" s="11" t="n">
        <f aca="false">IF(H75&gt;=Simulador!$C$19,INDEX(Simulador!$C$63:$F$63,F75),INDEX(Simulador!$C$62:$F$62,F75))</f>
        <v>99393.4589189189</v>
      </c>
      <c r="N75" s="11" t="n">
        <f aca="false">INDEX(Simulador!$C$64:$F$64,F75)</f>
        <v>135930.452432432</v>
      </c>
      <c r="O75" s="11" t="n">
        <f aca="false">IF(H75&gt;=Simulador!$C$19,INDEX(Simulador!$C$65:$F$65,F75),INDEX(Simulador!$C$64:$F$64,F75))</f>
        <v>135930.452432432</v>
      </c>
      <c r="P75" s="11" t="n">
        <f aca="false">IF(H75&gt;=Simulador!$C$19,INDEX(Simulador!$C$67:$F$67,F75),INDEX(Simulador!$C$66:$F$66,F75))</f>
        <v>102242.108648649</v>
      </c>
      <c r="Q75" s="11" t="n">
        <f aca="false">M75+(IF(I75="",J75+INDEX(Simulador!$C$40:$F$40,F75),I75)-J75-INDEX(Simulador!$C$40:$F$40,F75))*Simulador!$C$9-INDEX(Simulador!$C$69:$F$69,F75)+IF(Simulador!$N$7="Sí",MAX(0,IF(I75="",J75+INDEX(Simulador!$C$40:$F$40,F75),I75)-INDEX(Simulador!$C$41:$F$41,F75))*(INDEX(Simulador!$C$68:$F$68,F75)+Simulador!$N$8)/Simulador!$C$7,0)</f>
        <v>91749.4589189189</v>
      </c>
      <c r="R75" s="11" t="n">
        <f aca="false">N75+(IF(I75="",J75+INDEX(Simulador!$C$40:$F$40,F75),I75)-J75-INDEX(Simulador!$C$40:$F$40,F75))*Simulador!$C$9-INDEX(Simulador!$C$69:$F$69,F75)+IF(Simulador!$N$7="Sí",MAX(0,IF(I75="",J75+INDEX(Simulador!$C$40:$F$40,F75),I75)-INDEX(Simulador!$C$41:$F$41,F75))*(INDEX(Simulador!$C$68:$F$68,F75)+Simulador!$N$8)/Simulador!$C$7,0)</f>
        <v>128286.452432432</v>
      </c>
      <c r="S75" s="11" t="n">
        <f aca="false">O75+(IF(I75="",J75+INDEX(Simulador!$C$40:$F$40,F75),I75)-J75-INDEX(Simulador!$C$40:$F$40,F75))*Simulador!$C$9-INDEX(Simulador!$C$69:$F$69,F75)+IF(Simulador!$N$7="Sí",MAX(0,IF(I75="",J75+INDEX(Simulador!$C$40:$F$40,F75),I75)-INDEX(Simulador!$C$41:$F$41,F75))*(INDEX(Simulador!$C$68:$F$68,F75)+Simulador!$N$8)/Simulador!$C$7,0)</f>
        <v>128286.452432432</v>
      </c>
      <c r="T75" s="11" t="n">
        <f aca="false">P75+(IF(I75="",J75+INDEX(Simulador!$C$40:$F$40,F75),I75)-J75-INDEX(Simulador!$C$40:$F$40,F75))*Simulador!$C$9-INDEX(Simulador!$C$69:$F$69,F75)+IF(Simulador!$N$7="Sí",MAX(0,IF(I75="",J75+INDEX(Simulador!$C$40:$F$40,F75),I75)-INDEX(Simulador!$C$41:$F$41,F75))*(INDEX(Simulador!$C$68:$F$68,F75)+Simulador!$N$8)/Simulador!$C$7,0)</f>
        <v>94598.1086486487</v>
      </c>
      <c r="U75" s="2"/>
    </row>
    <row r="76" customFormat="false" ht="15" hidden="false" customHeight="false" outlineLevel="0" collapsed="false">
      <c r="B76" s="44" t="n">
        <v>45602</v>
      </c>
      <c r="C76" s="21" t="s">
        <v>559</v>
      </c>
      <c r="D76" s="45" t="n">
        <v>4.4</v>
      </c>
      <c r="E76" s="21" t="s">
        <v>485</v>
      </c>
      <c r="F76" s="26" t="n">
        <f aca="false">MATCH(E76,{"Misma locación","0.15 - 5 km","5 - 10 km","10+ km"},0)</f>
        <v>2</v>
      </c>
      <c r="G76" s="26" t="n">
        <f aca="false">MONTH(B76)</f>
        <v>11</v>
      </c>
      <c r="H76" s="26" t="n">
        <f aca="false">COUNTIF($G$8:G76,G76)</f>
        <v>2</v>
      </c>
      <c r="I76" s="45" t="n">
        <v>15.75</v>
      </c>
      <c r="J76" s="46" t="n">
        <f aca="false">INDEX(Simulador!$C$39:$F$39,F76)</f>
        <v>18</v>
      </c>
      <c r="K76" s="47" t="n">
        <f aca="false">IF(I76="","",I76-J76)</f>
        <v>-2.25</v>
      </c>
      <c r="L76" s="12" t="n">
        <f aca="false">INDEX(Simulador!$C$51:$F$51,F76)</f>
        <v>99473.8108108108</v>
      </c>
      <c r="M76" s="11" t="n">
        <f aca="false">IF(H76&gt;=Simulador!$C$19,INDEX(Simulador!$C$63:$F$63,F76),INDEX(Simulador!$C$62:$F$62,F76))</f>
        <v>85898.0227027027</v>
      </c>
      <c r="N76" s="11" t="n">
        <f aca="false">INDEX(Simulador!$C$64:$F$64,F76)</f>
        <v>108447.105405405</v>
      </c>
      <c r="O76" s="11" t="n">
        <f aca="false">IF(H76&gt;=Simulador!$C$19,INDEX(Simulador!$C$65:$F$65,F76),INDEX(Simulador!$C$64:$F$64,F76))</f>
        <v>108447.105405405</v>
      </c>
      <c r="P76" s="11" t="n">
        <f aca="false">IF(H76&gt;=Simulador!$C$19,INDEX(Simulador!$C$67:$F$67,F76),INDEX(Simulador!$C$66:$F$66,F76))</f>
        <v>82343.9464864865</v>
      </c>
      <c r="Q76" s="11" t="n">
        <f aca="false">M76+(IF(I76="",J76+INDEX(Simulador!$C$40:$F$40,F76),I76)-J76-INDEX(Simulador!$C$40:$F$40,F76))*Simulador!$C$9-INDEX(Simulador!$C$69:$F$69,F76)+IF(Simulador!$N$7="Sí",MAX(0,IF(I76="",J76+INDEX(Simulador!$C$40:$F$40,F76),I76)-INDEX(Simulador!$C$41:$F$41,F76))*(INDEX(Simulador!$C$68:$F$68,F76)+Simulador!$N$8)/Simulador!$C$7,0)</f>
        <v>82622.0227027027</v>
      </c>
      <c r="R76" s="11" t="n">
        <f aca="false">N76+(IF(I76="",J76+INDEX(Simulador!$C$40:$F$40,F76),I76)-J76-INDEX(Simulador!$C$40:$F$40,F76))*Simulador!$C$9-INDEX(Simulador!$C$69:$F$69,F76)+IF(Simulador!$N$7="Sí",MAX(0,IF(I76="",J76+INDEX(Simulador!$C$40:$F$40,F76),I76)-INDEX(Simulador!$C$41:$F$41,F76))*(INDEX(Simulador!$C$68:$F$68,F76)+Simulador!$N$8)/Simulador!$C$7,0)</f>
        <v>105171.105405405</v>
      </c>
      <c r="S76" s="11" t="n">
        <f aca="false">O76+(IF(I76="",J76+INDEX(Simulador!$C$40:$F$40,F76),I76)-J76-INDEX(Simulador!$C$40:$F$40,F76))*Simulador!$C$9-INDEX(Simulador!$C$69:$F$69,F76)+IF(Simulador!$N$7="Sí",MAX(0,IF(I76="",J76+INDEX(Simulador!$C$40:$F$40,F76),I76)-INDEX(Simulador!$C$41:$F$41,F76))*(INDEX(Simulador!$C$68:$F$68,F76)+Simulador!$N$8)/Simulador!$C$7,0)</f>
        <v>105171.105405405</v>
      </c>
      <c r="T76" s="11" t="n">
        <f aca="false">P76+(IF(I76="",J76+INDEX(Simulador!$C$40:$F$40,F76),I76)-J76-INDEX(Simulador!$C$40:$F$40,F76))*Simulador!$C$9-INDEX(Simulador!$C$69:$F$69,F76)+IF(Simulador!$N$7="Sí",MAX(0,IF(I76="",J76+INDEX(Simulador!$C$40:$F$40,F76),I76)-INDEX(Simulador!$C$41:$F$41,F76))*(INDEX(Simulador!$C$68:$F$68,F76)+Simulador!$N$8)/Simulador!$C$7,0)</f>
        <v>79067.9464864865</v>
      </c>
      <c r="U76" s="2"/>
    </row>
    <row r="77" customFormat="false" ht="15" hidden="false" customHeight="false" outlineLevel="0" collapsed="false">
      <c r="B77" s="44" t="n">
        <v>45608</v>
      </c>
      <c r="C77" s="21" t="s">
        <v>560</v>
      </c>
      <c r="D77" s="45" t="n">
        <v>4.4</v>
      </c>
      <c r="E77" s="21" t="s">
        <v>485</v>
      </c>
      <c r="F77" s="26" t="n">
        <f aca="false">MATCH(E77,{"Misma locación","0.15 - 5 km","5 - 10 km","10+ km"},0)</f>
        <v>2</v>
      </c>
      <c r="G77" s="26" t="n">
        <f aca="false">MONTH(B77)</f>
        <v>11</v>
      </c>
      <c r="H77" s="26" t="n">
        <f aca="false">COUNTIF($G$8:G77,G77)</f>
        <v>3</v>
      </c>
      <c r="I77" s="45" t="n">
        <v>15.75</v>
      </c>
      <c r="J77" s="46" t="n">
        <f aca="false">INDEX(Simulador!$C$39:$F$39,F77)</f>
        <v>18</v>
      </c>
      <c r="K77" s="47" t="n">
        <f aca="false">IF(I77="","",I77-J77)</f>
        <v>-2.25</v>
      </c>
      <c r="L77" s="12" t="n">
        <f aca="false">INDEX(Simulador!$C$51:$F$51,F77)</f>
        <v>99473.8108108108</v>
      </c>
      <c r="M77" s="11" t="n">
        <f aca="false">IF(H77&gt;=Simulador!$C$19,INDEX(Simulador!$C$63:$F$63,F77),INDEX(Simulador!$C$62:$F$62,F77))</f>
        <v>85898.0227027027</v>
      </c>
      <c r="N77" s="11" t="n">
        <f aca="false">INDEX(Simulador!$C$64:$F$64,F77)</f>
        <v>108447.105405405</v>
      </c>
      <c r="O77" s="11" t="n">
        <f aca="false">IF(H77&gt;=Simulador!$C$19,INDEX(Simulador!$C$65:$F$65,F77),INDEX(Simulador!$C$64:$F$64,F77))</f>
        <v>108447.105405405</v>
      </c>
      <c r="P77" s="11" t="n">
        <f aca="false">IF(H77&gt;=Simulador!$C$19,INDEX(Simulador!$C$67:$F$67,F77),INDEX(Simulador!$C$66:$F$66,F77))</f>
        <v>82343.9464864865</v>
      </c>
      <c r="Q77" s="11" t="n">
        <f aca="false">M77+(IF(I77="",J77+INDEX(Simulador!$C$40:$F$40,F77),I77)-J77-INDEX(Simulador!$C$40:$F$40,F77))*Simulador!$C$9-INDEX(Simulador!$C$69:$F$69,F77)+IF(Simulador!$N$7="Sí",MAX(0,IF(I77="",J77+INDEX(Simulador!$C$40:$F$40,F77),I77)-INDEX(Simulador!$C$41:$F$41,F77))*(INDEX(Simulador!$C$68:$F$68,F77)+Simulador!$N$8)/Simulador!$C$7,0)</f>
        <v>82622.0227027027</v>
      </c>
      <c r="R77" s="11" t="n">
        <f aca="false">N77+(IF(I77="",J77+INDEX(Simulador!$C$40:$F$40,F77),I77)-J77-INDEX(Simulador!$C$40:$F$40,F77))*Simulador!$C$9-INDEX(Simulador!$C$69:$F$69,F77)+IF(Simulador!$N$7="Sí",MAX(0,IF(I77="",J77+INDEX(Simulador!$C$40:$F$40,F77),I77)-INDEX(Simulador!$C$41:$F$41,F77))*(INDEX(Simulador!$C$68:$F$68,F77)+Simulador!$N$8)/Simulador!$C$7,0)</f>
        <v>105171.105405405</v>
      </c>
      <c r="S77" s="11" t="n">
        <f aca="false">O77+(IF(I77="",J77+INDEX(Simulador!$C$40:$F$40,F77),I77)-J77-INDEX(Simulador!$C$40:$F$40,F77))*Simulador!$C$9-INDEX(Simulador!$C$69:$F$69,F77)+IF(Simulador!$N$7="Sí",MAX(0,IF(I77="",J77+INDEX(Simulador!$C$40:$F$40,F77),I77)-INDEX(Simulador!$C$41:$F$41,F77))*(INDEX(Simulador!$C$68:$F$68,F77)+Simulador!$N$8)/Simulador!$C$7,0)</f>
        <v>105171.105405405</v>
      </c>
      <c r="T77" s="11" t="n">
        <f aca="false">P77+(IF(I77="",J77+INDEX(Simulador!$C$40:$F$40,F77),I77)-J77-INDEX(Simulador!$C$40:$F$40,F77))*Simulador!$C$9-INDEX(Simulador!$C$69:$F$69,F77)+IF(Simulador!$N$7="Sí",MAX(0,IF(I77="",J77+INDEX(Simulador!$C$40:$F$40,F77),I77)-INDEX(Simulador!$C$41:$F$41,F77))*(INDEX(Simulador!$C$68:$F$68,F77)+Simulador!$N$8)/Simulador!$C$7,0)</f>
        <v>79067.9464864865</v>
      </c>
      <c r="U77" s="2"/>
    </row>
    <row r="79" customFormat="false" ht="15" hidden="false" customHeight="false" outlineLevel="0" collapsed="false">
      <c r="B79" s="42" t="s">
        <v>561</v>
      </c>
      <c r="L79" s="30" t="n">
        <f aca="false">SUM(L8:L77)</f>
        <v>6424357.43243243</v>
      </c>
      <c r="M79" s="30" t="n">
        <f aca="false">SUM(M8:M77)</f>
        <v>5060926.96418919</v>
      </c>
      <c r="N79" s="30" t="n">
        <f aca="false">SUM(N8:N77)</f>
        <v>7170102.30081081</v>
      </c>
      <c r="O79" s="30" t="n">
        <f aca="false">SUM(O8:O77)</f>
        <v>6421483.10364865</v>
      </c>
      <c r="P79" s="30" t="n">
        <f aca="false">SUM(P8:P77)</f>
        <v>5158786.56810811</v>
      </c>
      <c r="Q79" s="30" t="n">
        <f aca="false">SUM(Q8:Q77)</f>
        <v>4970440.55743243</v>
      </c>
      <c r="R79" s="30" t="n">
        <f aca="false">SUM(R8:R77)</f>
        <v>7079615.89405405</v>
      </c>
      <c r="S79" s="30" t="n">
        <f aca="false">SUM(S8:S77)</f>
        <v>6330996.69689189</v>
      </c>
      <c r="T79" s="30" t="n">
        <f aca="false">SUM(T8:T77)</f>
        <v>5068300.16135135</v>
      </c>
    </row>
    <row r="82" customFormat="false" ht="15" hidden="false" customHeight="false" outlineLevel="0" collapsed="false">
      <c r="B82" s="42" t="s">
        <v>487</v>
      </c>
    </row>
    <row r="83" customFormat="false" ht="46.25" hidden="false" customHeight="false" outlineLevel="0" collapsed="false">
      <c r="B83" s="41" t="s">
        <v>136</v>
      </c>
      <c r="C83" s="41" t="s">
        <v>137</v>
      </c>
      <c r="D83" s="41" t="s">
        <v>234</v>
      </c>
      <c r="E83" s="41" t="s">
        <v>235</v>
      </c>
      <c r="F83" s="41" t="s">
        <v>236</v>
      </c>
      <c r="G83" s="41" t="s">
        <v>237</v>
      </c>
      <c r="H83" s="41" t="s">
        <v>339</v>
      </c>
      <c r="I83" s="41" t="s">
        <v>340</v>
      </c>
      <c r="J83" s="41" t="s">
        <v>341</v>
      </c>
      <c r="K83" s="41" t="s">
        <v>136</v>
      </c>
      <c r="L83" s="41" t="s">
        <v>471</v>
      </c>
      <c r="M83" s="41" t="s">
        <v>476</v>
      </c>
      <c r="N83" s="41" t="s">
        <v>479</v>
      </c>
      <c r="O83" s="41" t="s">
        <v>477</v>
      </c>
      <c r="P83" s="41" t="s">
        <v>138</v>
      </c>
      <c r="Q83" s="41" t="s">
        <v>139</v>
      </c>
      <c r="R83" s="41" t="s">
        <v>562</v>
      </c>
    </row>
    <row r="84" customFormat="false" ht="15" hidden="false" customHeight="false" outlineLevel="0" collapsed="false">
      <c r="B84" s="26" t="n">
        <v>1</v>
      </c>
      <c r="C84" s="26" t="n">
        <f aca="false">COUNTIF($G$8:$G$77,B84)</f>
        <v>7</v>
      </c>
      <c r="D84" s="26" t="n">
        <f aca="false">COUNTIFS($G$8:$G$77,B84,$F$8:$F$77,1)</f>
        <v>0</v>
      </c>
      <c r="E84" s="26" t="n">
        <f aca="false">COUNTIFS($G$8:$G$77,B84,$F$8:$F$77,2)</f>
        <v>5</v>
      </c>
      <c r="F84" s="26" t="n">
        <f aca="false">COUNTIFS($G$8:$G$77,B84,$F$8:$F$77,3)</f>
        <v>1</v>
      </c>
      <c r="G84" s="26" t="n">
        <f aca="false">COUNTIFS($G$8:$G$77,B84,$F$8:$F$77,4)</f>
        <v>1</v>
      </c>
      <c r="H84" s="11" t="n">
        <f aca="false">IF(C84=0,0,INDEX(Simulador!$E$72:$E$78,MIN(C84,6)+1))</f>
        <v>0</v>
      </c>
      <c r="I84" s="11" t="n">
        <f aca="false">IF(C84=0,0,INDEX(Simulador!$F$72:$F$78,MIN(C84,6)+1))</f>
        <v>0</v>
      </c>
      <c r="J84" s="11" t="n">
        <f aca="false">IF(AND(C84&gt;0,Simulador!$C$16="Mensual fijo"),Simulador!$C$14/Simulador!$C$7,0)</f>
        <v>16216.2162162162</v>
      </c>
      <c r="K84" s="10" t="s">
        <v>563</v>
      </c>
      <c r="L84" s="11" t="n">
        <f aca="false">SUMIF($G$8:$G$77,B84,$L$8:$L$77)</f>
        <v>704538.675675676</v>
      </c>
      <c r="M84" s="11" t="n">
        <f aca="false">SUMIF($G$8:$G$77,B84,$Q$8:$Q$77)+H84+J84</f>
        <v>563837.668918919</v>
      </c>
      <c r="N84" s="11" t="n">
        <f aca="false">SUMIF($G$8:$G$77,B84,$T$8:$T$77)+I84+J84</f>
        <v>560195.408108108</v>
      </c>
      <c r="O84" s="11" t="n">
        <f aca="false">SUMIF($G$8:$G$77,B84,$R$8:$R$77)+H84+J84</f>
        <v>820686.554594595</v>
      </c>
      <c r="P84" s="11" t="n">
        <f aca="false">L84-M84</f>
        <v>140701.006756757</v>
      </c>
      <c r="Q84" s="11" t="n">
        <f aca="false">L84-N84</f>
        <v>144343.267567568</v>
      </c>
      <c r="R84" s="11" t="n">
        <f aca="false">L84-O84</f>
        <v>-116147.878918919</v>
      </c>
    </row>
    <row r="85" customFormat="false" ht="15" hidden="false" customHeight="false" outlineLevel="0" collapsed="false">
      <c r="B85" s="26" t="n">
        <v>2</v>
      </c>
      <c r="C85" s="26" t="n">
        <f aca="false">COUNTIF($G$8:$G$77,B85)</f>
        <v>8</v>
      </c>
      <c r="D85" s="26" t="n">
        <f aca="false">COUNTIFS($G$8:$G$77,B85,$F$8:$F$77,1)</f>
        <v>4</v>
      </c>
      <c r="E85" s="26" t="n">
        <f aca="false">COUNTIFS($G$8:$G$77,B85,$F$8:$F$77,2)</f>
        <v>4</v>
      </c>
      <c r="F85" s="26" t="n">
        <f aca="false">COUNTIFS($G$8:$G$77,B85,$F$8:$F$77,3)</f>
        <v>0</v>
      </c>
      <c r="G85" s="26" t="n">
        <f aca="false">COUNTIFS($G$8:$G$77,B85,$F$8:$F$77,4)</f>
        <v>0</v>
      </c>
      <c r="H85" s="11" t="n">
        <f aca="false">IF(C85=0,0,INDEX(Simulador!$E$72:$E$78,MIN(C85,6)+1))</f>
        <v>0</v>
      </c>
      <c r="I85" s="11" t="n">
        <f aca="false">IF(C85=0,0,INDEX(Simulador!$F$72:$F$78,MIN(C85,6)+1))</f>
        <v>0</v>
      </c>
      <c r="J85" s="11" t="n">
        <f aca="false">IF(AND(C85&gt;0,Simulador!$C$16="Mensual fijo"),Simulador!$C$14/Simulador!$C$7,0)</f>
        <v>16216.2162162162</v>
      </c>
      <c r="K85" s="10" t="s">
        <v>564</v>
      </c>
      <c r="L85" s="11" t="n">
        <f aca="false">SUMIF($G$8:$G$77,B85,$L$8:$L$77)</f>
        <v>702084.864864865</v>
      </c>
      <c r="M85" s="11" t="n">
        <f aca="false">SUMIF($G$8:$G$77,B85,$Q$8:$Q$77)+H85+J85</f>
        <v>498237.647432432</v>
      </c>
      <c r="N85" s="11" t="n">
        <f aca="false">SUMIF($G$8:$G$77,B85,$T$8:$T$77)+I85+J85</f>
        <v>512220.543243243</v>
      </c>
      <c r="O85" s="11" t="n">
        <f aca="false">SUMIF($G$8:$G$77,B85,$R$8:$R$77)+H85+J85</f>
        <v>708152.783783784</v>
      </c>
      <c r="P85" s="11" t="n">
        <f aca="false">L85-M85</f>
        <v>203847.217432432</v>
      </c>
      <c r="Q85" s="11" t="n">
        <f aca="false">L85-N85</f>
        <v>189864.321621622</v>
      </c>
      <c r="R85" s="11" t="n">
        <f aca="false">L85-O85</f>
        <v>-6067.91891891894</v>
      </c>
    </row>
    <row r="86" customFormat="false" ht="15" hidden="false" customHeight="false" outlineLevel="0" collapsed="false">
      <c r="B86" s="26" t="n">
        <v>3</v>
      </c>
      <c r="C86" s="26" t="n">
        <f aca="false">COUNTIF($G$8:$G$77,B86)</f>
        <v>7</v>
      </c>
      <c r="D86" s="26" t="n">
        <f aca="false">COUNTIFS($G$8:$G$77,B86,$F$8:$F$77,1)</f>
        <v>3</v>
      </c>
      <c r="E86" s="26" t="n">
        <f aca="false">COUNTIFS($G$8:$G$77,B86,$F$8:$F$77,2)</f>
        <v>3</v>
      </c>
      <c r="F86" s="26" t="n">
        <f aca="false">COUNTIFS($G$8:$G$77,B86,$F$8:$F$77,3)</f>
        <v>1</v>
      </c>
      <c r="G86" s="26" t="n">
        <f aca="false">COUNTIFS($G$8:$G$77,B86,$F$8:$F$77,4)</f>
        <v>0</v>
      </c>
      <c r="H86" s="11" t="n">
        <f aca="false">IF(C86=0,0,INDEX(Simulador!$E$72:$E$78,MIN(C86,6)+1))</f>
        <v>0</v>
      </c>
      <c r="I86" s="11" t="n">
        <f aca="false">IF(C86=0,0,INDEX(Simulador!$F$72:$F$78,MIN(C86,6)+1))</f>
        <v>0</v>
      </c>
      <c r="J86" s="11" t="n">
        <f aca="false">IF(AND(C86&gt;0,Simulador!$C$16="Mensual fijo"),Simulador!$C$14/Simulador!$C$7,0)</f>
        <v>16216.2162162162</v>
      </c>
      <c r="K86" s="10" t="s">
        <v>565</v>
      </c>
      <c r="L86" s="11" t="n">
        <f aca="false">SUMIF($G$8:$G$77,B86,$L$8:$L$77)</f>
        <v>622748.459459459</v>
      </c>
      <c r="M86" s="11" t="n">
        <f aca="false">SUMIF($G$8:$G$77,B86,$Q$8:$Q$77)+H86+J86</f>
        <v>582648.393783784</v>
      </c>
      <c r="N86" s="11" t="n">
        <f aca="false">SUMIF($G$8:$G$77,B86,$T$8:$T$77)+I86+J86</f>
        <v>584207.712162162</v>
      </c>
      <c r="O86" s="11" t="n">
        <f aca="false">SUMIF($G$8:$G$77,B86,$R$8:$R$77)+H86+J86</f>
        <v>779695.709189189</v>
      </c>
      <c r="P86" s="11" t="n">
        <f aca="false">L86-M86</f>
        <v>40100.0656756756</v>
      </c>
      <c r="Q86" s="11" t="n">
        <f aca="false">L86-N86</f>
        <v>38540.7472972972</v>
      </c>
      <c r="R86" s="11" t="n">
        <f aca="false">L86-O86</f>
        <v>-156947.24972973</v>
      </c>
    </row>
    <row r="87" customFormat="false" ht="15" hidden="false" customHeight="false" outlineLevel="0" collapsed="false">
      <c r="B87" s="26" t="n">
        <v>4</v>
      </c>
      <c r="C87" s="26" t="n">
        <f aca="false">COUNTIF($G$8:$G$77,B87)</f>
        <v>7</v>
      </c>
      <c r="D87" s="26" t="n">
        <f aca="false">COUNTIFS($G$8:$G$77,B87,$F$8:$F$77,1)</f>
        <v>1</v>
      </c>
      <c r="E87" s="26" t="n">
        <f aca="false">COUNTIFS($G$8:$G$77,B87,$F$8:$F$77,2)</f>
        <v>3</v>
      </c>
      <c r="F87" s="26" t="n">
        <f aca="false">COUNTIFS($G$8:$G$77,B87,$F$8:$F$77,3)</f>
        <v>3</v>
      </c>
      <c r="G87" s="26" t="n">
        <f aca="false">COUNTIFS($G$8:$G$77,B87,$F$8:$F$77,4)</f>
        <v>0</v>
      </c>
      <c r="H87" s="11" t="n">
        <f aca="false">IF(C87=0,0,INDEX(Simulador!$E$72:$E$78,MIN(C87,6)+1))</f>
        <v>0</v>
      </c>
      <c r="I87" s="11" t="n">
        <f aca="false">IF(C87=0,0,INDEX(Simulador!$F$72:$F$78,MIN(C87,6)+1))</f>
        <v>0</v>
      </c>
      <c r="J87" s="11" t="n">
        <f aca="false">IF(AND(C87&gt;0,Simulador!$C$16="Mensual fijo"),Simulador!$C$14/Simulador!$C$7,0)</f>
        <v>16216.2162162162</v>
      </c>
      <c r="K87" s="10" t="s">
        <v>566</v>
      </c>
      <c r="L87" s="11" t="n">
        <f aca="false">SUMIF($G$8:$G$77,B87,$L$8:$L$77)</f>
        <v>663023.27027027</v>
      </c>
      <c r="M87" s="11" t="n">
        <f aca="false">SUMIF($G$8:$G$77,B87,$Q$8:$Q$77)+H87+J87</f>
        <v>534297.255675676</v>
      </c>
      <c r="N87" s="11" t="n">
        <f aca="false">SUMIF($G$8:$G$77,B87,$T$8:$T$77)+I87+J87</f>
        <v>541636.272972973</v>
      </c>
      <c r="O87" s="11" t="n">
        <f aca="false">SUMIF($G$8:$G$77,B87,$R$8:$R$77)+H87+J87</f>
        <v>783889.66945946</v>
      </c>
      <c r="P87" s="11" t="n">
        <f aca="false">L87-M87</f>
        <v>128726.014594595</v>
      </c>
      <c r="Q87" s="11" t="n">
        <f aca="false">L87-N87</f>
        <v>121386.997297297</v>
      </c>
      <c r="R87" s="11" t="n">
        <f aca="false">L87-O87</f>
        <v>-120866.399189189</v>
      </c>
    </row>
    <row r="88" customFormat="false" ht="15" hidden="false" customHeight="false" outlineLevel="0" collapsed="false">
      <c r="B88" s="26" t="n">
        <v>5</v>
      </c>
      <c r="C88" s="26" t="n">
        <f aca="false">COUNTIF($G$8:$G$77,B88)</f>
        <v>7</v>
      </c>
      <c r="D88" s="26" t="n">
        <f aca="false">COUNTIFS($G$8:$G$77,B88,$F$8:$F$77,1)</f>
        <v>3</v>
      </c>
      <c r="E88" s="26" t="n">
        <f aca="false">COUNTIFS($G$8:$G$77,B88,$F$8:$F$77,2)</f>
        <v>3</v>
      </c>
      <c r="F88" s="26" t="n">
        <f aca="false">COUNTIFS($G$8:$G$77,B88,$F$8:$F$77,3)</f>
        <v>1</v>
      </c>
      <c r="G88" s="26" t="n">
        <f aca="false">COUNTIFS($G$8:$G$77,B88,$F$8:$F$77,4)</f>
        <v>0</v>
      </c>
      <c r="H88" s="11" t="n">
        <f aca="false">IF(C88=0,0,INDEX(Simulador!$E$72:$E$78,MIN(C88,6)+1))</f>
        <v>0</v>
      </c>
      <c r="I88" s="11" t="n">
        <f aca="false">IF(C88=0,0,INDEX(Simulador!$F$72:$F$78,MIN(C88,6)+1))</f>
        <v>0</v>
      </c>
      <c r="J88" s="11" t="n">
        <f aca="false">IF(AND(C88&gt;0,Simulador!$C$16="Mensual fijo"),Simulador!$C$14/Simulador!$C$7,0)</f>
        <v>16216.2162162162</v>
      </c>
      <c r="K88" s="10" t="s">
        <v>567</v>
      </c>
      <c r="L88" s="11" t="n">
        <f aca="false">SUMIF($G$8:$G$77,B88,$L$8:$L$77)</f>
        <v>622748.459459459</v>
      </c>
      <c r="M88" s="11" t="n">
        <f aca="false">SUMIF($G$8:$G$77,B88,$Q$8:$Q$77)+H88+J88</f>
        <v>483694.996081081</v>
      </c>
      <c r="N88" s="11" t="n">
        <f aca="false">SUMIF($G$8:$G$77,B88,$T$8:$T$77)+I88+J88</f>
        <v>497120.860810811</v>
      </c>
      <c r="O88" s="11" t="n">
        <f aca="false">SUMIF($G$8:$G$77,B88,$R$8:$R$77)+H88+J88</f>
        <v>667488.587567568</v>
      </c>
      <c r="P88" s="11" t="n">
        <f aca="false">L88-M88</f>
        <v>139053.463378378</v>
      </c>
      <c r="Q88" s="11" t="n">
        <f aca="false">L88-N88</f>
        <v>125627.598648649</v>
      </c>
      <c r="R88" s="11" t="n">
        <f aca="false">L88-O88</f>
        <v>-44740.1281081082</v>
      </c>
    </row>
    <row r="89" customFormat="false" ht="15" hidden="false" customHeight="false" outlineLevel="0" collapsed="false">
      <c r="B89" s="26" t="n">
        <v>6</v>
      </c>
      <c r="C89" s="26" t="n">
        <f aca="false">COUNTIF($G$8:$G$77,B89)</f>
        <v>9</v>
      </c>
      <c r="D89" s="26" t="n">
        <f aca="false">COUNTIFS($G$8:$G$77,B89,$F$8:$F$77,1)</f>
        <v>4</v>
      </c>
      <c r="E89" s="26" t="n">
        <f aca="false">COUNTIFS($G$8:$G$77,B89,$F$8:$F$77,2)</f>
        <v>4</v>
      </c>
      <c r="F89" s="26" t="n">
        <f aca="false">COUNTIFS($G$8:$G$77,B89,$F$8:$F$77,3)</f>
        <v>1</v>
      </c>
      <c r="G89" s="26" t="n">
        <f aca="false">COUNTIFS($G$8:$G$77,B89,$F$8:$F$77,4)</f>
        <v>0</v>
      </c>
      <c r="H89" s="11" t="n">
        <f aca="false">IF(C89=0,0,INDEX(Simulador!$E$72:$E$78,MIN(C89,6)+1))</f>
        <v>0</v>
      </c>
      <c r="I89" s="11" t="n">
        <f aca="false">IF(C89=0,0,INDEX(Simulador!$F$72:$F$78,MIN(C89,6)+1))</f>
        <v>0</v>
      </c>
      <c r="J89" s="11" t="n">
        <f aca="false">IF(AND(C89&gt;0,Simulador!$C$16="Mensual fijo"),Simulador!$C$14/Simulador!$C$7,0)</f>
        <v>16216.2162162162</v>
      </c>
      <c r="K89" s="10" t="s">
        <v>568</v>
      </c>
      <c r="L89" s="11" t="n">
        <f aca="false">SUMIF($G$8:$G$77,B89,$L$8:$L$77)</f>
        <v>798269.675675676</v>
      </c>
      <c r="M89" s="11" t="n">
        <f aca="false">SUMIF($G$8:$G$77,B89,$Q$8:$Q$77)+H89+J89</f>
        <v>576840.100810811</v>
      </c>
      <c r="N89" s="11" t="n">
        <f aca="false">SUMIF($G$8:$G$77,B89,$T$8:$T$77)+I89+J89</f>
        <v>608033.732432433</v>
      </c>
      <c r="O89" s="11" t="n">
        <f aca="false">SUMIF($G$8:$G$77,B89,$R$8:$R$77)+H89+J89</f>
        <v>842263.236216216</v>
      </c>
      <c r="P89" s="11" t="n">
        <f aca="false">L89-M89</f>
        <v>221429.574864865</v>
      </c>
      <c r="Q89" s="11" t="n">
        <f aca="false">L89-N89</f>
        <v>190235.943243243</v>
      </c>
      <c r="R89" s="11" t="n">
        <f aca="false">L89-O89</f>
        <v>-43993.5605405406</v>
      </c>
    </row>
    <row r="90" customFormat="false" ht="15" hidden="false" customHeight="false" outlineLevel="0" collapsed="false">
      <c r="B90" s="26" t="n">
        <v>7</v>
      </c>
      <c r="C90" s="26" t="n">
        <f aca="false">COUNTIF($G$8:$G$77,B90)</f>
        <v>7</v>
      </c>
      <c r="D90" s="26" t="n">
        <f aca="false">COUNTIFS($G$8:$G$77,B90,$F$8:$F$77,1)</f>
        <v>2</v>
      </c>
      <c r="E90" s="26" t="n">
        <f aca="false">COUNTIFS($G$8:$G$77,B90,$F$8:$F$77,2)</f>
        <v>3</v>
      </c>
      <c r="F90" s="26" t="n">
        <f aca="false">COUNTIFS($G$8:$G$77,B90,$F$8:$F$77,3)</f>
        <v>0</v>
      </c>
      <c r="G90" s="26" t="n">
        <f aca="false">COUNTIFS($G$8:$G$77,B90,$F$8:$F$77,4)</f>
        <v>2</v>
      </c>
      <c r="H90" s="11" t="n">
        <f aca="false">IF(C90=0,0,INDEX(Simulador!$E$72:$E$78,MIN(C90,6)+1))</f>
        <v>0</v>
      </c>
      <c r="I90" s="11" t="n">
        <f aca="false">IF(C90=0,0,INDEX(Simulador!$F$72:$F$78,MIN(C90,6)+1))</f>
        <v>0</v>
      </c>
      <c r="J90" s="11" t="n">
        <f aca="false">IF(AND(C90&gt;0,Simulador!$C$16="Mensual fijo"),Simulador!$C$14/Simulador!$C$7,0)</f>
        <v>16216.2162162162</v>
      </c>
      <c r="K90" s="10" t="s">
        <v>569</v>
      </c>
      <c r="L90" s="11" t="n">
        <f aca="false">SUMIF($G$8:$G$77,B90,$L$8:$L$77)</f>
        <v>672485.864864865</v>
      </c>
      <c r="M90" s="11" t="n">
        <f aca="false">SUMIF($G$8:$G$77,B90,$Q$8:$Q$77)+H90+J90</f>
        <v>484758.332567568</v>
      </c>
      <c r="N90" s="11" t="n">
        <f aca="false">SUMIF($G$8:$G$77,B90,$T$8:$T$77)+I90+J90</f>
        <v>502002.954054054</v>
      </c>
      <c r="O90" s="11" t="n">
        <f aca="false">SUMIF($G$8:$G$77,B90,$R$8:$R$77)+H90+J90</f>
        <v>716204.761081081</v>
      </c>
      <c r="P90" s="11" t="n">
        <f aca="false">L90-M90</f>
        <v>187727.532297297</v>
      </c>
      <c r="Q90" s="11" t="n">
        <f aca="false">L90-N90</f>
        <v>170482.910810811</v>
      </c>
      <c r="R90" s="11" t="n">
        <f aca="false">L90-O90</f>
        <v>-43718.8962162163</v>
      </c>
    </row>
    <row r="91" customFormat="false" ht="15" hidden="false" customHeight="false" outlineLevel="0" collapsed="false">
      <c r="B91" s="26" t="n">
        <v>8</v>
      </c>
      <c r="C91" s="26" t="n">
        <f aca="false">COUNTIF($G$8:$G$77,B91)</f>
        <v>3</v>
      </c>
      <c r="D91" s="26" t="n">
        <f aca="false">COUNTIFS($G$8:$G$77,B91,$F$8:$F$77,1)</f>
        <v>1</v>
      </c>
      <c r="E91" s="26" t="n">
        <f aca="false">COUNTIFS($G$8:$G$77,B91,$F$8:$F$77,2)</f>
        <v>0</v>
      </c>
      <c r="F91" s="26" t="n">
        <f aca="false">COUNTIFS($G$8:$G$77,B91,$F$8:$F$77,3)</f>
        <v>1</v>
      </c>
      <c r="G91" s="26" t="n">
        <f aca="false">COUNTIFS($G$8:$G$77,B91,$F$8:$F$77,4)</f>
        <v>1</v>
      </c>
      <c r="H91" s="11" t="n">
        <f aca="false">IF(C91=0,0,INDEX(Simulador!$E$72:$E$78,MIN(C91,6)+1))</f>
        <v>69757.6113513514</v>
      </c>
      <c r="I91" s="11" t="n">
        <f aca="false">IF(C91=0,0,INDEX(Simulador!$F$72:$F$78,MIN(C91,6)+1))</f>
        <v>90527.0091891892</v>
      </c>
      <c r="J91" s="11" t="n">
        <f aca="false">IF(AND(C91&gt;0,Simulador!$C$16="Mensual fijo"),Simulador!$C$14/Simulador!$C$7,0)</f>
        <v>16216.2162162162</v>
      </c>
      <c r="K91" s="10" t="s">
        <v>570</v>
      </c>
      <c r="L91" s="11" t="n">
        <f aca="false">SUMIF($G$8:$G$77,B91,$L$8:$L$77)</f>
        <v>283217.027027027</v>
      </c>
      <c r="M91" s="11" t="n">
        <f aca="false">SUMIF($G$8:$G$77,B91,$Q$8:$Q$77)+H91+J91</f>
        <v>336654.533513514</v>
      </c>
      <c r="N91" s="11" t="n">
        <f aca="false">SUMIF($G$8:$G$77,B91,$T$8:$T$77)+I91+J91</f>
        <v>362014.355405405</v>
      </c>
      <c r="O91" s="11" t="n">
        <f aca="false">SUMIF($G$8:$G$77,B91,$R$8:$R$77)+H91+J91</f>
        <v>428952.709189189</v>
      </c>
      <c r="P91" s="11" t="n">
        <f aca="false">L91-M91</f>
        <v>-53437.5064864865</v>
      </c>
      <c r="Q91" s="11" t="n">
        <f aca="false">L91-N91</f>
        <v>-78797.3283783784</v>
      </c>
      <c r="R91" s="11" t="n">
        <f aca="false">L91-O91</f>
        <v>-145735.682162162</v>
      </c>
    </row>
    <row r="92" customFormat="false" ht="15" hidden="false" customHeight="false" outlineLevel="0" collapsed="false">
      <c r="B92" s="26" t="n">
        <v>9</v>
      </c>
      <c r="C92" s="26" t="n">
        <f aca="false">COUNTIF($G$8:$G$77,B92)</f>
        <v>6</v>
      </c>
      <c r="D92" s="26" t="n">
        <f aca="false">COUNTIFS($G$8:$G$77,B92,$F$8:$F$77,1)</f>
        <v>2</v>
      </c>
      <c r="E92" s="26" t="n">
        <f aca="false">COUNTIFS($G$8:$G$77,B92,$F$8:$F$77,2)</f>
        <v>2</v>
      </c>
      <c r="F92" s="26" t="n">
        <f aca="false">COUNTIFS($G$8:$G$77,B92,$F$8:$F$77,3)</f>
        <v>2</v>
      </c>
      <c r="G92" s="26" t="n">
        <f aca="false">COUNTIFS($G$8:$G$77,B92,$F$8:$F$77,4)</f>
        <v>0</v>
      </c>
      <c r="H92" s="11" t="n">
        <f aca="false">IF(C92=0,0,INDEX(Simulador!$E$72:$E$78,MIN(C92,6)+1))</f>
        <v>0</v>
      </c>
      <c r="I92" s="11" t="n">
        <f aca="false">IF(C92=0,0,INDEX(Simulador!$F$72:$F$78,MIN(C92,6)+1))</f>
        <v>0</v>
      </c>
      <c r="J92" s="11" t="n">
        <f aca="false">IF(AND(C92&gt;0,Simulador!$C$16="Mensual fijo"),Simulador!$C$14/Simulador!$C$7,0)</f>
        <v>16216.2162162162</v>
      </c>
      <c r="K92" s="10" t="s">
        <v>571</v>
      </c>
      <c r="L92" s="11" t="n">
        <f aca="false">SUMIF($G$8:$G$77,B92,$L$8:$L$77)</f>
        <v>543412.054054054</v>
      </c>
      <c r="M92" s="11" t="n">
        <f aca="false">SUMIF($G$8:$G$77,B92,$Q$8:$Q$77)+H92+J92</f>
        <v>464474.838918919</v>
      </c>
      <c r="N92" s="11" t="n">
        <f aca="false">SUMIF($G$8:$G$77,B92,$T$8:$T$77)+I92+J92</f>
        <v>469982.543243243</v>
      </c>
      <c r="O92" s="11" t="n">
        <f aca="false">SUMIF($G$8:$G$77,B92,$R$8:$R$77)+H92+J92</f>
        <v>633020.891351351</v>
      </c>
      <c r="P92" s="11" t="n">
        <f aca="false">L92-M92</f>
        <v>78937.2151351352</v>
      </c>
      <c r="Q92" s="11" t="n">
        <f aca="false">L92-N92</f>
        <v>73429.5108108108</v>
      </c>
      <c r="R92" s="11" t="n">
        <f aca="false">L92-O92</f>
        <v>-89608.8372972973</v>
      </c>
    </row>
    <row r="93" customFormat="false" ht="15" hidden="false" customHeight="false" outlineLevel="0" collapsed="false">
      <c r="B93" s="26" t="n">
        <v>10</v>
      </c>
      <c r="C93" s="26" t="n">
        <f aca="false">COUNTIF($G$8:$G$77,B93)</f>
        <v>6</v>
      </c>
      <c r="D93" s="26" t="n">
        <f aca="false">COUNTIFS($G$8:$G$77,B93,$F$8:$F$77,1)</f>
        <v>3</v>
      </c>
      <c r="E93" s="26" t="n">
        <f aca="false">COUNTIFS($G$8:$G$77,B93,$F$8:$F$77,2)</f>
        <v>0</v>
      </c>
      <c r="F93" s="26" t="n">
        <f aca="false">COUNTIFS($G$8:$G$77,B93,$F$8:$F$77,3)</f>
        <v>3</v>
      </c>
      <c r="G93" s="26" t="n">
        <f aca="false">COUNTIFS($G$8:$G$77,B93,$F$8:$F$77,4)</f>
        <v>0</v>
      </c>
      <c r="H93" s="11" t="n">
        <f aca="false">IF(C93=0,0,INDEX(Simulador!$E$72:$E$78,MIN(C93,6)+1))</f>
        <v>0</v>
      </c>
      <c r="I93" s="11" t="n">
        <f aca="false">IF(C93=0,0,INDEX(Simulador!$F$72:$F$78,MIN(C93,6)+1))</f>
        <v>0</v>
      </c>
      <c r="J93" s="11" t="n">
        <f aca="false">IF(AND(C93&gt;0,Simulador!$C$16="Mensual fijo"),Simulador!$C$14/Simulador!$C$7,0)</f>
        <v>16216.2162162162</v>
      </c>
      <c r="K93" s="10" t="s">
        <v>572</v>
      </c>
      <c r="L93" s="11" t="n">
        <f aca="false">SUMIF($G$8:$G$77,B93,$L$8:$L$77)</f>
        <v>516696.648648649</v>
      </c>
      <c r="M93" s="11" t="n">
        <f aca="false">SUMIF($G$8:$G$77,B93,$Q$8:$Q$77)+H93+J93</f>
        <v>419923.058918919</v>
      </c>
      <c r="N93" s="11" t="n">
        <f aca="false">SUMIF($G$8:$G$77,B93,$T$8:$T$77)+I93+J93</f>
        <v>430840.948648649</v>
      </c>
      <c r="O93" s="11" t="n">
        <f aca="false">SUMIF($G$8:$G$77,B93,$R$8:$R$77)+H93+J93</f>
        <v>592552.101891892</v>
      </c>
      <c r="P93" s="11" t="n">
        <f aca="false">L93-M93</f>
        <v>96773.5897297298</v>
      </c>
      <c r="Q93" s="11" t="n">
        <f aca="false">L93-N93</f>
        <v>85855.7</v>
      </c>
      <c r="R93" s="11" t="n">
        <f aca="false">L93-O93</f>
        <v>-75855.4532432433</v>
      </c>
    </row>
    <row r="94" customFormat="false" ht="15" hidden="false" customHeight="false" outlineLevel="0" collapsed="false">
      <c r="B94" s="26" t="n">
        <v>11</v>
      </c>
      <c r="C94" s="26" t="n">
        <f aca="false">COUNTIF($G$8:$G$77,B94)</f>
        <v>3</v>
      </c>
      <c r="D94" s="26" t="n">
        <f aca="false">COUNTIFS($G$8:$G$77,B94,$F$8:$F$77,1)</f>
        <v>0</v>
      </c>
      <c r="E94" s="26" t="n">
        <f aca="false">COUNTIFS($G$8:$G$77,B94,$F$8:$F$77,2)</f>
        <v>2</v>
      </c>
      <c r="F94" s="26" t="n">
        <f aca="false">COUNTIFS($G$8:$G$77,B94,$F$8:$F$77,3)</f>
        <v>1</v>
      </c>
      <c r="G94" s="26" t="n">
        <f aca="false">COUNTIFS($G$8:$G$77,B94,$F$8:$F$77,4)</f>
        <v>0</v>
      </c>
      <c r="H94" s="11" t="n">
        <f aca="false">IF(C94=0,0,INDEX(Simulador!$E$72:$E$78,MIN(C94,6)+1))</f>
        <v>69757.6113513514</v>
      </c>
      <c r="I94" s="11" t="n">
        <f aca="false">IF(C94=0,0,INDEX(Simulador!$F$72:$F$78,MIN(C94,6)+1))</f>
        <v>90527.0091891892</v>
      </c>
      <c r="J94" s="11" t="n">
        <f aca="false">IF(AND(C94&gt;0,Simulador!$C$16="Mensual fijo"),Simulador!$C$14/Simulador!$C$7,0)</f>
        <v>16216.2162162162</v>
      </c>
      <c r="K94" s="10" t="s">
        <v>573</v>
      </c>
      <c r="L94" s="11" t="n">
        <f aca="false">SUMIF($G$8:$G$77,B94,$L$8:$L$77)</f>
        <v>295132.432432432</v>
      </c>
      <c r="M94" s="11" t="n">
        <f aca="false">SUMIF($G$8:$G$77,B94,$Q$8:$Q$77)+H94+J94</f>
        <v>342967.331891892</v>
      </c>
      <c r="N94" s="11" t="n">
        <f aca="false">SUMIF($G$8:$G$77,B94,$T$8:$T$77)+I94+J94</f>
        <v>359477.227027027</v>
      </c>
      <c r="O94" s="11" t="n">
        <f aca="false">SUMIF($G$8:$G$77,B94,$R$8:$R$77)+H94+J94</f>
        <v>424602.490810811</v>
      </c>
      <c r="P94" s="11" t="n">
        <f aca="false">L94-M94</f>
        <v>-47834.8994594595</v>
      </c>
      <c r="Q94" s="11" t="n">
        <f aca="false">L94-N94</f>
        <v>-64344.7945945946</v>
      </c>
      <c r="R94" s="11" t="n">
        <f aca="false">L94-O94</f>
        <v>-129470.058378378</v>
      </c>
    </row>
    <row r="95" customFormat="false" ht="15" hidden="false" customHeight="false" outlineLevel="0" collapsed="false">
      <c r="B95" s="42" t="s">
        <v>342</v>
      </c>
      <c r="C95" s="40" t="n">
        <f aca="false">SUM(C84:C94)</f>
        <v>70</v>
      </c>
      <c r="D95" s="40" t="n">
        <f aca="false">SUM(D84:D94)</f>
        <v>23</v>
      </c>
      <c r="E95" s="40" t="n">
        <f aca="false">SUM(E84:E94)</f>
        <v>29</v>
      </c>
      <c r="F95" s="40" t="n">
        <f aca="false">SUM(F84:F94)</f>
        <v>14</v>
      </c>
      <c r="G95" s="40" t="n">
        <f aca="false">SUM(G84:G94)</f>
        <v>4</v>
      </c>
      <c r="H95" s="30" t="n">
        <f aca="false">SUM(H84:H94)</f>
        <v>139515.222702703</v>
      </c>
      <c r="I95" s="30" t="n">
        <f aca="false">SUM(I84:I94)</f>
        <v>181054.018378378</v>
      </c>
      <c r="J95" s="30" t="n">
        <f aca="false">SUM(J84:J94)</f>
        <v>178378.378378378</v>
      </c>
      <c r="L95" s="30" t="n">
        <f aca="false">SUM(L84:L94)</f>
        <v>6424357.43243243</v>
      </c>
      <c r="M95" s="30" t="n">
        <f aca="false">SUM(M84:M94)</f>
        <v>5288334.15851351</v>
      </c>
      <c r="N95" s="30" t="n">
        <f aca="false">SUM(N84:N94)</f>
        <v>5427732.55810811</v>
      </c>
      <c r="O95" s="30" t="n">
        <f aca="false">SUM(O84:O94)</f>
        <v>7397509.49513514</v>
      </c>
      <c r="P95" s="30" t="n">
        <f aca="false">SUM(P84:P94)</f>
        <v>1136023.27391892</v>
      </c>
      <c r="Q95" s="30" t="n">
        <f aca="false">SUM(Q84:Q94)</f>
        <v>996624.874324324</v>
      </c>
      <c r="R95" s="30" t="n">
        <f aca="false">SUM(R84:R94)</f>
        <v>-973152.062702703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AA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9"/>
    <col collapsed="false" customWidth="true" hidden="false" outlineLevel="0" max="5" min="5" style="0" width="15"/>
    <col collapsed="false" customWidth="true" hidden="false" outlineLevel="0" max="6" min="6" style="0" width="8"/>
    <col collapsed="false" customWidth="true" hidden="false" outlineLevel="0" max="7" min="7" style="0" width="7"/>
    <col collapsed="false" customWidth="true" hidden="false" outlineLevel="0" max="8" min="8" style="0" width="9"/>
    <col collapsed="false" customWidth="true" hidden="false" outlineLevel="0" max="10" min="9" style="0" width="10"/>
    <col collapsed="false" customWidth="true" hidden="false" outlineLevel="0" max="11" min="11" style="0" width="11"/>
    <col collapsed="false" customWidth="true" hidden="false" outlineLevel="0" max="20" min="12" style="0" width="14"/>
    <col collapsed="false" customWidth="true" hidden="false" outlineLevel="0" max="21" min="21" style="0" width="30"/>
    <col collapsed="false" customWidth="true" hidden="false" outlineLevel="0" max="23" min="23" style="0" width="28"/>
    <col collapsed="false" customWidth="true" hidden="false" outlineLevel="0" max="27" min="24" style="0" width="16"/>
  </cols>
  <sheetData>
    <row r="1" customFormat="false" ht="17.35" hidden="false" customHeight="false" outlineLevel="0" collapsed="false">
      <c r="B1" s="1" t="s">
        <v>574</v>
      </c>
    </row>
    <row r="2" customFormat="false" ht="15" hidden="false" customHeight="false" outlineLevel="0" collapsed="false">
      <c r="B2" s="2" t="s">
        <v>575</v>
      </c>
    </row>
    <row r="3" customFormat="false" ht="30" hidden="false" customHeight="true" outlineLevel="0" collapsed="false">
      <c r="W3" s="15" t="s">
        <v>297</v>
      </c>
      <c r="X3" s="41" t="s">
        <v>458</v>
      </c>
      <c r="Y3" s="41" t="s">
        <v>459</v>
      </c>
      <c r="Z3" s="41" t="s">
        <v>460</v>
      </c>
      <c r="AA3" s="41" t="s">
        <v>461</v>
      </c>
    </row>
    <row r="4" customFormat="false" ht="15" hidden="false" customHeight="false" outlineLevel="0" collapsed="false">
      <c r="B4" s="42" t="s">
        <v>87</v>
      </c>
      <c r="W4" s="10" t="s">
        <v>129</v>
      </c>
      <c r="X4" s="11" t="n">
        <f aca="false">L54</f>
        <v>4266318.02702703</v>
      </c>
      <c r="Y4" s="11"/>
      <c r="Z4" s="11" t="n">
        <f aca="false">L54</f>
        <v>4266318.02702703</v>
      </c>
      <c r="AA4" s="11"/>
    </row>
    <row r="5" customFormat="false" ht="15" hidden="false" customHeight="false" outlineLevel="0" collapsed="false">
      <c r="W5" s="10" t="s">
        <v>111</v>
      </c>
      <c r="X5" s="11" t="n">
        <f aca="false">M54+$H$68+$J$68</f>
        <v>4105470.56702703</v>
      </c>
      <c r="Y5" s="11" t="n">
        <f aca="false">$X$4-X5</f>
        <v>160847.46</v>
      </c>
      <c r="Z5" s="11" t="n">
        <f aca="false">Q54+$H$68+$J$68</f>
        <v>4337147.81027027</v>
      </c>
      <c r="AA5" s="11" t="n">
        <f aca="false">$Z$4-Z5</f>
        <v>-70829.7832432436</v>
      </c>
    </row>
    <row r="6" customFormat="false" ht="15" hidden="false" customHeight="false" outlineLevel="0" collapsed="false">
      <c r="W6" s="10" t="s">
        <v>113</v>
      </c>
      <c r="X6" s="11" t="n">
        <f aca="false">N54+$H$68+$J$68</f>
        <v>5483327.98189189</v>
      </c>
      <c r="Y6" s="11" t="n">
        <f aca="false">$X$4-X6</f>
        <v>-1217009.95486487</v>
      </c>
      <c r="Z6" s="11" t="n">
        <f aca="false">R54+$H$68+$J$68</f>
        <v>5715005.22513514</v>
      </c>
      <c r="AA6" s="11" t="n">
        <f aca="false">$Z$4-Z6</f>
        <v>-1448687.19810811</v>
      </c>
    </row>
    <row r="7" customFormat="false" ht="54" hidden="false" customHeight="true" outlineLevel="0" collapsed="false">
      <c r="B7" s="43" t="s">
        <v>462</v>
      </c>
      <c r="C7" s="43" t="s">
        <v>463</v>
      </c>
      <c r="D7" s="43" t="s">
        <v>464</v>
      </c>
      <c r="E7" s="43" t="s">
        <v>465</v>
      </c>
      <c r="F7" s="43" t="s">
        <v>466</v>
      </c>
      <c r="G7" s="43" t="s">
        <v>136</v>
      </c>
      <c r="H7" s="43" t="s">
        <v>467</v>
      </c>
      <c r="I7" s="43" t="s">
        <v>468</v>
      </c>
      <c r="J7" s="43" t="s">
        <v>469</v>
      </c>
      <c r="K7" s="43" t="s">
        <v>470</v>
      </c>
      <c r="L7" s="43" t="s">
        <v>471</v>
      </c>
      <c r="M7" s="43" t="s">
        <v>472</v>
      </c>
      <c r="N7" s="43" t="s">
        <v>473</v>
      </c>
      <c r="O7" s="43" t="s">
        <v>474</v>
      </c>
      <c r="P7" s="43" t="s">
        <v>475</v>
      </c>
      <c r="Q7" s="43" t="s">
        <v>476</v>
      </c>
      <c r="R7" s="43" t="s">
        <v>477</v>
      </c>
      <c r="S7" s="43" t="s">
        <v>478</v>
      </c>
      <c r="T7" s="43" t="s">
        <v>479</v>
      </c>
      <c r="U7" s="43" t="s">
        <v>37</v>
      </c>
      <c r="W7" s="10" t="s">
        <v>480</v>
      </c>
      <c r="X7" s="11" t="n">
        <f aca="false">O54+$H$68+$J$68</f>
        <v>5186468.11567568</v>
      </c>
      <c r="Y7" s="11" t="n">
        <f aca="false">$X$4-X7</f>
        <v>-920150.088648649</v>
      </c>
      <c r="Z7" s="11" t="n">
        <f aca="false">S54+$H$68+$J$68</f>
        <v>5418145.35891892</v>
      </c>
      <c r="AA7" s="11" t="n">
        <f aca="false">$Z$4-Z7</f>
        <v>-1151827.33189189</v>
      </c>
    </row>
    <row r="8" customFormat="false" ht="15" hidden="false" customHeight="false" outlineLevel="0" collapsed="false">
      <c r="B8" s="44" t="n">
        <v>45701</v>
      </c>
      <c r="C8" s="21" t="s">
        <v>576</v>
      </c>
      <c r="D8" s="45" t="n">
        <v>12</v>
      </c>
      <c r="E8" s="21" t="s">
        <v>482</v>
      </c>
      <c r="F8" s="26" t="n">
        <f aca="false">MATCH(E8,{"Misma locación","0.15 - 5 km","5 - 10 km","10+ km"},0)</f>
        <v>4</v>
      </c>
      <c r="G8" s="26" t="n">
        <f aca="false">MONTH(B8)</f>
        <v>2</v>
      </c>
      <c r="H8" s="26" t="n">
        <f aca="false">COUNTIF($G$8:G8,G8)</f>
        <v>1</v>
      </c>
      <c r="I8" s="45" t="n">
        <v>60</v>
      </c>
      <c r="J8" s="46" t="n">
        <f aca="false">INDEX(Simulador!$C$39:$F$39,F8)</f>
        <v>28</v>
      </c>
      <c r="K8" s="47" t="n">
        <f aca="false">IF(I8="","",I8-J8)</f>
        <v>32</v>
      </c>
      <c r="L8" s="12" t="n">
        <f aca="false">INDEX(Simulador!$C$51:$F$51,F8)</f>
        <v>110984.810810811</v>
      </c>
      <c r="M8" s="11" t="n">
        <f aca="false">IF(H8&gt;=Simulador!$C$19,INDEX(Simulador!$C$63:$F$63,F8),INDEX(Simulador!$C$62:$F$62,F8))</f>
        <v>107379.621081081</v>
      </c>
      <c r="N8" s="11" t="n">
        <f aca="false">INDEX(Simulador!$C$64:$F$64,F8)</f>
        <v>152876.358918919</v>
      </c>
      <c r="O8" s="11" t="n">
        <f aca="false">IF(H8&gt;=Simulador!$C$19,INDEX(Simulador!$C$65:$F$65,F8),INDEX(Simulador!$C$64:$F$64,F8))</f>
        <v>152876.358918919</v>
      </c>
      <c r="P8" s="11" t="n">
        <f aca="false">IF(H8&gt;=Simulador!$C$19,INDEX(Simulador!$C$67:$F$67,F8),INDEX(Simulador!$C$66:$F$66,F8))</f>
        <v>109162.595135135</v>
      </c>
      <c r="Q8" s="11" t="n">
        <f aca="false">M8+(IF(I8="",J8+INDEX(Simulador!$C$40:$F$40,F8),I8)-J8-INDEX(Simulador!$C$40:$F$40,F8))*Simulador!$C$9-INDEX(Simulador!$C$69:$F$69,F8)+IF(Simulador!$N$7="Sí",MAX(0,IF(I8="",J8+INDEX(Simulador!$C$40:$F$40,F8),I8)-INDEX(Simulador!$C$41:$F$41,F8))*(INDEX(Simulador!$C$68:$F$68,F8)+Simulador!$N$8)/Simulador!$C$7,0)</f>
        <v>186543.512972973</v>
      </c>
      <c r="R8" s="11" t="n">
        <f aca="false">N8+(IF(I8="",J8+INDEX(Simulador!$C$40:$F$40,F8),I8)-J8-INDEX(Simulador!$C$40:$F$40,F8))*Simulador!$C$9-INDEX(Simulador!$C$69:$F$69,F8)+IF(Simulador!$N$7="Sí",MAX(0,IF(I8="",J8+INDEX(Simulador!$C$40:$F$40,F8),I8)-INDEX(Simulador!$C$41:$F$41,F8))*(INDEX(Simulador!$C$68:$F$68,F8)+Simulador!$N$8)/Simulador!$C$7,0)</f>
        <v>232040.250810811</v>
      </c>
      <c r="S8" s="11" t="n">
        <f aca="false">O8+(IF(I8="",J8+INDEX(Simulador!$C$40:$F$40,F8),I8)-J8-INDEX(Simulador!$C$40:$F$40,F8))*Simulador!$C$9-INDEX(Simulador!$C$69:$F$69,F8)+IF(Simulador!$N$7="Sí",MAX(0,IF(I8="",J8+INDEX(Simulador!$C$40:$F$40,F8),I8)-INDEX(Simulador!$C$41:$F$41,F8))*(INDEX(Simulador!$C$68:$F$68,F8)+Simulador!$N$8)/Simulador!$C$7,0)</f>
        <v>232040.250810811</v>
      </c>
      <c r="T8" s="11" t="n">
        <f aca="false">P8+(IF(I8="",J8+INDEX(Simulador!$C$40:$F$40,F8),I8)-J8-INDEX(Simulador!$C$40:$F$40,F8))*Simulador!$C$9-INDEX(Simulador!$C$69:$F$69,F8)+IF(Simulador!$N$7="Sí",MAX(0,IF(I8="",J8+INDEX(Simulador!$C$40:$F$40,F8),I8)-INDEX(Simulador!$C$41:$F$41,F8))*(INDEX(Simulador!$C$68:$F$68,F8)+Simulador!$N$8)/Simulador!$C$7,0)</f>
        <v>188326.487027027</v>
      </c>
      <c r="U8" s="2"/>
      <c r="W8" s="10" t="s">
        <v>112</v>
      </c>
      <c r="X8" s="11" t="n">
        <f aca="false">P54+$I$68+$J$68</f>
        <v>4113803.68783784</v>
      </c>
      <c r="Y8" s="11" t="n">
        <f aca="false">$X$4-X8</f>
        <v>152514.339189189</v>
      </c>
      <c r="Z8" s="11" t="n">
        <f aca="false">T54+$I$68+$J$68</f>
        <v>4345480.93108108</v>
      </c>
      <c r="AA8" s="11" t="n">
        <f aca="false">$Z$4-Z8</f>
        <v>-79162.9040540541</v>
      </c>
    </row>
    <row r="9" customFormat="false" ht="15" hidden="false" customHeight="false" outlineLevel="0" collapsed="false">
      <c r="B9" s="44" t="n">
        <v>45725</v>
      </c>
      <c r="C9" s="21" t="s">
        <v>577</v>
      </c>
      <c r="D9" s="45" t="n">
        <v>13.5</v>
      </c>
      <c r="E9" s="21" t="s">
        <v>482</v>
      </c>
      <c r="F9" s="26" t="n">
        <f aca="false">MATCH(E9,{"Misma locación","0.15 - 5 km","5 - 10 km","10+ km"},0)</f>
        <v>4</v>
      </c>
      <c r="G9" s="26" t="n">
        <f aca="false">MONTH(B9)</f>
        <v>3</v>
      </c>
      <c r="H9" s="26" t="n">
        <f aca="false">COUNTIF($G$8:G9,G9)</f>
        <v>1</v>
      </c>
      <c r="I9" s="45" t="n">
        <v>41.25</v>
      </c>
      <c r="J9" s="46" t="n">
        <f aca="false">INDEX(Simulador!$C$39:$F$39,F9)</f>
        <v>28</v>
      </c>
      <c r="K9" s="47" t="n">
        <f aca="false">IF(I9="","",I9-J9)</f>
        <v>13.25</v>
      </c>
      <c r="L9" s="12" t="n">
        <f aca="false">INDEX(Simulador!$C$51:$F$51,F9)</f>
        <v>110984.810810811</v>
      </c>
      <c r="M9" s="11" t="n">
        <f aca="false">IF(H9&gt;=Simulador!$C$19,INDEX(Simulador!$C$63:$F$63,F9),INDEX(Simulador!$C$62:$F$62,F9))</f>
        <v>107379.621081081</v>
      </c>
      <c r="N9" s="11" t="n">
        <f aca="false">INDEX(Simulador!$C$64:$F$64,F9)</f>
        <v>152876.358918919</v>
      </c>
      <c r="O9" s="11" t="n">
        <f aca="false">IF(H9&gt;=Simulador!$C$19,INDEX(Simulador!$C$65:$F$65,F9),INDEX(Simulador!$C$64:$F$64,F9))</f>
        <v>152876.358918919</v>
      </c>
      <c r="P9" s="11" t="n">
        <f aca="false">IF(H9&gt;=Simulador!$C$19,INDEX(Simulador!$C$67:$F$67,F9),INDEX(Simulador!$C$66:$F$66,F9))</f>
        <v>109162.595135135</v>
      </c>
      <c r="Q9" s="11" t="n">
        <f aca="false">M9+(IF(I9="",J9+INDEX(Simulador!$C$40:$F$40,F9),I9)-J9-INDEX(Simulador!$C$40:$F$40,F9))*Simulador!$C$9-INDEX(Simulador!$C$69:$F$69,F9)+IF(Simulador!$N$7="Sí",MAX(0,IF(I9="",J9+INDEX(Simulador!$C$40:$F$40,F9),I9)-INDEX(Simulador!$C$41:$F$41,F9))*(INDEX(Simulador!$C$68:$F$68,F9)+Simulador!$N$8)/Simulador!$C$7,0)</f>
        <v>133796.722432432</v>
      </c>
      <c r="R9" s="11" t="n">
        <f aca="false">N9+(IF(I9="",J9+INDEX(Simulador!$C$40:$F$40,F9),I9)-J9-INDEX(Simulador!$C$40:$F$40,F9))*Simulador!$C$9-INDEX(Simulador!$C$69:$F$69,F9)+IF(Simulador!$N$7="Sí",MAX(0,IF(I9="",J9+INDEX(Simulador!$C$40:$F$40,F9),I9)-INDEX(Simulador!$C$41:$F$41,F9))*(INDEX(Simulador!$C$68:$F$68,F9)+Simulador!$N$8)/Simulador!$C$7,0)</f>
        <v>179293.46027027</v>
      </c>
      <c r="S9" s="11" t="n">
        <f aca="false">O9+(IF(I9="",J9+INDEX(Simulador!$C$40:$F$40,F9),I9)-J9-INDEX(Simulador!$C$40:$F$40,F9))*Simulador!$C$9-INDEX(Simulador!$C$69:$F$69,F9)+IF(Simulador!$N$7="Sí",MAX(0,IF(I9="",J9+INDEX(Simulador!$C$40:$F$40,F9),I9)-INDEX(Simulador!$C$41:$F$41,F9))*(INDEX(Simulador!$C$68:$F$68,F9)+Simulador!$N$8)/Simulador!$C$7,0)</f>
        <v>179293.46027027</v>
      </c>
      <c r="T9" s="11" t="n">
        <f aca="false">P9+(IF(I9="",J9+INDEX(Simulador!$C$40:$F$40,F9),I9)-J9-INDEX(Simulador!$C$40:$F$40,F9))*Simulador!$C$9-INDEX(Simulador!$C$69:$F$69,F9)+IF(Simulador!$N$7="Sí",MAX(0,IF(I9="",J9+INDEX(Simulador!$C$40:$F$40,F9),I9)-INDEX(Simulador!$C$41:$F$41,F9))*(INDEX(Simulador!$C$68:$F$68,F9)+Simulador!$N$8)/Simulador!$C$7,0)</f>
        <v>135579.696486487</v>
      </c>
      <c r="U9" s="2"/>
      <c r="W9" s="48" t="s">
        <v>137</v>
      </c>
      <c r="X9" s="48" t="n">
        <f aca="false">COUNT(B8:B52)</f>
        <v>45</v>
      </c>
    </row>
    <row r="10" customFormat="false" ht="15" hidden="false" customHeight="false" outlineLevel="0" collapsed="false">
      <c r="B10" s="44" t="n">
        <v>45738</v>
      </c>
      <c r="C10" s="21" t="s">
        <v>578</v>
      </c>
      <c r="D10" s="45" t="n">
        <v>2.4</v>
      </c>
      <c r="E10" s="21" t="s">
        <v>485</v>
      </c>
      <c r="F10" s="26" t="n">
        <f aca="false">MATCH(E10,{"Misma locación","0.15 - 5 km","5 - 10 km","10+ km"},0)</f>
        <v>2</v>
      </c>
      <c r="G10" s="26" t="n">
        <f aca="false">MONTH(B10)</f>
        <v>3</v>
      </c>
      <c r="H10" s="26" t="n">
        <f aca="false">COUNTIF($G$8:G10,G10)</f>
        <v>2</v>
      </c>
      <c r="I10" s="45" t="n">
        <v>25.5</v>
      </c>
      <c r="J10" s="46" t="n">
        <f aca="false">INDEX(Simulador!$C$39:$F$39,F10)</f>
        <v>18</v>
      </c>
      <c r="K10" s="47" t="n">
        <f aca="false">IF(I10="","",I10-J10)</f>
        <v>7.5</v>
      </c>
      <c r="L10" s="12" t="n">
        <f aca="false">INDEX(Simulador!$C$51:$F$51,F10)</f>
        <v>99473.8108108108</v>
      </c>
      <c r="M10" s="11" t="n">
        <f aca="false">IF(H10&gt;=Simulador!$C$19,INDEX(Simulador!$C$63:$F$63,F10),INDEX(Simulador!$C$62:$F$62,F10))</f>
        <v>85898.0227027027</v>
      </c>
      <c r="N10" s="11" t="n">
        <f aca="false">INDEX(Simulador!$C$64:$F$64,F10)</f>
        <v>108447.105405405</v>
      </c>
      <c r="O10" s="11" t="n">
        <f aca="false">IF(H10&gt;=Simulador!$C$19,INDEX(Simulador!$C$65:$F$65,F10),INDEX(Simulador!$C$64:$F$64,F10))</f>
        <v>108447.105405405</v>
      </c>
      <c r="P10" s="11" t="n">
        <f aca="false">IF(H10&gt;=Simulador!$C$19,INDEX(Simulador!$C$67:$F$67,F10),INDEX(Simulador!$C$66:$F$66,F10))</f>
        <v>82343.9464864865</v>
      </c>
      <c r="Q10" s="11" t="n">
        <f aca="false">M10+(IF(I10="",J10+INDEX(Simulador!$C$40:$F$40,F10),I10)-J10-INDEX(Simulador!$C$40:$F$40,F10))*Simulador!$C$9-INDEX(Simulador!$C$69:$F$69,F10)+IF(Simulador!$N$7="Sí",MAX(0,IF(I10="",J10+INDEX(Simulador!$C$40:$F$40,F10),I10)-INDEX(Simulador!$C$41:$F$41,F10))*(INDEX(Simulador!$C$68:$F$68,F10)+Simulador!$N$8)/Simulador!$C$7,0)</f>
        <v>98853.7659459459</v>
      </c>
      <c r="R10" s="11" t="n">
        <f aca="false">N10+(IF(I10="",J10+INDEX(Simulador!$C$40:$F$40,F10),I10)-J10-INDEX(Simulador!$C$40:$F$40,F10))*Simulador!$C$9-INDEX(Simulador!$C$69:$F$69,F10)+IF(Simulador!$N$7="Sí",MAX(0,IF(I10="",J10+INDEX(Simulador!$C$40:$F$40,F10),I10)-INDEX(Simulador!$C$41:$F$41,F10))*(INDEX(Simulador!$C$68:$F$68,F10)+Simulador!$N$8)/Simulador!$C$7,0)</f>
        <v>121402.848648649</v>
      </c>
      <c r="S10" s="11" t="n">
        <f aca="false">O10+(IF(I10="",J10+INDEX(Simulador!$C$40:$F$40,F10),I10)-J10-INDEX(Simulador!$C$40:$F$40,F10))*Simulador!$C$9-INDEX(Simulador!$C$69:$F$69,F10)+IF(Simulador!$N$7="Sí",MAX(0,IF(I10="",J10+INDEX(Simulador!$C$40:$F$40,F10),I10)-INDEX(Simulador!$C$41:$F$41,F10))*(INDEX(Simulador!$C$68:$F$68,F10)+Simulador!$N$8)/Simulador!$C$7,0)</f>
        <v>121402.848648649</v>
      </c>
      <c r="T10" s="11" t="n">
        <f aca="false">P10+(IF(I10="",J10+INDEX(Simulador!$C$40:$F$40,F10),I10)-J10-INDEX(Simulador!$C$40:$F$40,F10))*Simulador!$C$9-INDEX(Simulador!$C$69:$F$69,F10)+IF(Simulador!$N$7="Sí",MAX(0,IF(I10="",J10+INDEX(Simulador!$C$40:$F$40,F10),I10)-INDEX(Simulador!$C$41:$F$41,F10))*(INDEX(Simulador!$C$68:$F$68,F10)+Simulador!$N$8)/Simulador!$C$7,0)</f>
        <v>95299.6897297297</v>
      </c>
      <c r="U10" s="2"/>
      <c r="W10" s="48" t="s">
        <v>487</v>
      </c>
      <c r="X10" s="48" t="n">
        <f aca="false">COUNTIF(C59:C67,"&gt;0")</f>
        <v>9</v>
      </c>
    </row>
    <row r="11" customFormat="false" ht="15" hidden="false" customHeight="false" outlineLevel="0" collapsed="false">
      <c r="B11" s="44" t="n">
        <v>45743</v>
      </c>
      <c r="C11" s="21" t="s">
        <v>579</v>
      </c>
      <c r="D11" s="45" t="n">
        <v>0.00640079979517441</v>
      </c>
      <c r="E11" s="21" t="s">
        <v>498</v>
      </c>
      <c r="F11" s="26" t="n">
        <f aca="false">MATCH(E11,{"Misma locación","0.15 - 5 km","5 - 10 km","10+ km"},0)</f>
        <v>1</v>
      </c>
      <c r="G11" s="26" t="n">
        <f aca="false">MONTH(B11)</f>
        <v>3</v>
      </c>
      <c r="H11" s="26" t="n">
        <f aca="false">COUNTIF($G$8:G11,G11)</f>
        <v>3</v>
      </c>
      <c r="I11" s="45" t="n">
        <v>11.75</v>
      </c>
      <c r="J11" s="46" t="n">
        <f aca="false">INDEX(Simulador!$C$39:$F$39,F11)</f>
        <v>12</v>
      </c>
      <c r="K11" s="47" t="n">
        <f aca="false">IF(I11="","",I11-J11)</f>
        <v>-0.25</v>
      </c>
      <c r="L11" s="12" t="n">
        <f aca="false">INDEX(Simulador!$C$51:$F$51,F11)</f>
        <v>76047.4054054054</v>
      </c>
      <c r="M11" s="11" t="n">
        <f aca="false">IF(H11&gt;=Simulador!$C$19,INDEX(Simulador!$C$63:$F$63,F11),INDEX(Simulador!$C$62:$F$62,F11))</f>
        <v>55414.0110810811</v>
      </c>
      <c r="N11" s="11" t="n">
        <f aca="false">INDEX(Simulador!$C$64:$F$64,F11)</f>
        <v>65678.4554054054</v>
      </c>
      <c r="O11" s="11" t="n">
        <f aca="false">IF(H11&gt;=Simulador!$C$19,INDEX(Simulador!$C$65:$F$65,F11),INDEX(Simulador!$C$64:$F$64,F11))</f>
        <v>65678.4554054054</v>
      </c>
      <c r="P11" s="11" t="n">
        <f aca="false">IF(H11&gt;=Simulador!$C$19,INDEX(Simulador!$C$67:$F$67,F11),INDEX(Simulador!$C$66:$F$66,F11))</f>
        <v>55372.8113513514</v>
      </c>
      <c r="Q11" s="11" t="n">
        <f aca="false">M11+(IF(I11="",J11+INDEX(Simulador!$C$40:$F$40,F11),I11)-J11-INDEX(Simulador!$C$40:$F$40,F11))*Simulador!$C$9-INDEX(Simulador!$C$69:$F$69,F11)+IF(Simulador!$N$7="Sí",MAX(0,IF(I11="",J11+INDEX(Simulador!$C$40:$F$40,F11),I11)-INDEX(Simulador!$C$41:$F$41,F11))*(INDEX(Simulador!$C$68:$F$68,F11)+Simulador!$N$8)/Simulador!$C$7,0)</f>
        <v>55050.0110810811</v>
      </c>
      <c r="R11" s="11" t="n">
        <f aca="false">N11+(IF(I11="",J11+INDEX(Simulador!$C$40:$F$40,F11),I11)-J11-INDEX(Simulador!$C$40:$F$40,F11))*Simulador!$C$9-INDEX(Simulador!$C$69:$F$69,F11)+IF(Simulador!$N$7="Sí",MAX(0,IF(I11="",J11+INDEX(Simulador!$C$40:$F$40,F11),I11)-INDEX(Simulador!$C$41:$F$41,F11))*(INDEX(Simulador!$C$68:$F$68,F11)+Simulador!$N$8)/Simulador!$C$7,0)</f>
        <v>65314.4554054054</v>
      </c>
      <c r="S11" s="11" t="n">
        <f aca="false">O11+(IF(I11="",J11+INDEX(Simulador!$C$40:$F$40,F11),I11)-J11-INDEX(Simulador!$C$40:$F$40,F11))*Simulador!$C$9-INDEX(Simulador!$C$69:$F$69,F11)+IF(Simulador!$N$7="Sí",MAX(0,IF(I11="",J11+INDEX(Simulador!$C$40:$F$40,F11),I11)-INDEX(Simulador!$C$41:$F$41,F11))*(INDEX(Simulador!$C$68:$F$68,F11)+Simulador!$N$8)/Simulador!$C$7,0)</f>
        <v>65314.4554054054</v>
      </c>
      <c r="T11" s="11" t="n">
        <f aca="false">P11+(IF(I11="",J11+INDEX(Simulador!$C$40:$F$40,F11),I11)-J11-INDEX(Simulador!$C$40:$F$40,F11))*Simulador!$C$9-INDEX(Simulador!$C$69:$F$69,F11)+IF(Simulador!$N$7="Sí",MAX(0,IF(I11="",J11+INDEX(Simulador!$C$40:$F$40,F11),I11)-INDEX(Simulador!$C$41:$F$41,F11))*(INDEX(Simulador!$C$68:$F$68,F11)+Simulador!$N$8)/Simulador!$C$7,0)</f>
        <v>55008.8113513514</v>
      </c>
      <c r="U11" s="2"/>
      <c r="W11" s="48" t="s">
        <v>490</v>
      </c>
      <c r="X11" s="49" t="n">
        <f aca="false">X9/X10</f>
        <v>5</v>
      </c>
    </row>
    <row r="12" customFormat="false" ht="15" hidden="false" customHeight="false" outlineLevel="0" collapsed="false">
      <c r="B12" s="44" t="n">
        <v>45747</v>
      </c>
      <c r="C12" s="21" t="s">
        <v>580</v>
      </c>
      <c r="D12" s="45" t="n">
        <v>0.6</v>
      </c>
      <c r="E12" s="21" t="s">
        <v>485</v>
      </c>
      <c r="F12" s="26" t="n">
        <f aca="false">MATCH(E12,{"Misma locación","0.15 - 5 km","5 - 10 km","10+ km"},0)</f>
        <v>2</v>
      </c>
      <c r="G12" s="26" t="n">
        <f aca="false">MONTH(B12)</f>
        <v>3</v>
      </c>
      <c r="H12" s="26" t="n">
        <f aca="false">COUNTIF($G$8:G12,G12)</f>
        <v>4</v>
      </c>
      <c r="I12" s="45" t="n">
        <v>19.5</v>
      </c>
      <c r="J12" s="46" t="n">
        <f aca="false">INDEX(Simulador!$C$39:$F$39,F12)</f>
        <v>18</v>
      </c>
      <c r="K12" s="47" t="n">
        <f aca="false">IF(I12="","",I12-J12)</f>
        <v>1.5</v>
      </c>
      <c r="L12" s="12" t="n">
        <f aca="false">INDEX(Simulador!$C$51:$F$51,F12)</f>
        <v>99473.8108108108</v>
      </c>
      <c r="M12" s="11" t="n">
        <f aca="false">IF(H12&gt;=Simulador!$C$19,INDEX(Simulador!$C$63:$F$63,F12),INDEX(Simulador!$C$62:$F$62,F12))</f>
        <v>85898.0227027027</v>
      </c>
      <c r="N12" s="11" t="n">
        <f aca="false">INDEX(Simulador!$C$64:$F$64,F12)</f>
        <v>108447.105405405</v>
      </c>
      <c r="O12" s="11" t="n">
        <f aca="false">IF(H12&gt;=Simulador!$C$19,INDEX(Simulador!$C$65:$F$65,F12),INDEX(Simulador!$C$64:$F$64,F12))</f>
        <v>108447.105405405</v>
      </c>
      <c r="P12" s="11" t="n">
        <f aca="false">IF(H12&gt;=Simulador!$C$19,INDEX(Simulador!$C$67:$F$67,F12),INDEX(Simulador!$C$66:$F$66,F12))</f>
        <v>82343.9464864865</v>
      </c>
      <c r="Q12" s="11" t="n">
        <f aca="false">M12+(IF(I12="",J12+INDEX(Simulador!$C$40:$F$40,F12),I12)-J12-INDEX(Simulador!$C$40:$F$40,F12))*Simulador!$C$9-INDEX(Simulador!$C$69:$F$69,F12)+IF(Simulador!$N$7="Sí",MAX(0,IF(I12="",J12+INDEX(Simulador!$C$40:$F$40,F12),I12)-INDEX(Simulador!$C$41:$F$41,F12))*(INDEX(Simulador!$C$68:$F$68,F12)+Simulador!$N$8)/Simulador!$C$7,0)</f>
        <v>88082.0227027027</v>
      </c>
      <c r="R12" s="11" t="n">
        <f aca="false">N12+(IF(I12="",J12+INDEX(Simulador!$C$40:$F$40,F12),I12)-J12-INDEX(Simulador!$C$40:$F$40,F12))*Simulador!$C$9-INDEX(Simulador!$C$69:$F$69,F12)+IF(Simulador!$N$7="Sí",MAX(0,IF(I12="",J12+INDEX(Simulador!$C$40:$F$40,F12),I12)-INDEX(Simulador!$C$41:$F$41,F12))*(INDEX(Simulador!$C$68:$F$68,F12)+Simulador!$N$8)/Simulador!$C$7,0)</f>
        <v>110631.105405405</v>
      </c>
      <c r="S12" s="11" t="n">
        <f aca="false">O12+(IF(I12="",J12+INDEX(Simulador!$C$40:$F$40,F12),I12)-J12-INDEX(Simulador!$C$40:$F$40,F12))*Simulador!$C$9-INDEX(Simulador!$C$69:$F$69,F12)+IF(Simulador!$N$7="Sí",MAX(0,IF(I12="",J12+INDEX(Simulador!$C$40:$F$40,F12),I12)-INDEX(Simulador!$C$41:$F$41,F12))*(INDEX(Simulador!$C$68:$F$68,F12)+Simulador!$N$8)/Simulador!$C$7,0)</f>
        <v>110631.105405405</v>
      </c>
      <c r="T12" s="11" t="n">
        <f aca="false">P12+(IF(I12="",J12+INDEX(Simulador!$C$40:$F$40,F12),I12)-J12-INDEX(Simulador!$C$40:$F$40,F12))*Simulador!$C$9-INDEX(Simulador!$C$69:$F$69,F12)+IF(Simulador!$N$7="Sí",MAX(0,IF(I12="",J12+INDEX(Simulador!$C$40:$F$40,F12),I12)-INDEX(Simulador!$C$41:$F$41,F12))*(INDEX(Simulador!$C$68:$F$68,F12)+Simulador!$N$8)/Simulador!$C$7,0)</f>
        <v>84527.9464864865</v>
      </c>
      <c r="U12" s="2"/>
      <c r="W12" s="48" t="s">
        <v>492</v>
      </c>
      <c r="X12" s="48" t="n">
        <f aca="false">COUNTIF(C59:C67,"&gt;=6")</f>
        <v>4</v>
      </c>
    </row>
    <row r="13" customFormat="false" ht="15" hidden="false" customHeight="false" outlineLevel="0" collapsed="false">
      <c r="B13" s="44" t="n">
        <v>45752</v>
      </c>
      <c r="C13" s="21" t="s">
        <v>581</v>
      </c>
      <c r="D13" s="45" t="n">
        <v>0.58</v>
      </c>
      <c r="E13" s="21" t="s">
        <v>485</v>
      </c>
      <c r="F13" s="26" t="n">
        <f aca="false">MATCH(E13,{"Misma locación","0.15 - 5 km","5 - 10 km","10+ km"},0)</f>
        <v>2</v>
      </c>
      <c r="G13" s="26" t="n">
        <f aca="false">MONTH(B13)</f>
        <v>4</v>
      </c>
      <c r="H13" s="26" t="n">
        <f aca="false">COUNTIF($G$8:G13,G13)</f>
        <v>1</v>
      </c>
      <c r="I13" s="45" t="n">
        <v>15.75</v>
      </c>
      <c r="J13" s="46" t="n">
        <f aca="false">INDEX(Simulador!$C$39:$F$39,F13)</f>
        <v>18</v>
      </c>
      <c r="K13" s="47" t="n">
        <f aca="false">IF(I13="","",I13-J13)</f>
        <v>-2.25</v>
      </c>
      <c r="L13" s="12" t="n">
        <f aca="false">INDEX(Simulador!$C$51:$F$51,F13)</f>
        <v>99473.8108108108</v>
      </c>
      <c r="M13" s="11" t="n">
        <f aca="false">IF(H13&gt;=Simulador!$C$19,INDEX(Simulador!$C$63:$F$63,F13),INDEX(Simulador!$C$62:$F$62,F13))</f>
        <v>85898.0227027027</v>
      </c>
      <c r="N13" s="11" t="n">
        <f aca="false">INDEX(Simulador!$C$64:$F$64,F13)</f>
        <v>108447.105405405</v>
      </c>
      <c r="O13" s="11" t="n">
        <f aca="false">IF(H13&gt;=Simulador!$C$19,INDEX(Simulador!$C$65:$F$65,F13),INDEX(Simulador!$C$64:$F$64,F13))</f>
        <v>108447.105405405</v>
      </c>
      <c r="P13" s="11" t="n">
        <f aca="false">IF(H13&gt;=Simulador!$C$19,INDEX(Simulador!$C$67:$F$67,F13),INDEX(Simulador!$C$66:$F$66,F13))</f>
        <v>82343.9464864865</v>
      </c>
      <c r="Q13" s="11" t="n">
        <f aca="false">M13+(IF(I13="",J13+INDEX(Simulador!$C$40:$F$40,F13),I13)-J13-INDEX(Simulador!$C$40:$F$40,F13))*Simulador!$C$9-INDEX(Simulador!$C$69:$F$69,F13)+IF(Simulador!$N$7="Sí",MAX(0,IF(I13="",J13+INDEX(Simulador!$C$40:$F$40,F13),I13)-INDEX(Simulador!$C$41:$F$41,F13))*(INDEX(Simulador!$C$68:$F$68,F13)+Simulador!$N$8)/Simulador!$C$7,0)</f>
        <v>82622.0227027027</v>
      </c>
      <c r="R13" s="11" t="n">
        <f aca="false">N13+(IF(I13="",J13+INDEX(Simulador!$C$40:$F$40,F13),I13)-J13-INDEX(Simulador!$C$40:$F$40,F13))*Simulador!$C$9-INDEX(Simulador!$C$69:$F$69,F13)+IF(Simulador!$N$7="Sí",MAX(0,IF(I13="",J13+INDEX(Simulador!$C$40:$F$40,F13),I13)-INDEX(Simulador!$C$41:$F$41,F13))*(INDEX(Simulador!$C$68:$F$68,F13)+Simulador!$N$8)/Simulador!$C$7,0)</f>
        <v>105171.105405405</v>
      </c>
      <c r="S13" s="11" t="n">
        <f aca="false">O13+(IF(I13="",J13+INDEX(Simulador!$C$40:$F$40,F13),I13)-J13-INDEX(Simulador!$C$40:$F$40,F13))*Simulador!$C$9-INDEX(Simulador!$C$69:$F$69,F13)+IF(Simulador!$N$7="Sí",MAX(0,IF(I13="",J13+INDEX(Simulador!$C$40:$F$40,F13),I13)-INDEX(Simulador!$C$41:$F$41,F13))*(INDEX(Simulador!$C$68:$F$68,F13)+Simulador!$N$8)/Simulador!$C$7,0)</f>
        <v>105171.105405405</v>
      </c>
      <c r="T13" s="11" t="n">
        <f aca="false">P13+(IF(I13="",J13+INDEX(Simulador!$C$40:$F$40,F13),I13)-J13-INDEX(Simulador!$C$40:$F$40,F13))*Simulador!$C$9-INDEX(Simulador!$C$69:$F$69,F13)+IF(Simulador!$N$7="Sí",MAX(0,IF(I13="",J13+INDEX(Simulador!$C$40:$F$40,F13),I13)-INDEX(Simulador!$C$41:$F$41,F13))*(INDEX(Simulador!$C$68:$F$68,F13)+Simulador!$N$8)/Simulador!$C$7,0)</f>
        <v>79067.9464864865</v>
      </c>
      <c r="U13" s="2"/>
      <c r="W13" s="48" t="s">
        <v>494</v>
      </c>
      <c r="X13" s="48" t="n">
        <f aca="false">COUNTIF(C59:C67,"&lt;5")</f>
        <v>3</v>
      </c>
    </row>
    <row r="14" customFormat="false" ht="15" hidden="false" customHeight="false" outlineLevel="0" collapsed="false">
      <c r="B14" s="44" t="n">
        <v>45756</v>
      </c>
      <c r="C14" s="21" t="s">
        <v>582</v>
      </c>
      <c r="D14" s="45" t="n">
        <v>0.0128015995903488</v>
      </c>
      <c r="E14" s="21" t="s">
        <v>498</v>
      </c>
      <c r="F14" s="26" t="n">
        <f aca="false">MATCH(E14,{"Misma locación","0.15 - 5 km","5 - 10 km","10+ km"},0)</f>
        <v>1</v>
      </c>
      <c r="G14" s="26" t="n">
        <f aca="false">MONTH(B14)</f>
        <v>4</v>
      </c>
      <c r="H14" s="26" t="n">
        <f aca="false">COUNTIF($G$8:G14,G14)</f>
        <v>2</v>
      </c>
      <c r="I14" s="45" t="n">
        <v>15.5</v>
      </c>
      <c r="J14" s="46" t="n">
        <f aca="false">INDEX(Simulador!$C$39:$F$39,F14)</f>
        <v>12</v>
      </c>
      <c r="K14" s="47" t="n">
        <f aca="false">IF(I14="","",I14-J14)</f>
        <v>3.5</v>
      </c>
      <c r="L14" s="12" t="n">
        <f aca="false">INDEX(Simulador!$C$51:$F$51,F14)</f>
        <v>76047.4054054054</v>
      </c>
      <c r="M14" s="11" t="n">
        <f aca="false">IF(H14&gt;=Simulador!$C$19,INDEX(Simulador!$C$63:$F$63,F14),INDEX(Simulador!$C$62:$F$62,F14))</f>
        <v>55414.0110810811</v>
      </c>
      <c r="N14" s="11" t="n">
        <f aca="false">INDEX(Simulador!$C$64:$F$64,F14)</f>
        <v>65678.4554054054</v>
      </c>
      <c r="O14" s="11" t="n">
        <f aca="false">IF(H14&gt;=Simulador!$C$19,INDEX(Simulador!$C$65:$F$65,F14),INDEX(Simulador!$C$64:$F$64,F14))</f>
        <v>65678.4554054054</v>
      </c>
      <c r="P14" s="11" t="n">
        <f aca="false">IF(H14&gt;=Simulador!$C$19,INDEX(Simulador!$C$67:$F$67,F14),INDEX(Simulador!$C$66:$F$66,F14))</f>
        <v>55372.8113513514</v>
      </c>
      <c r="Q14" s="11" t="n">
        <f aca="false">M14+(IF(I14="",J14+INDEX(Simulador!$C$40:$F$40,F14),I14)-J14-INDEX(Simulador!$C$40:$F$40,F14))*Simulador!$C$9-INDEX(Simulador!$C$69:$F$69,F14)+IF(Simulador!$N$7="Sí",MAX(0,IF(I14="",J14+INDEX(Simulador!$C$40:$F$40,F14),I14)-INDEX(Simulador!$C$41:$F$41,F14))*(INDEX(Simulador!$C$68:$F$68,F14)+Simulador!$N$8)/Simulador!$C$7,0)</f>
        <v>65260.0786486487</v>
      </c>
      <c r="R14" s="11" t="n">
        <f aca="false">N14+(IF(I14="",J14+INDEX(Simulador!$C$40:$F$40,F14),I14)-J14-INDEX(Simulador!$C$40:$F$40,F14))*Simulador!$C$9-INDEX(Simulador!$C$69:$F$69,F14)+IF(Simulador!$N$7="Sí",MAX(0,IF(I14="",J14+INDEX(Simulador!$C$40:$F$40,F14),I14)-INDEX(Simulador!$C$41:$F$41,F14))*(INDEX(Simulador!$C$68:$F$68,F14)+Simulador!$N$8)/Simulador!$C$7,0)</f>
        <v>75524.522972973</v>
      </c>
      <c r="S14" s="11" t="n">
        <f aca="false">O14+(IF(I14="",J14+INDEX(Simulador!$C$40:$F$40,F14),I14)-J14-INDEX(Simulador!$C$40:$F$40,F14))*Simulador!$C$9-INDEX(Simulador!$C$69:$F$69,F14)+IF(Simulador!$N$7="Sí",MAX(0,IF(I14="",J14+INDEX(Simulador!$C$40:$F$40,F14),I14)-INDEX(Simulador!$C$41:$F$41,F14))*(INDEX(Simulador!$C$68:$F$68,F14)+Simulador!$N$8)/Simulador!$C$7,0)</f>
        <v>75524.522972973</v>
      </c>
      <c r="T14" s="11" t="n">
        <f aca="false">P14+(IF(I14="",J14+INDEX(Simulador!$C$40:$F$40,F14),I14)-J14-INDEX(Simulador!$C$40:$F$40,F14))*Simulador!$C$9-INDEX(Simulador!$C$69:$F$69,F14)+IF(Simulador!$N$7="Sí",MAX(0,IF(I14="",J14+INDEX(Simulador!$C$40:$F$40,F14),I14)-INDEX(Simulador!$C$41:$F$41,F14))*(INDEX(Simulador!$C$68:$F$68,F14)+Simulador!$N$8)/Simulador!$C$7,0)</f>
        <v>65218.8789189189</v>
      </c>
      <c r="U14" s="2"/>
    </row>
    <row r="15" customFormat="false" ht="15" hidden="false" customHeight="false" outlineLevel="0" collapsed="false">
      <c r="B15" s="44" t="n">
        <v>45759</v>
      </c>
      <c r="C15" s="21" t="s">
        <v>583</v>
      </c>
      <c r="D15" s="45" t="n">
        <v>8.2</v>
      </c>
      <c r="E15" s="21" t="s">
        <v>496</v>
      </c>
      <c r="F15" s="26" t="n">
        <f aca="false">MATCH(E15,{"Misma locación","0.15 - 5 km","5 - 10 km","10+ km"},0)</f>
        <v>3</v>
      </c>
      <c r="G15" s="26" t="n">
        <f aca="false">MONTH(B15)</f>
        <v>4</v>
      </c>
      <c r="H15" s="26" t="n">
        <f aca="false">COUNTIF($G$8:G15,G15)</f>
        <v>3</v>
      </c>
      <c r="I15" s="45" t="n">
        <v>20</v>
      </c>
      <c r="J15" s="46" t="n">
        <f aca="false">INDEX(Simulador!$C$39:$F$39,F15)</f>
        <v>24</v>
      </c>
      <c r="K15" s="47" t="n">
        <f aca="false">IF(I15="","",I15-J15)</f>
        <v>-4</v>
      </c>
      <c r="L15" s="12" t="n">
        <f aca="false">INDEX(Simulador!$C$51:$F$51,F15)</f>
        <v>96184.8108108108</v>
      </c>
      <c r="M15" s="11" t="n">
        <f aca="false">IF(H15&gt;=Simulador!$C$19,INDEX(Simulador!$C$63:$F$63,F15),INDEX(Simulador!$C$62:$F$62,F15))</f>
        <v>99393.4589189189</v>
      </c>
      <c r="N15" s="11" t="n">
        <f aca="false">INDEX(Simulador!$C$64:$F$64,F15)</f>
        <v>135930.452432432</v>
      </c>
      <c r="O15" s="11" t="n">
        <f aca="false">IF(H15&gt;=Simulador!$C$19,INDEX(Simulador!$C$65:$F$65,F15),INDEX(Simulador!$C$64:$F$64,F15))</f>
        <v>135930.452432432</v>
      </c>
      <c r="P15" s="11" t="n">
        <f aca="false">IF(H15&gt;=Simulador!$C$19,INDEX(Simulador!$C$67:$F$67,F15),INDEX(Simulador!$C$66:$F$66,F15))</f>
        <v>102242.108648649</v>
      </c>
      <c r="Q15" s="11" t="n">
        <f aca="false">M15+(IF(I15="",J15+INDEX(Simulador!$C$40:$F$40,F15),I15)-J15-INDEX(Simulador!$C$40:$F$40,F15))*Simulador!$C$9-INDEX(Simulador!$C$69:$F$69,F15)+IF(Simulador!$N$7="Sí",MAX(0,IF(I15="",J15+INDEX(Simulador!$C$40:$F$40,F15),I15)-INDEX(Simulador!$C$41:$F$41,F15))*(INDEX(Simulador!$C$68:$F$68,F15)+Simulador!$N$8)/Simulador!$C$7,0)</f>
        <v>93569.4589189189</v>
      </c>
      <c r="R15" s="11" t="n">
        <f aca="false">N15+(IF(I15="",J15+INDEX(Simulador!$C$40:$F$40,F15),I15)-J15-INDEX(Simulador!$C$40:$F$40,F15))*Simulador!$C$9-INDEX(Simulador!$C$69:$F$69,F15)+IF(Simulador!$N$7="Sí",MAX(0,IF(I15="",J15+INDEX(Simulador!$C$40:$F$40,F15),I15)-INDEX(Simulador!$C$41:$F$41,F15))*(INDEX(Simulador!$C$68:$F$68,F15)+Simulador!$N$8)/Simulador!$C$7,0)</f>
        <v>130106.452432432</v>
      </c>
      <c r="S15" s="11" t="n">
        <f aca="false">O15+(IF(I15="",J15+INDEX(Simulador!$C$40:$F$40,F15),I15)-J15-INDEX(Simulador!$C$40:$F$40,F15))*Simulador!$C$9-INDEX(Simulador!$C$69:$F$69,F15)+IF(Simulador!$N$7="Sí",MAX(0,IF(I15="",J15+INDEX(Simulador!$C$40:$F$40,F15),I15)-INDEX(Simulador!$C$41:$F$41,F15))*(INDEX(Simulador!$C$68:$F$68,F15)+Simulador!$N$8)/Simulador!$C$7,0)</f>
        <v>130106.452432432</v>
      </c>
      <c r="T15" s="11" t="n">
        <f aca="false">P15+(IF(I15="",J15+INDEX(Simulador!$C$40:$F$40,F15),I15)-J15-INDEX(Simulador!$C$40:$F$40,F15))*Simulador!$C$9-INDEX(Simulador!$C$69:$F$69,F15)+IF(Simulador!$N$7="Sí",MAX(0,IF(I15="",J15+INDEX(Simulador!$C$40:$F$40,F15),I15)-INDEX(Simulador!$C$41:$F$41,F15))*(INDEX(Simulador!$C$68:$F$68,F15)+Simulador!$N$8)/Simulador!$C$7,0)</f>
        <v>96418.1086486487</v>
      </c>
      <c r="U15" s="2"/>
    </row>
    <row r="16" customFormat="false" ht="15" hidden="false" customHeight="false" outlineLevel="0" collapsed="false">
      <c r="B16" s="44" t="n">
        <v>45763</v>
      </c>
      <c r="C16" s="21" t="s">
        <v>584</v>
      </c>
      <c r="D16" s="45" t="n">
        <v>0.0384047987710464</v>
      </c>
      <c r="E16" s="21" t="s">
        <v>498</v>
      </c>
      <c r="F16" s="26" t="n">
        <f aca="false">MATCH(E16,{"Misma locación","0.15 - 5 km","5 - 10 km","10+ km"},0)</f>
        <v>1</v>
      </c>
      <c r="G16" s="26" t="n">
        <f aca="false">MONTH(B16)</f>
        <v>4</v>
      </c>
      <c r="H16" s="26" t="n">
        <f aca="false">COUNTIF($G$8:G16,G16)</f>
        <v>4</v>
      </c>
      <c r="I16" s="45" t="n">
        <v>13.5</v>
      </c>
      <c r="J16" s="46" t="n">
        <f aca="false">INDEX(Simulador!$C$39:$F$39,F16)</f>
        <v>12</v>
      </c>
      <c r="K16" s="47" t="n">
        <f aca="false">IF(I16="","",I16-J16)</f>
        <v>1.5</v>
      </c>
      <c r="L16" s="12" t="n">
        <f aca="false">INDEX(Simulador!$C$51:$F$51,F16)</f>
        <v>76047.4054054054</v>
      </c>
      <c r="M16" s="11" t="n">
        <f aca="false">IF(H16&gt;=Simulador!$C$19,INDEX(Simulador!$C$63:$F$63,F16),INDEX(Simulador!$C$62:$F$62,F16))</f>
        <v>55414.0110810811</v>
      </c>
      <c r="N16" s="11" t="n">
        <f aca="false">INDEX(Simulador!$C$64:$F$64,F16)</f>
        <v>65678.4554054054</v>
      </c>
      <c r="O16" s="11" t="n">
        <f aca="false">IF(H16&gt;=Simulador!$C$19,INDEX(Simulador!$C$65:$F$65,F16),INDEX(Simulador!$C$64:$F$64,F16))</f>
        <v>65678.4554054054</v>
      </c>
      <c r="P16" s="11" t="n">
        <f aca="false">IF(H16&gt;=Simulador!$C$19,INDEX(Simulador!$C$67:$F$67,F16),INDEX(Simulador!$C$66:$F$66,F16))</f>
        <v>55372.8113513514</v>
      </c>
      <c r="Q16" s="11" t="n">
        <f aca="false">M16+(IF(I16="",J16+INDEX(Simulador!$C$40:$F$40,F16),I16)-J16-INDEX(Simulador!$C$40:$F$40,F16))*Simulador!$C$9-INDEX(Simulador!$C$69:$F$69,F16)+IF(Simulador!$N$7="Sí",MAX(0,IF(I16="",J16+INDEX(Simulador!$C$40:$F$40,F16),I16)-INDEX(Simulador!$C$41:$F$41,F16))*(INDEX(Simulador!$C$68:$F$68,F16)+Simulador!$N$8)/Simulador!$C$7,0)</f>
        <v>59633.7543243243</v>
      </c>
      <c r="R16" s="11" t="n">
        <f aca="false">N16+(IF(I16="",J16+INDEX(Simulador!$C$40:$F$40,F16),I16)-J16-INDEX(Simulador!$C$40:$F$40,F16))*Simulador!$C$9-INDEX(Simulador!$C$69:$F$69,F16)+IF(Simulador!$N$7="Sí",MAX(0,IF(I16="",J16+INDEX(Simulador!$C$40:$F$40,F16),I16)-INDEX(Simulador!$C$41:$F$41,F16))*(INDEX(Simulador!$C$68:$F$68,F16)+Simulador!$N$8)/Simulador!$C$7,0)</f>
        <v>69898.1986486486</v>
      </c>
      <c r="S16" s="11" t="n">
        <f aca="false">O16+(IF(I16="",J16+INDEX(Simulador!$C$40:$F$40,F16),I16)-J16-INDEX(Simulador!$C$40:$F$40,F16))*Simulador!$C$9-INDEX(Simulador!$C$69:$F$69,F16)+IF(Simulador!$N$7="Sí",MAX(0,IF(I16="",J16+INDEX(Simulador!$C$40:$F$40,F16),I16)-INDEX(Simulador!$C$41:$F$41,F16))*(INDEX(Simulador!$C$68:$F$68,F16)+Simulador!$N$8)/Simulador!$C$7,0)</f>
        <v>69898.1986486486</v>
      </c>
      <c r="T16" s="11" t="n">
        <f aca="false">P16+(IF(I16="",J16+INDEX(Simulador!$C$40:$F$40,F16),I16)-J16-INDEX(Simulador!$C$40:$F$40,F16))*Simulador!$C$9-INDEX(Simulador!$C$69:$F$69,F16)+IF(Simulador!$N$7="Sí",MAX(0,IF(I16="",J16+INDEX(Simulador!$C$40:$F$40,F16),I16)-INDEX(Simulador!$C$41:$F$41,F16))*(INDEX(Simulador!$C$68:$F$68,F16)+Simulador!$N$8)/Simulador!$C$7,0)</f>
        <v>59592.5545945946</v>
      </c>
      <c r="U16" s="2"/>
    </row>
    <row r="17" customFormat="false" ht="15" hidden="false" customHeight="false" outlineLevel="0" collapsed="false">
      <c r="B17" s="44" t="n">
        <v>45767</v>
      </c>
      <c r="C17" s="21" t="s">
        <v>585</v>
      </c>
      <c r="D17" s="45" t="n">
        <v>0.4</v>
      </c>
      <c r="E17" s="21" t="s">
        <v>485</v>
      </c>
      <c r="F17" s="26" t="n">
        <f aca="false">MATCH(E17,{"Misma locación","0.15 - 5 km","5 - 10 km","10+ km"},0)</f>
        <v>2</v>
      </c>
      <c r="G17" s="26" t="n">
        <f aca="false">MONTH(B17)</f>
        <v>4</v>
      </c>
      <c r="H17" s="26" t="n">
        <f aca="false">COUNTIF($G$8:G17,G17)</f>
        <v>5</v>
      </c>
      <c r="I17" s="45" t="n">
        <v>15</v>
      </c>
      <c r="J17" s="46" t="n">
        <f aca="false">INDEX(Simulador!$C$39:$F$39,F17)</f>
        <v>18</v>
      </c>
      <c r="K17" s="47" t="n">
        <f aca="false">IF(I17="","",I17-J17)</f>
        <v>-3</v>
      </c>
      <c r="L17" s="12" t="n">
        <f aca="false">INDEX(Simulador!$C$51:$F$51,F17)</f>
        <v>99473.8108108108</v>
      </c>
      <c r="M17" s="11" t="n">
        <f aca="false">IF(H17&gt;=Simulador!$C$19,INDEX(Simulador!$C$63:$F$63,F17),INDEX(Simulador!$C$62:$F$62,F17))</f>
        <v>85898.0227027027</v>
      </c>
      <c r="N17" s="11" t="n">
        <f aca="false">INDEX(Simulador!$C$64:$F$64,F17)</f>
        <v>108447.105405405</v>
      </c>
      <c r="O17" s="11" t="n">
        <f aca="false">IF(H17&gt;=Simulador!$C$19,INDEX(Simulador!$C$65:$F$65,F17),INDEX(Simulador!$C$64:$F$64,F17))</f>
        <v>108447.105405405</v>
      </c>
      <c r="P17" s="11" t="n">
        <f aca="false">IF(H17&gt;=Simulador!$C$19,INDEX(Simulador!$C$67:$F$67,F17),INDEX(Simulador!$C$66:$F$66,F17))</f>
        <v>82343.9464864865</v>
      </c>
      <c r="Q17" s="11" t="n">
        <f aca="false">M17+(IF(I17="",J17+INDEX(Simulador!$C$40:$F$40,F17),I17)-J17-INDEX(Simulador!$C$40:$F$40,F17))*Simulador!$C$9-INDEX(Simulador!$C$69:$F$69,F17)+IF(Simulador!$N$7="Sí",MAX(0,IF(I17="",J17+INDEX(Simulador!$C$40:$F$40,F17),I17)-INDEX(Simulador!$C$41:$F$41,F17))*(INDEX(Simulador!$C$68:$F$68,F17)+Simulador!$N$8)/Simulador!$C$7,0)</f>
        <v>81530.0227027027</v>
      </c>
      <c r="R17" s="11" t="n">
        <f aca="false">N17+(IF(I17="",J17+INDEX(Simulador!$C$40:$F$40,F17),I17)-J17-INDEX(Simulador!$C$40:$F$40,F17))*Simulador!$C$9-INDEX(Simulador!$C$69:$F$69,F17)+IF(Simulador!$N$7="Sí",MAX(0,IF(I17="",J17+INDEX(Simulador!$C$40:$F$40,F17),I17)-INDEX(Simulador!$C$41:$F$41,F17))*(INDEX(Simulador!$C$68:$F$68,F17)+Simulador!$N$8)/Simulador!$C$7,0)</f>
        <v>104079.105405405</v>
      </c>
      <c r="S17" s="11" t="n">
        <f aca="false">O17+(IF(I17="",J17+INDEX(Simulador!$C$40:$F$40,F17),I17)-J17-INDEX(Simulador!$C$40:$F$40,F17))*Simulador!$C$9-INDEX(Simulador!$C$69:$F$69,F17)+IF(Simulador!$N$7="Sí",MAX(0,IF(I17="",J17+INDEX(Simulador!$C$40:$F$40,F17),I17)-INDEX(Simulador!$C$41:$F$41,F17))*(INDEX(Simulador!$C$68:$F$68,F17)+Simulador!$N$8)/Simulador!$C$7,0)</f>
        <v>104079.105405405</v>
      </c>
      <c r="T17" s="11" t="n">
        <f aca="false">P17+(IF(I17="",J17+INDEX(Simulador!$C$40:$F$40,F17),I17)-J17-INDEX(Simulador!$C$40:$F$40,F17))*Simulador!$C$9-INDEX(Simulador!$C$69:$F$69,F17)+IF(Simulador!$N$7="Sí",MAX(0,IF(I17="",J17+INDEX(Simulador!$C$40:$F$40,F17),I17)-INDEX(Simulador!$C$41:$F$41,F17))*(INDEX(Simulador!$C$68:$F$68,F17)+Simulador!$N$8)/Simulador!$C$7,0)</f>
        <v>77975.9464864865</v>
      </c>
      <c r="U17" s="2"/>
    </row>
    <row r="18" customFormat="false" ht="15" hidden="false" customHeight="false" outlineLevel="0" collapsed="false">
      <c r="B18" s="44" t="n">
        <v>45770</v>
      </c>
      <c r="C18" s="21" t="s">
        <v>586</v>
      </c>
      <c r="D18" s="45" t="n">
        <v>0.107289596566733</v>
      </c>
      <c r="E18" s="21" t="s">
        <v>498</v>
      </c>
      <c r="F18" s="26" t="n">
        <f aca="false">MATCH(E18,{"Misma locación","0.15 - 5 km","5 - 10 km","10+ km"},0)</f>
        <v>1</v>
      </c>
      <c r="G18" s="26" t="n">
        <f aca="false">MONTH(B18)</f>
        <v>4</v>
      </c>
      <c r="H18" s="26" t="n">
        <f aca="false">COUNTIF($G$8:G18,G18)</f>
        <v>6</v>
      </c>
      <c r="I18" s="45" t="n">
        <v>13.5</v>
      </c>
      <c r="J18" s="46" t="n">
        <f aca="false">INDEX(Simulador!$C$39:$F$39,F18)</f>
        <v>12</v>
      </c>
      <c r="K18" s="47" t="n">
        <f aca="false">IF(I18="","",I18-J18)</f>
        <v>1.5</v>
      </c>
      <c r="L18" s="12" t="n">
        <f aca="false">INDEX(Simulador!$C$51:$F$51,F18)</f>
        <v>76047.4054054054</v>
      </c>
      <c r="M18" s="11" t="n">
        <f aca="false">IF(H18&gt;=Simulador!$C$19,INDEX(Simulador!$C$63:$F$63,F18),INDEX(Simulador!$C$62:$F$62,F18))</f>
        <v>36443.0055405405</v>
      </c>
      <c r="N18" s="11" t="n">
        <f aca="false">INDEX(Simulador!$C$64:$F$64,F18)</f>
        <v>65678.4554054054</v>
      </c>
      <c r="O18" s="11" t="n">
        <f aca="false">IF(H18&gt;=Simulador!$C$19,INDEX(Simulador!$C$65:$F$65,F18),INDEX(Simulador!$C$64:$F$64,F18))</f>
        <v>41575.2277027027</v>
      </c>
      <c r="P18" s="11" t="n">
        <f aca="false">IF(H18&gt;=Simulador!$C$19,INDEX(Simulador!$C$67:$F$67,F18),INDEX(Simulador!$C$66:$F$66,F18))</f>
        <v>50763.8918918919</v>
      </c>
      <c r="Q18" s="11" t="n">
        <f aca="false">M18+(IF(I18="",J18+INDEX(Simulador!$C$40:$F$40,F18),I18)-J18-INDEX(Simulador!$C$40:$F$40,F18))*Simulador!$C$9-INDEX(Simulador!$C$69:$F$69,F18)+IF(Simulador!$N$7="Sí",MAX(0,IF(I18="",J18+INDEX(Simulador!$C$40:$F$40,F18),I18)-INDEX(Simulador!$C$41:$F$41,F18))*(INDEX(Simulador!$C$68:$F$68,F18)+Simulador!$N$8)/Simulador!$C$7,0)</f>
        <v>40662.7487837838</v>
      </c>
      <c r="R18" s="11" t="n">
        <f aca="false">N18+(IF(I18="",J18+INDEX(Simulador!$C$40:$F$40,F18),I18)-J18-INDEX(Simulador!$C$40:$F$40,F18))*Simulador!$C$9-INDEX(Simulador!$C$69:$F$69,F18)+IF(Simulador!$N$7="Sí",MAX(0,IF(I18="",J18+INDEX(Simulador!$C$40:$F$40,F18),I18)-INDEX(Simulador!$C$41:$F$41,F18))*(INDEX(Simulador!$C$68:$F$68,F18)+Simulador!$N$8)/Simulador!$C$7,0)</f>
        <v>69898.1986486486</v>
      </c>
      <c r="S18" s="11" t="n">
        <f aca="false">O18+(IF(I18="",J18+INDEX(Simulador!$C$40:$F$40,F18),I18)-J18-INDEX(Simulador!$C$40:$F$40,F18))*Simulador!$C$9-INDEX(Simulador!$C$69:$F$69,F18)+IF(Simulador!$N$7="Sí",MAX(0,IF(I18="",J18+INDEX(Simulador!$C$40:$F$40,F18),I18)-INDEX(Simulador!$C$41:$F$41,F18))*(INDEX(Simulador!$C$68:$F$68,F18)+Simulador!$N$8)/Simulador!$C$7,0)</f>
        <v>45794.9709459459</v>
      </c>
      <c r="T18" s="11" t="n">
        <f aca="false">P18+(IF(I18="",J18+INDEX(Simulador!$C$40:$F$40,F18),I18)-J18-INDEX(Simulador!$C$40:$F$40,F18))*Simulador!$C$9-INDEX(Simulador!$C$69:$F$69,F18)+IF(Simulador!$N$7="Sí",MAX(0,IF(I18="",J18+INDEX(Simulador!$C$40:$F$40,F18),I18)-INDEX(Simulador!$C$41:$F$41,F18))*(INDEX(Simulador!$C$68:$F$68,F18)+Simulador!$N$8)/Simulador!$C$7,0)</f>
        <v>54983.6351351351</v>
      </c>
      <c r="U18" s="2"/>
    </row>
    <row r="19" customFormat="false" ht="15" hidden="false" customHeight="false" outlineLevel="0" collapsed="false">
      <c r="B19" s="44" t="n">
        <v>45774</v>
      </c>
      <c r="C19" s="21" t="s">
        <v>587</v>
      </c>
      <c r="D19" s="45" t="n">
        <v>7.2</v>
      </c>
      <c r="E19" s="21" t="s">
        <v>496</v>
      </c>
      <c r="F19" s="26" t="n">
        <f aca="false">MATCH(E19,{"Misma locación","0.15 - 5 km","5 - 10 km","10+ km"},0)</f>
        <v>3</v>
      </c>
      <c r="G19" s="26" t="n">
        <f aca="false">MONTH(B19)</f>
        <v>4</v>
      </c>
      <c r="H19" s="26" t="n">
        <f aca="false">COUNTIF($G$8:G19,G19)</f>
        <v>7</v>
      </c>
      <c r="I19" s="45" t="n">
        <v>27</v>
      </c>
      <c r="J19" s="46" t="n">
        <f aca="false">INDEX(Simulador!$C$39:$F$39,F19)</f>
        <v>24</v>
      </c>
      <c r="K19" s="47" t="n">
        <f aca="false">IF(I19="","",I19-J19)</f>
        <v>3</v>
      </c>
      <c r="L19" s="12" t="n">
        <f aca="false">INDEX(Simulador!$C$51:$F$51,F19)</f>
        <v>96184.8108108108</v>
      </c>
      <c r="M19" s="11" t="n">
        <f aca="false">IF(H19&gt;=Simulador!$C$19,INDEX(Simulador!$C$63:$F$63,F19),INDEX(Simulador!$C$62:$F$62,F19))</f>
        <v>67168.7294594595</v>
      </c>
      <c r="N19" s="11" t="n">
        <f aca="false">INDEX(Simulador!$C$64:$F$64,F19)</f>
        <v>135930.452432432</v>
      </c>
      <c r="O19" s="11" t="n">
        <f aca="false">IF(H19&gt;=Simulador!$C$19,INDEX(Simulador!$C$65:$F$65,F19),INDEX(Simulador!$C$64:$F$64,F19))</f>
        <v>85437.2262162162</v>
      </c>
      <c r="P19" s="11" t="n">
        <f aca="false">IF(H19&gt;=Simulador!$C$19,INDEX(Simulador!$C$67:$F$67,F19),INDEX(Simulador!$C$66:$F$66,F19))</f>
        <v>72512.9189189189</v>
      </c>
      <c r="Q19" s="11" t="n">
        <f aca="false">M19+(IF(I19="",J19+INDEX(Simulador!$C$40:$F$40,F19),I19)-J19-INDEX(Simulador!$C$40:$F$40,F19))*Simulador!$C$9-INDEX(Simulador!$C$69:$F$69,F19)+IF(Simulador!$N$7="Sí",MAX(0,IF(I19="",J19+INDEX(Simulador!$C$40:$F$40,F19),I19)-INDEX(Simulador!$C$41:$F$41,F19))*(INDEX(Simulador!$C$68:$F$68,F19)+Simulador!$N$8)/Simulador!$C$7,0)</f>
        <v>71536.7294594595</v>
      </c>
      <c r="R19" s="11" t="n">
        <f aca="false">N19+(IF(I19="",J19+INDEX(Simulador!$C$40:$F$40,F19),I19)-J19-INDEX(Simulador!$C$40:$F$40,F19))*Simulador!$C$9-INDEX(Simulador!$C$69:$F$69,F19)+IF(Simulador!$N$7="Sí",MAX(0,IF(I19="",J19+INDEX(Simulador!$C$40:$F$40,F19),I19)-INDEX(Simulador!$C$41:$F$41,F19))*(INDEX(Simulador!$C$68:$F$68,F19)+Simulador!$N$8)/Simulador!$C$7,0)</f>
        <v>140298.452432432</v>
      </c>
      <c r="S19" s="11" t="n">
        <f aca="false">O19+(IF(I19="",J19+INDEX(Simulador!$C$40:$F$40,F19),I19)-J19-INDEX(Simulador!$C$40:$F$40,F19))*Simulador!$C$9-INDEX(Simulador!$C$69:$F$69,F19)+IF(Simulador!$N$7="Sí",MAX(0,IF(I19="",J19+INDEX(Simulador!$C$40:$F$40,F19),I19)-INDEX(Simulador!$C$41:$F$41,F19))*(INDEX(Simulador!$C$68:$F$68,F19)+Simulador!$N$8)/Simulador!$C$7,0)</f>
        <v>89805.2262162162</v>
      </c>
      <c r="T19" s="11" t="n">
        <f aca="false">P19+(IF(I19="",J19+INDEX(Simulador!$C$40:$F$40,F19),I19)-J19-INDEX(Simulador!$C$40:$F$40,F19))*Simulador!$C$9-INDEX(Simulador!$C$69:$F$69,F19)+IF(Simulador!$N$7="Sí",MAX(0,IF(I19="",J19+INDEX(Simulador!$C$40:$F$40,F19),I19)-INDEX(Simulador!$C$41:$F$41,F19))*(INDEX(Simulador!$C$68:$F$68,F19)+Simulador!$N$8)/Simulador!$C$7,0)</f>
        <v>76880.9189189189</v>
      </c>
      <c r="U19" s="2"/>
    </row>
    <row r="20" customFormat="false" ht="15" hidden="false" customHeight="false" outlineLevel="0" collapsed="false">
      <c r="B20" s="44" t="n">
        <v>45781</v>
      </c>
      <c r="C20" s="21" t="s">
        <v>588</v>
      </c>
      <c r="D20" s="45" t="n">
        <v>5.9</v>
      </c>
      <c r="E20" s="21" t="s">
        <v>496</v>
      </c>
      <c r="F20" s="26" t="n">
        <f aca="false">MATCH(E20,{"Misma locación","0.15 - 5 km","5 - 10 km","10+ km"},0)</f>
        <v>3</v>
      </c>
      <c r="G20" s="26" t="n">
        <f aca="false">MONTH(B20)</f>
        <v>5</v>
      </c>
      <c r="H20" s="26" t="n">
        <f aca="false">COUNTIF($G$8:G20,G20)</f>
        <v>1</v>
      </c>
      <c r="I20" s="45" t="n">
        <v>19.25</v>
      </c>
      <c r="J20" s="46" t="n">
        <f aca="false">INDEX(Simulador!$C$39:$F$39,F20)</f>
        <v>24</v>
      </c>
      <c r="K20" s="47" t="n">
        <f aca="false">IF(I20="","",I20-J20)</f>
        <v>-4.75</v>
      </c>
      <c r="L20" s="12" t="n">
        <f aca="false">INDEX(Simulador!$C$51:$F$51,F20)</f>
        <v>96184.8108108108</v>
      </c>
      <c r="M20" s="11" t="n">
        <f aca="false">IF(H20&gt;=Simulador!$C$19,INDEX(Simulador!$C$63:$F$63,F20),INDEX(Simulador!$C$62:$F$62,F20))</f>
        <v>99393.4589189189</v>
      </c>
      <c r="N20" s="11" t="n">
        <f aca="false">INDEX(Simulador!$C$64:$F$64,F20)</f>
        <v>135930.452432432</v>
      </c>
      <c r="O20" s="11" t="n">
        <f aca="false">IF(H20&gt;=Simulador!$C$19,INDEX(Simulador!$C$65:$F$65,F20),INDEX(Simulador!$C$64:$F$64,F20))</f>
        <v>135930.452432432</v>
      </c>
      <c r="P20" s="11" t="n">
        <f aca="false">IF(H20&gt;=Simulador!$C$19,INDEX(Simulador!$C$67:$F$67,F20),INDEX(Simulador!$C$66:$F$66,F20))</f>
        <v>102242.108648649</v>
      </c>
      <c r="Q20" s="11" t="n">
        <f aca="false">M20+(IF(I20="",J20+INDEX(Simulador!$C$40:$F$40,F20),I20)-J20-INDEX(Simulador!$C$40:$F$40,F20))*Simulador!$C$9-INDEX(Simulador!$C$69:$F$69,F20)+IF(Simulador!$N$7="Sí",MAX(0,IF(I20="",J20+INDEX(Simulador!$C$40:$F$40,F20),I20)-INDEX(Simulador!$C$41:$F$41,F20))*(INDEX(Simulador!$C$68:$F$68,F20)+Simulador!$N$8)/Simulador!$C$7,0)</f>
        <v>92477.4589189189</v>
      </c>
      <c r="R20" s="11" t="n">
        <f aca="false">N20+(IF(I20="",J20+INDEX(Simulador!$C$40:$F$40,F20),I20)-J20-INDEX(Simulador!$C$40:$F$40,F20))*Simulador!$C$9-INDEX(Simulador!$C$69:$F$69,F20)+IF(Simulador!$N$7="Sí",MAX(0,IF(I20="",J20+INDEX(Simulador!$C$40:$F$40,F20),I20)-INDEX(Simulador!$C$41:$F$41,F20))*(INDEX(Simulador!$C$68:$F$68,F20)+Simulador!$N$8)/Simulador!$C$7,0)</f>
        <v>129014.452432432</v>
      </c>
      <c r="S20" s="11" t="n">
        <f aca="false">O20+(IF(I20="",J20+INDEX(Simulador!$C$40:$F$40,F20),I20)-J20-INDEX(Simulador!$C$40:$F$40,F20))*Simulador!$C$9-INDEX(Simulador!$C$69:$F$69,F20)+IF(Simulador!$N$7="Sí",MAX(0,IF(I20="",J20+INDEX(Simulador!$C$40:$F$40,F20),I20)-INDEX(Simulador!$C$41:$F$41,F20))*(INDEX(Simulador!$C$68:$F$68,F20)+Simulador!$N$8)/Simulador!$C$7,0)</f>
        <v>129014.452432432</v>
      </c>
      <c r="T20" s="11" t="n">
        <f aca="false">P20+(IF(I20="",J20+INDEX(Simulador!$C$40:$F$40,F20),I20)-J20-INDEX(Simulador!$C$40:$F$40,F20))*Simulador!$C$9-INDEX(Simulador!$C$69:$F$69,F20)+IF(Simulador!$N$7="Sí",MAX(0,IF(I20="",J20+INDEX(Simulador!$C$40:$F$40,F20),I20)-INDEX(Simulador!$C$41:$F$41,F20))*(INDEX(Simulador!$C$68:$F$68,F20)+Simulador!$N$8)/Simulador!$C$7,0)</f>
        <v>95326.1086486487</v>
      </c>
      <c r="U20" s="2"/>
    </row>
    <row r="21" customFormat="false" ht="15" hidden="false" customHeight="false" outlineLevel="0" collapsed="false">
      <c r="B21" s="44" t="n">
        <v>45786</v>
      </c>
      <c r="C21" s="21" t="s">
        <v>589</v>
      </c>
      <c r="D21" s="45" t="n">
        <v>1.3</v>
      </c>
      <c r="E21" s="21" t="s">
        <v>485</v>
      </c>
      <c r="F21" s="26" t="n">
        <f aca="false">MATCH(E21,{"Misma locación","0.15 - 5 km","5 - 10 km","10+ km"},0)</f>
        <v>2</v>
      </c>
      <c r="G21" s="26" t="n">
        <f aca="false">MONTH(B21)</f>
        <v>5</v>
      </c>
      <c r="H21" s="26" t="n">
        <f aca="false">COUNTIF($G$8:G21,G21)</f>
        <v>2</v>
      </c>
      <c r="I21" s="45" t="n">
        <v>46</v>
      </c>
      <c r="J21" s="46" t="n">
        <f aca="false">INDEX(Simulador!$C$39:$F$39,F21)</f>
        <v>18</v>
      </c>
      <c r="K21" s="47" t="n">
        <f aca="false">IF(I21="","",I21-J21)</f>
        <v>28</v>
      </c>
      <c r="L21" s="12" t="n">
        <f aca="false">INDEX(Simulador!$C$51:$F$51,F21)</f>
        <v>99473.8108108108</v>
      </c>
      <c r="M21" s="11" t="n">
        <f aca="false">IF(H21&gt;=Simulador!$C$19,INDEX(Simulador!$C$63:$F$63,F21),INDEX(Simulador!$C$62:$F$62,F21))</f>
        <v>85898.0227027027</v>
      </c>
      <c r="N21" s="11" t="n">
        <f aca="false">INDEX(Simulador!$C$64:$F$64,F21)</f>
        <v>108447.105405405</v>
      </c>
      <c r="O21" s="11" t="n">
        <f aca="false">IF(H21&gt;=Simulador!$C$19,INDEX(Simulador!$C$65:$F$65,F21),INDEX(Simulador!$C$64:$F$64,F21))</f>
        <v>108447.105405405</v>
      </c>
      <c r="P21" s="11" t="n">
        <f aca="false">IF(H21&gt;=Simulador!$C$19,INDEX(Simulador!$C$67:$F$67,F21),INDEX(Simulador!$C$66:$F$66,F21))</f>
        <v>82343.9464864865</v>
      </c>
      <c r="Q21" s="11" t="n">
        <f aca="false">M21+(IF(I21="",J21+INDEX(Simulador!$C$40:$F$40,F21),I21)-J21-INDEX(Simulador!$C$40:$F$40,F21))*Simulador!$C$9-INDEX(Simulador!$C$69:$F$69,F21)+IF(Simulador!$N$7="Sí",MAX(0,IF(I21="",J21+INDEX(Simulador!$C$40:$F$40,F21),I21)-INDEX(Simulador!$C$41:$F$41,F21))*(INDEX(Simulador!$C$68:$F$68,F21)+Simulador!$N$8)/Simulador!$C$7,0)</f>
        <v>156523.59027027</v>
      </c>
      <c r="R21" s="11" t="n">
        <f aca="false">N21+(IF(I21="",J21+INDEX(Simulador!$C$40:$F$40,F21),I21)-J21-INDEX(Simulador!$C$40:$F$40,F21))*Simulador!$C$9-INDEX(Simulador!$C$69:$F$69,F21)+IF(Simulador!$N$7="Sí",MAX(0,IF(I21="",J21+INDEX(Simulador!$C$40:$F$40,F21),I21)-INDEX(Simulador!$C$41:$F$41,F21))*(INDEX(Simulador!$C$68:$F$68,F21)+Simulador!$N$8)/Simulador!$C$7,0)</f>
        <v>179072.672972973</v>
      </c>
      <c r="S21" s="11" t="n">
        <f aca="false">O21+(IF(I21="",J21+INDEX(Simulador!$C$40:$F$40,F21),I21)-J21-INDEX(Simulador!$C$40:$F$40,F21))*Simulador!$C$9-INDEX(Simulador!$C$69:$F$69,F21)+IF(Simulador!$N$7="Sí",MAX(0,IF(I21="",J21+INDEX(Simulador!$C$40:$F$40,F21),I21)-INDEX(Simulador!$C$41:$F$41,F21))*(INDEX(Simulador!$C$68:$F$68,F21)+Simulador!$N$8)/Simulador!$C$7,0)</f>
        <v>179072.672972973</v>
      </c>
      <c r="T21" s="11" t="n">
        <f aca="false">P21+(IF(I21="",J21+INDEX(Simulador!$C$40:$F$40,F21),I21)-J21-INDEX(Simulador!$C$40:$F$40,F21))*Simulador!$C$9-INDEX(Simulador!$C$69:$F$69,F21)+IF(Simulador!$N$7="Sí",MAX(0,IF(I21="",J21+INDEX(Simulador!$C$40:$F$40,F21),I21)-INDEX(Simulador!$C$41:$F$41,F21))*(INDEX(Simulador!$C$68:$F$68,F21)+Simulador!$N$8)/Simulador!$C$7,0)</f>
        <v>152969.514054054</v>
      </c>
      <c r="U21" s="2"/>
    </row>
    <row r="22" customFormat="false" ht="15" hidden="false" customHeight="false" outlineLevel="0" collapsed="false">
      <c r="B22" s="44" t="n">
        <v>45793</v>
      </c>
      <c r="C22" s="21" t="s">
        <v>590</v>
      </c>
      <c r="D22" s="45" t="n">
        <v>4.2</v>
      </c>
      <c r="E22" s="21" t="s">
        <v>485</v>
      </c>
      <c r="F22" s="26" t="n">
        <f aca="false">MATCH(E22,{"Misma locación","0.15 - 5 km","5 - 10 km","10+ km"},0)</f>
        <v>2</v>
      </c>
      <c r="G22" s="26" t="n">
        <f aca="false">MONTH(B22)</f>
        <v>5</v>
      </c>
      <c r="H22" s="26" t="n">
        <f aca="false">COUNTIF($G$8:G22,G22)</f>
        <v>3</v>
      </c>
      <c r="I22" s="45" t="n">
        <v>15.5</v>
      </c>
      <c r="J22" s="46" t="n">
        <f aca="false">INDEX(Simulador!$C$39:$F$39,F22)</f>
        <v>18</v>
      </c>
      <c r="K22" s="47" t="n">
        <f aca="false">IF(I22="","",I22-J22)</f>
        <v>-2.5</v>
      </c>
      <c r="L22" s="12" t="n">
        <f aca="false">INDEX(Simulador!$C$51:$F$51,F22)</f>
        <v>99473.8108108108</v>
      </c>
      <c r="M22" s="11" t="n">
        <f aca="false">IF(H22&gt;=Simulador!$C$19,INDEX(Simulador!$C$63:$F$63,F22),INDEX(Simulador!$C$62:$F$62,F22))</f>
        <v>85898.0227027027</v>
      </c>
      <c r="N22" s="11" t="n">
        <f aca="false">INDEX(Simulador!$C$64:$F$64,F22)</f>
        <v>108447.105405405</v>
      </c>
      <c r="O22" s="11" t="n">
        <f aca="false">IF(H22&gt;=Simulador!$C$19,INDEX(Simulador!$C$65:$F$65,F22),INDEX(Simulador!$C$64:$F$64,F22))</f>
        <v>108447.105405405</v>
      </c>
      <c r="P22" s="11" t="n">
        <f aca="false">IF(H22&gt;=Simulador!$C$19,INDEX(Simulador!$C$67:$F$67,F22),INDEX(Simulador!$C$66:$F$66,F22))</f>
        <v>82343.9464864865</v>
      </c>
      <c r="Q22" s="11" t="n">
        <f aca="false">M22+(IF(I22="",J22+INDEX(Simulador!$C$40:$F$40,F22),I22)-J22-INDEX(Simulador!$C$40:$F$40,F22))*Simulador!$C$9-INDEX(Simulador!$C$69:$F$69,F22)+IF(Simulador!$N$7="Sí",MAX(0,IF(I22="",J22+INDEX(Simulador!$C$40:$F$40,F22),I22)-INDEX(Simulador!$C$41:$F$41,F22))*(INDEX(Simulador!$C$68:$F$68,F22)+Simulador!$N$8)/Simulador!$C$7,0)</f>
        <v>82258.0227027027</v>
      </c>
      <c r="R22" s="11" t="n">
        <f aca="false">N22+(IF(I22="",J22+INDEX(Simulador!$C$40:$F$40,F22),I22)-J22-INDEX(Simulador!$C$40:$F$40,F22))*Simulador!$C$9-INDEX(Simulador!$C$69:$F$69,F22)+IF(Simulador!$N$7="Sí",MAX(0,IF(I22="",J22+INDEX(Simulador!$C$40:$F$40,F22),I22)-INDEX(Simulador!$C$41:$F$41,F22))*(INDEX(Simulador!$C$68:$F$68,F22)+Simulador!$N$8)/Simulador!$C$7,0)</f>
        <v>104807.105405405</v>
      </c>
      <c r="S22" s="11" t="n">
        <f aca="false">O22+(IF(I22="",J22+INDEX(Simulador!$C$40:$F$40,F22),I22)-J22-INDEX(Simulador!$C$40:$F$40,F22))*Simulador!$C$9-INDEX(Simulador!$C$69:$F$69,F22)+IF(Simulador!$N$7="Sí",MAX(0,IF(I22="",J22+INDEX(Simulador!$C$40:$F$40,F22),I22)-INDEX(Simulador!$C$41:$F$41,F22))*(INDEX(Simulador!$C$68:$F$68,F22)+Simulador!$N$8)/Simulador!$C$7,0)</f>
        <v>104807.105405405</v>
      </c>
      <c r="T22" s="11" t="n">
        <f aca="false">P22+(IF(I22="",J22+INDEX(Simulador!$C$40:$F$40,F22),I22)-J22-INDEX(Simulador!$C$40:$F$40,F22))*Simulador!$C$9-INDEX(Simulador!$C$69:$F$69,F22)+IF(Simulador!$N$7="Sí",MAX(0,IF(I22="",J22+INDEX(Simulador!$C$40:$F$40,F22),I22)-INDEX(Simulador!$C$41:$F$41,F22))*(INDEX(Simulador!$C$68:$F$68,F22)+Simulador!$N$8)/Simulador!$C$7,0)</f>
        <v>78703.9464864865</v>
      </c>
      <c r="U22" s="2"/>
    </row>
    <row r="23" customFormat="false" ht="15" hidden="false" customHeight="false" outlineLevel="0" collapsed="false">
      <c r="B23" s="44" t="n">
        <v>45799</v>
      </c>
      <c r="C23" s="21" t="s">
        <v>591</v>
      </c>
      <c r="D23" s="45" t="n">
        <v>5.7</v>
      </c>
      <c r="E23" s="21" t="s">
        <v>496</v>
      </c>
      <c r="F23" s="26" t="n">
        <f aca="false">MATCH(E23,{"Misma locación","0.15 - 5 km","5 - 10 km","10+ km"},0)</f>
        <v>3</v>
      </c>
      <c r="G23" s="26" t="n">
        <f aca="false">MONTH(B23)</f>
        <v>5</v>
      </c>
      <c r="H23" s="26" t="n">
        <f aca="false">COUNTIF($G$8:G23,G23)</f>
        <v>4</v>
      </c>
      <c r="I23" s="45" t="n">
        <v>23.25</v>
      </c>
      <c r="J23" s="46" t="n">
        <f aca="false">INDEX(Simulador!$C$39:$F$39,F23)</f>
        <v>24</v>
      </c>
      <c r="K23" s="47" t="n">
        <f aca="false">IF(I23="","",I23-J23)</f>
        <v>-0.75</v>
      </c>
      <c r="L23" s="12" t="n">
        <f aca="false">INDEX(Simulador!$C$51:$F$51,F23)</f>
        <v>96184.8108108108</v>
      </c>
      <c r="M23" s="11" t="n">
        <f aca="false">IF(H23&gt;=Simulador!$C$19,INDEX(Simulador!$C$63:$F$63,F23),INDEX(Simulador!$C$62:$F$62,F23))</f>
        <v>99393.4589189189</v>
      </c>
      <c r="N23" s="11" t="n">
        <f aca="false">INDEX(Simulador!$C$64:$F$64,F23)</f>
        <v>135930.452432432</v>
      </c>
      <c r="O23" s="11" t="n">
        <f aca="false">IF(H23&gt;=Simulador!$C$19,INDEX(Simulador!$C$65:$F$65,F23),INDEX(Simulador!$C$64:$F$64,F23))</f>
        <v>135930.452432432</v>
      </c>
      <c r="P23" s="11" t="n">
        <f aca="false">IF(H23&gt;=Simulador!$C$19,INDEX(Simulador!$C$67:$F$67,F23),INDEX(Simulador!$C$66:$F$66,F23))</f>
        <v>102242.108648649</v>
      </c>
      <c r="Q23" s="11" t="n">
        <f aca="false">M23+(IF(I23="",J23+INDEX(Simulador!$C$40:$F$40,F23),I23)-J23-INDEX(Simulador!$C$40:$F$40,F23))*Simulador!$C$9-INDEX(Simulador!$C$69:$F$69,F23)+IF(Simulador!$N$7="Sí",MAX(0,IF(I23="",J23+INDEX(Simulador!$C$40:$F$40,F23),I23)-INDEX(Simulador!$C$41:$F$41,F23))*(INDEX(Simulador!$C$68:$F$68,F23)+Simulador!$N$8)/Simulador!$C$7,0)</f>
        <v>98301.4589189189</v>
      </c>
      <c r="R23" s="11" t="n">
        <f aca="false">N23+(IF(I23="",J23+INDEX(Simulador!$C$40:$F$40,F23),I23)-J23-INDEX(Simulador!$C$40:$F$40,F23))*Simulador!$C$9-INDEX(Simulador!$C$69:$F$69,F23)+IF(Simulador!$N$7="Sí",MAX(0,IF(I23="",J23+INDEX(Simulador!$C$40:$F$40,F23),I23)-INDEX(Simulador!$C$41:$F$41,F23))*(INDEX(Simulador!$C$68:$F$68,F23)+Simulador!$N$8)/Simulador!$C$7,0)</f>
        <v>134838.452432432</v>
      </c>
      <c r="S23" s="11" t="n">
        <f aca="false">O23+(IF(I23="",J23+INDEX(Simulador!$C$40:$F$40,F23),I23)-J23-INDEX(Simulador!$C$40:$F$40,F23))*Simulador!$C$9-INDEX(Simulador!$C$69:$F$69,F23)+IF(Simulador!$N$7="Sí",MAX(0,IF(I23="",J23+INDEX(Simulador!$C$40:$F$40,F23),I23)-INDEX(Simulador!$C$41:$F$41,F23))*(INDEX(Simulador!$C$68:$F$68,F23)+Simulador!$N$8)/Simulador!$C$7,0)</f>
        <v>134838.452432432</v>
      </c>
      <c r="T23" s="11" t="n">
        <f aca="false">P23+(IF(I23="",J23+INDEX(Simulador!$C$40:$F$40,F23),I23)-J23-INDEX(Simulador!$C$40:$F$40,F23))*Simulador!$C$9-INDEX(Simulador!$C$69:$F$69,F23)+IF(Simulador!$N$7="Sí",MAX(0,IF(I23="",J23+INDEX(Simulador!$C$40:$F$40,F23),I23)-INDEX(Simulador!$C$41:$F$41,F23))*(INDEX(Simulador!$C$68:$F$68,F23)+Simulador!$N$8)/Simulador!$C$7,0)</f>
        <v>101150.108648649</v>
      </c>
      <c r="U23" s="2"/>
    </row>
    <row r="24" customFormat="false" ht="15" hidden="false" customHeight="false" outlineLevel="0" collapsed="false">
      <c r="B24" s="44" t="n">
        <v>45807</v>
      </c>
      <c r="C24" s="21" t="s">
        <v>592</v>
      </c>
      <c r="D24" s="45" t="n">
        <v>4.4</v>
      </c>
      <c r="E24" s="21" t="s">
        <v>485</v>
      </c>
      <c r="F24" s="26" t="n">
        <f aca="false">MATCH(E24,{"Misma locación","0.15 - 5 km","5 - 10 km","10+ km"},0)</f>
        <v>2</v>
      </c>
      <c r="G24" s="26" t="n">
        <f aca="false">MONTH(B24)</f>
        <v>5</v>
      </c>
      <c r="H24" s="26" t="n">
        <f aca="false">COUNTIF($G$8:G24,G24)</f>
        <v>5</v>
      </c>
      <c r="I24" s="45" t="n">
        <v>19.5</v>
      </c>
      <c r="J24" s="46" t="n">
        <f aca="false">INDEX(Simulador!$C$39:$F$39,F24)</f>
        <v>18</v>
      </c>
      <c r="K24" s="47" t="n">
        <f aca="false">IF(I24="","",I24-J24)</f>
        <v>1.5</v>
      </c>
      <c r="L24" s="12" t="n">
        <f aca="false">INDEX(Simulador!$C$51:$F$51,F24)</f>
        <v>99473.8108108108</v>
      </c>
      <c r="M24" s="11" t="n">
        <f aca="false">IF(H24&gt;=Simulador!$C$19,INDEX(Simulador!$C$63:$F$63,F24),INDEX(Simulador!$C$62:$F$62,F24))</f>
        <v>85898.0227027027</v>
      </c>
      <c r="N24" s="11" t="n">
        <f aca="false">INDEX(Simulador!$C$64:$F$64,F24)</f>
        <v>108447.105405405</v>
      </c>
      <c r="O24" s="11" t="n">
        <f aca="false">IF(H24&gt;=Simulador!$C$19,INDEX(Simulador!$C$65:$F$65,F24),INDEX(Simulador!$C$64:$F$64,F24))</f>
        <v>108447.105405405</v>
      </c>
      <c r="P24" s="11" t="n">
        <f aca="false">IF(H24&gt;=Simulador!$C$19,INDEX(Simulador!$C$67:$F$67,F24),INDEX(Simulador!$C$66:$F$66,F24))</f>
        <v>82343.9464864865</v>
      </c>
      <c r="Q24" s="11" t="n">
        <f aca="false">M24+(IF(I24="",J24+INDEX(Simulador!$C$40:$F$40,F24),I24)-J24-INDEX(Simulador!$C$40:$F$40,F24))*Simulador!$C$9-INDEX(Simulador!$C$69:$F$69,F24)+IF(Simulador!$N$7="Sí",MAX(0,IF(I24="",J24+INDEX(Simulador!$C$40:$F$40,F24),I24)-INDEX(Simulador!$C$41:$F$41,F24))*(INDEX(Simulador!$C$68:$F$68,F24)+Simulador!$N$8)/Simulador!$C$7,0)</f>
        <v>88082.0227027027</v>
      </c>
      <c r="R24" s="11" t="n">
        <f aca="false">N24+(IF(I24="",J24+INDEX(Simulador!$C$40:$F$40,F24),I24)-J24-INDEX(Simulador!$C$40:$F$40,F24))*Simulador!$C$9-INDEX(Simulador!$C$69:$F$69,F24)+IF(Simulador!$N$7="Sí",MAX(0,IF(I24="",J24+INDEX(Simulador!$C$40:$F$40,F24),I24)-INDEX(Simulador!$C$41:$F$41,F24))*(INDEX(Simulador!$C$68:$F$68,F24)+Simulador!$N$8)/Simulador!$C$7,0)</f>
        <v>110631.105405405</v>
      </c>
      <c r="S24" s="11" t="n">
        <f aca="false">O24+(IF(I24="",J24+INDEX(Simulador!$C$40:$F$40,F24),I24)-J24-INDEX(Simulador!$C$40:$F$40,F24))*Simulador!$C$9-INDEX(Simulador!$C$69:$F$69,F24)+IF(Simulador!$N$7="Sí",MAX(0,IF(I24="",J24+INDEX(Simulador!$C$40:$F$40,F24),I24)-INDEX(Simulador!$C$41:$F$41,F24))*(INDEX(Simulador!$C$68:$F$68,F24)+Simulador!$N$8)/Simulador!$C$7,0)</f>
        <v>110631.105405405</v>
      </c>
      <c r="T24" s="11" t="n">
        <f aca="false">P24+(IF(I24="",J24+INDEX(Simulador!$C$40:$F$40,F24),I24)-J24-INDEX(Simulador!$C$40:$F$40,F24))*Simulador!$C$9-INDEX(Simulador!$C$69:$F$69,F24)+IF(Simulador!$N$7="Sí",MAX(0,IF(I24="",J24+INDEX(Simulador!$C$40:$F$40,F24),I24)-INDEX(Simulador!$C$41:$F$41,F24))*(INDEX(Simulador!$C$68:$F$68,F24)+Simulador!$N$8)/Simulador!$C$7,0)</f>
        <v>84527.9464864865</v>
      </c>
      <c r="U24" s="2"/>
    </row>
    <row r="25" customFormat="false" ht="15" hidden="false" customHeight="false" outlineLevel="0" collapsed="false">
      <c r="B25" s="44" t="n">
        <v>45812</v>
      </c>
      <c r="C25" s="21" t="s">
        <v>593</v>
      </c>
      <c r="D25" s="45" t="n">
        <v>0.00640079979517441</v>
      </c>
      <c r="E25" s="21" t="s">
        <v>498</v>
      </c>
      <c r="F25" s="26" t="n">
        <f aca="false">MATCH(E25,{"Misma locación","0.15 - 5 km","5 - 10 km","10+ km"},0)</f>
        <v>1</v>
      </c>
      <c r="G25" s="26" t="n">
        <f aca="false">MONTH(B25)</f>
        <v>6</v>
      </c>
      <c r="H25" s="26" t="n">
        <f aca="false">COUNTIF($G$8:G25,G25)</f>
        <v>1</v>
      </c>
      <c r="I25" s="45" t="n">
        <v>15.75</v>
      </c>
      <c r="J25" s="46" t="n">
        <f aca="false">INDEX(Simulador!$C$39:$F$39,F25)</f>
        <v>12</v>
      </c>
      <c r="K25" s="47" t="n">
        <f aca="false">IF(I25="","",I25-J25)</f>
        <v>3.75</v>
      </c>
      <c r="L25" s="12" t="n">
        <f aca="false">INDEX(Simulador!$C$51:$F$51,F25)</f>
        <v>76047.4054054054</v>
      </c>
      <c r="M25" s="11" t="n">
        <f aca="false">IF(H25&gt;=Simulador!$C$19,INDEX(Simulador!$C$63:$F$63,F25),INDEX(Simulador!$C$62:$F$62,F25))</f>
        <v>55414.0110810811</v>
      </c>
      <c r="N25" s="11" t="n">
        <f aca="false">INDEX(Simulador!$C$64:$F$64,F25)</f>
        <v>65678.4554054054</v>
      </c>
      <c r="O25" s="11" t="n">
        <f aca="false">IF(H25&gt;=Simulador!$C$19,INDEX(Simulador!$C$65:$F$65,F25),INDEX(Simulador!$C$64:$F$64,F25))</f>
        <v>65678.4554054054</v>
      </c>
      <c r="P25" s="11" t="n">
        <f aca="false">IF(H25&gt;=Simulador!$C$19,INDEX(Simulador!$C$67:$F$67,F25),INDEX(Simulador!$C$66:$F$66,F25))</f>
        <v>55372.8113513514</v>
      </c>
      <c r="Q25" s="11" t="n">
        <f aca="false">M25+(IF(I25="",J25+INDEX(Simulador!$C$40:$F$40,F25),I25)-J25-INDEX(Simulador!$C$40:$F$40,F25))*Simulador!$C$9-INDEX(Simulador!$C$69:$F$69,F25)+IF(Simulador!$N$7="Sí",MAX(0,IF(I25="",J25+INDEX(Simulador!$C$40:$F$40,F25),I25)-INDEX(Simulador!$C$41:$F$41,F25))*(INDEX(Simulador!$C$68:$F$68,F25)+Simulador!$N$8)/Simulador!$C$7,0)</f>
        <v>65963.3691891892</v>
      </c>
      <c r="R25" s="11" t="n">
        <f aca="false">N25+(IF(I25="",J25+INDEX(Simulador!$C$40:$F$40,F25),I25)-J25-INDEX(Simulador!$C$40:$F$40,F25))*Simulador!$C$9-INDEX(Simulador!$C$69:$F$69,F25)+IF(Simulador!$N$7="Sí",MAX(0,IF(I25="",J25+INDEX(Simulador!$C$40:$F$40,F25),I25)-INDEX(Simulador!$C$41:$F$41,F25))*(INDEX(Simulador!$C$68:$F$68,F25)+Simulador!$N$8)/Simulador!$C$7,0)</f>
        <v>76227.8135135135</v>
      </c>
      <c r="S25" s="11" t="n">
        <f aca="false">O25+(IF(I25="",J25+INDEX(Simulador!$C$40:$F$40,F25),I25)-J25-INDEX(Simulador!$C$40:$F$40,F25))*Simulador!$C$9-INDEX(Simulador!$C$69:$F$69,F25)+IF(Simulador!$N$7="Sí",MAX(0,IF(I25="",J25+INDEX(Simulador!$C$40:$F$40,F25),I25)-INDEX(Simulador!$C$41:$F$41,F25))*(INDEX(Simulador!$C$68:$F$68,F25)+Simulador!$N$8)/Simulador!$C$7,0)</f>
        <v>76227.8135135135</v>
      </c>
      <c r="T25" s="11" t="n">
        <f aca="false">P25+(IF(I25="",J25+INDEX(Simulador!$C$40:$F$40,F25),I25)-J25-INDEX(Simulador!$C$40:$F$40,F25))*Simulador!$C$9-INDEX(Simulador!$C$69:$F$69,F25)+IF(Simulador!$N$7="Sí",MAX(0,IF(I25="",J25+INDEX(Simulador!$C$40:$F$40,F25),I25)-INDEX(Simulador!$C$41:$F$41,F25))*(INDEX(Simulador!$C$68:$F$68,F25)+Simulador!$N$8)/Simulador!$C$7,0)</f>
        <v>65922.1694594595</v>
      </c>
      <c r="U25" s="2"/>
    </row>
    <row r="26" customFormat="false" ht="15" hidden="false" customHeight="false" outlineLevel="0" collapsed="false">
      <c r="B26" s="44" t="n">
        <v>45816</v>
      </c>
      <c r="C26" s="21" t="s">
        <v>594</v>
      </c>
      <c r="D26" s="45" t="n">
        <v>3.2</v>
      </c>
      <c r="E26" s="21" t="s">
        <v>485</v>
      </c>
      <c r="F26" s="26" t="n">
        <f aca="false">MATCH(E26,{"Misma locación","0.15 - 5 km","5 - 10 km","10+ km"},0)</f>
        <v>2</v>
      </c>
      <c r="G26" s="26" t="n">
        <f aca="false">MONTH(B26)</f>
        <v>6</v>
      </c>
      <c r="H26" s="26" t="n">
        <f aca="false">COUNTIF($G$8:G26,G26)</f>
        <v>2</v>
      </c>
      <c r="I26" s="45" t="n">
        <v>21.5</v>
      </c>
      <c r="J26" s="46" t="n">
        <f aca="false">INDEX(Simulador!$C$39:$F$39,F26)</f>
        <v>18</v>
      </c>
      <c r="K26" s="47" t="n">
        <f aca="false">IF(I26="","",I26-J26)</f>
        <v>3.5</v>
      </c>
      <c r="L26" s="12" t="n">
        <f aca="false">INDEX(Simulador!$C$51:$F$51,F26)</f>
        <v>99473.8108108108</v>
      </c>
      <c r="M26" s="11" t="n">
        <f aca="false">IF(H26&gt;=Simulador!$C$19,INDEX(Simulador!$C$63:$F$63,F26),INDEX(Simulador!$C$62:$F$62,F26))</f>
        <v>85898.0227027027</v>
      </c>
      <c r="N26" s="11" t="n">
        <f aca="false">INDEX(Simulador!$C$64:$F$64,F26)</f>
        <v>108447.105405405</v>
      </c>
      <c r="O26" s="11" t="n">
        <f aca="false">IF(H26&gt;=Simulador!$C$19,INDEX(Simulador!$C$65:$F$65,F26),INDEX(Simulador!$C$64:$F$64,F26))</f>
        <v>108447.105405405</v>
      </c>
      <c r="P26" s="11" t="n">
        <f aca="false">IF(H26&gt;=Simulador!$C$19,INDEX(Simulador!$C$67:$F$67,F26),INDEX(Simulador!$C$66:$F$66,F26))</f>
        <v>82343.9464864865</v>
      </c>
      <c r="Q26" s="11" t="n">
        <f aca="false">M26+(IF(I26="",J26+INDEX(Simulador!$C$40:$F$40,F26),I26)-J26-INDEX(Simulador!$C$40:$F$40,F26))*Simulador!$C$9-INDEX(Simulador!$C$69:$F$69,F26)+IF(Simulador!$N$7="Sí",MAX(0,IF(I26="",J26+INDEX(Simulador!$C$40:$F$40,F26),I26)-INDEX(Simulador!$C$41:$F$41,F26))*(INDEX(Simulador!$C$68:$F$68,F26)+Simulador!$N$8)/Simulador!$C$7,0)</f>
        <v>90994.0227027027</v>
      </c>
      <c r="R26" s="11" t="n">
        <f aca="false">N26+(IF(I26="",J26+INDEX(Simulador!$C$40:$F$40,F26),I26)-J26-INDEX(Simulador!$C$40:$F$40,F26))*Simulador!$C$9-INDEX(Simulador!$C$69:$F$69,F26)+IF(Simulador!$N$7="Sí",MAX(0,IF(I26="",J26+INDEX(Simulador!$C$40:$F$40,F26),I26)-INDEX(Simulador!$C$41:$F$41,F26))*(INDEX(Simulador!$C$68:$F$68,F26)+Simulador!$N$8)/Simulador!$C$7,0)</f>
        <v>113543.105405405</v>
      </c>
      <c r="S26" s="11" t="n">
        <f aca="false">O26+(IF(I26="",J26+INDEX(Simulador!$C$40:$F$40,F26),I26)-J26-INDEX(Simulador!$C$40:$F$40,F26))*Simulador!$C$9-INDEX(Simulador!$C$69:$F$69,F26)+IF(Simulador!$N$7="Sí",MAX(0,IF(I26="",J26+INDEX(Simulador!$C$40:$F$40,F26),I26)-INDEX(Simulador!$C$41:$F$41,F26))*(INDEX(Simulador!$C$68:$F$68,F26)+Simulador!$N$8)/Simulador!$C$7,0)</f>
        <v>113543.105405405</v>
      </c>
      <c r="T26" s="11" t="n">
        <f aca="false">P26+(IF(I26="",J26+INDEX(Simulador!$C$40:$F$40,F26),I26)-J26-INDEX(Simulador!$C$40:$F$40,F26))*Simulador!$C$9-INDEX(Simulador!$C$69:$F$69,F26)+IF(Simulador!$N$7="Sí",MAX(0,IF(I26="",J26+INDEX(Simulador!$C$40:$F$40,F26),I26)-INDEX(Simulador!$C$41:$F$41,F26))*(INDEX(Simulador!$C$68:$F$68,F26)+Simulador!$N$8)/Simulador!$C$7,0)</f>
        <v>87439.9464864865</v>
      </c>
      <c r="U26" s="2"/>
    </row>
    <row r="27" customFormat="false" ht="15" hidden="false" customHeight="false" outlineLevel="0" collapsed="false">
      <c r="B27" s="44" t="n">
        <v>45821</v>
      </c>
      <c r="C27" s="21" t="s">
        <v>595</v>
      </c>
      <c r="D27" s="45" t="n">
        <v>2.8</v>
      </c>
      <c r="E27" s="21" t="s">
        <v>485</v>
      </c>
      <c r="F27" s="26" t="n">
        <f aca="false">MATCH(E27,{"Misma locación","0.15 - 5 km","5 - 10 km","10+ km"},0)</f>
        <v>2</v>
      </c>
      <c r="G27" s="26" t="n">
        <f aca="false">MONTH(B27)</f>
        <v>6</v>
      </c>
      <c r="H27" s="26" t="n">
        <f aca="false">COUNTIF($G$8:G27,G27)</f>
        <v>3</v>
      </c>
      <c r="I27" s="45" t="n">
        <v>15.5</v>
      </c>
      <c r="J27" s="46" t="n">
        <f aca="false">INDEX(Simulador!$C$39:$F$39,F27)</f>
        <v>18</v>
      </c>
      <c r="K27" s="47" t="n">
        <f aca="false">IF(I27="","",I27-J27)</f>
        <v>-2.5</v>
      </c>
      <c r="L27" s="12" t="n">
        <f aca="false">INDEX(Simulador!$C$51:$F$51,F27)</f>
        <v>99473.8108108108</v>
      </c>
      <c r="M27" s="11" t="n">
        <f aca="false">IF(H27&gt;=Simulador!$C$19,INDEX(Simulador!$C$63:$F$63,F27),INDEX(Simulador!$C$62:$F$62,F27))</f>
        <v>85898.0227027027</v>
      </c>
      <c r="N27" s="11" t="n">
        <f aca="false">INDEX(Simulador!$C$64:$F$64,F27)</f>
        <v>108447.105405405</v>
      </c>
      <c r="O27" s="11" t="n">
        <f aca="false">IF(H27&gt;=Simulador!$C$19,INDEX(Simulador!$C$65:$F$65,F27),INDEX(Simulador!$C$64:$F$64,F27))</f>
        <v>108447.105405405</v>
      </c>
      <c r="P27" s="11" t="n">
        <f aca="false">IF(H27&gt;=Simulador!$C$19,INDEX(Simulador!$C$67:$F$67,F27),INDEX(Simulador!$C$66:$F$66,F27))</f>
        <v>82343.9464864865</v>
      </c>
      <c r="Q27" s="11" t="n">
        <f aca="false">M27+(IF(I27="",J27+INDEX(Simulador!$C$40:$F$40,F27),I27)-J27-INDEX(Simulador!$C$40:$F$40,F27))*Simulador!$C$9-INDEX(Simulador!$C$69:$F$69,F27)+IF(Simulador!$N$7="Sí",MAX(0,IF(I27="",J27+INDEX(Simulador!$C$40:$F$40,F27),I27)-INDEX(Simulador!$C$41:$F$41,F27))*(INDEX(Simulador!$C$68:$F$68,F27)+Simulador!$N$8)/Simulador!$C$7,0)</f>
        <v>82258.0227027027</v>
      </c>
      <c r="R27" s="11" t="n">
        <f aca="false">N27+(IF(I27="",J27+INDEX(Simulador!$C$40:$F$40,F27),I27)-J27-INDEX(Simulador!$C$40:$F$40,F27))*Simulador!$C$9-INDEX(Simulador!$C$69:$F$69,F27)+IF(Simulador!$N$7="Sí",MAX(0,IF(I27="",J27+INDEX(Simulador!$C$40:$F$40,F27),I27)-INDEX(Simulador!$C$41:$F$41,F27))*(INDEX(Simulador!$C$68:$F$68,F27)+Simulador!$N$8)/Simulador!$C$7,0)</f>
        <v>104807.105405405</v>
      </c>
      <c r="S27" s="11" t="n">
        <f aca="false">O27+(IF(I27="",J27+INDEX(Simulador!$C$40:$F$40,F27),I27)-J27-INDEX(Simulador!$C$40:$F$40,F27))*Simulador!$C$9-INDEX(Simulador!$C$69:$F$69,F27)+IF(Simulador!$N$7="Sí",MAX(0,IF(I27="",J27+INDEX(Simulador!$C$40:$F$40,F27),I27)-INDEX(Simulador!$C$41:$F$41,F27))*(INDEX(Simulador!$C$68:$F$68,F27)+Simulador!$N$8)/Simulador!$C$7,0)</f>
        <v>104807.105405405</v>
      </c>
      <c r="T27" s="11" t="n">
        <f aca="false">P27+(IF(I27="",J27+INDEX(Simulador!$C$40:$F$40,F27),I27)-J27-INDEX(Simulador!$C$40:$F$40,F27))*Simulador!$C$9-INDEX(Simulador!$C$69:$F$69,F27)+IF(Simulador!$N$7="Sí",MAX(0,IF(I27="",J27+INDEX(Simulador!$C$40:$F$40,F27),I27)-INDEX(Simulador!$C$41:$F$41,F27))*(INDEX(Simulador!$C$68:$F$68,F27)+Simulador!$N$8)/Simulador!$C$7,0)</f>
        <v>78703.9464864865</v>
      </c>
      <c r="U27" s="2"/>
    </row>
    <row r="28" customFormat="false" ht="15" hidden="false" customHeight="false" outlineLevel="0" collapsed="false">
      <c r="B28" s="44" t="n">
        <v>45825</v>
      </c>
      <c r="C28" s="21" t="s">
        <v>596</v>
      </c>
      <c r="D28" s="45" t="n">
        <v>3.8</v>
      </c>
      <c r="E28" s="21" t="s">
        <v>485</v>
      </c>
      <c r="F28" s="26" t="n">
        <f aca="false">MATCH(E28,{"Misma locación","0.15 - 5 km","5 - 10 km","10+ km"},0)</f>
        <v>2</v>
      </c>
      <c r="G28" s="26" t="n">
        <f aca="false">MONTH(B28)</f>
        <v>6</v>
      </c>
      <c r="H28" s="26" t="n">
        <f aca="false">COUNTIF($G$8:G28,G28)</f>
        <v>4</v>
      </c>
      <c r="I28" s="45" t="n">
        <v>15</v>
      </c>
      <c r="J28" s="46" t="n">
        <f aca="false">INDEX(Simulador!$C$39:$F$39,F28)</f>
        <v>18</v>
      </c>
      <c r="K28" s="47" t="n">
        <f aca="false">IF(I28="","",I28-J28)</f>
        <v>-3</v>
      </c>
      <c r="L28" s="12" t="n">
        <f aca="false">INDEX(Simulador!$C$51:$F$51,F28)</f>
        <v>99473.8108108108</v>
      </c>
      <c r="M28" s="11" t="n">
        <f aca="false">IF(H28&gt;=Simulador!$C$19,INDEX(Simulador!$C$63:$F$63,F28),INDEX(Simulador!$C$62:$F$62,F28))</f>
        <v>85898.0227027027</v>
      </c>
      <c r="N28" s="11" t="n">
        <f aca="false">INDEX(Simulador!$C$64:$F$64,F28)</f>
        <v>108447.105405405</v>
      </c>
      <c r="O28" s="11" t="n">
        <f aca="false">IF(H28&gt;=Simulador!$C$19,INDEX(Simulador!$C$65:$F$65,F28),INDEX(Simulador!$C$64:$F$64,F28))</f>
        <v>108447.105405405</v>
      </c>
      <c r="P28" s="11" t="n">
        <f aca="false">IF(H28&gt;=Simulador!$C$19,INDEX(Simulador!$C$67:$F$67,F28),INDEX(Simulador!$C$66:$F$66,F28))</f>
        <v>82343.9464864865</v>
      </c>
      <c r="Q28" s="11" t="n">
        <f aca="false">M28+(IF(I28="",J28+INDEX(Simulador!$C$40:$F$40,F28),I28)-J28-INDEX(Simulador!$C$40:$F$40,F28))*Simulador!$C$9-INDEX(Simulador!$C$69:$F$69,F28)+IF(Simulador!$N$7="Sí",MAX(0,IF(I28="",J28+INDEX(Simulador!$C$40:$F$40,F28),I28)-INDEX(Simulador!$C$41:$F$41,F28))*(INDEX(Simulador!$C$68:$F$68,F28)+Simulador!$N$8)/Simulador!$C$7,0)</f>
        <v>81530.0227027027</v>
      </c>
      <c r="R28" s="11" t="n">
        <f aca="false">N28+(IF(I28="",J28+INDEX(Simulador!$C$40:$F$40,F28),I28)-J28-INDEX(Simulador!$C$40:$F$40,F28))*Simulador!$C$9-INDEX(Simulador!$C$69:$F$69,F28)+IF(Simulador!$N$7="Sí",MAX(0,IF(I28="",J28+INDEX(Simulador!$C$40:$F$40,F28),I28)-INDEX(Simulador!$C$41:$F$41,F28))*(INDEX(Simulador!$C$68:$F$68,F28)+Simulador!$N$8)/Simulador!$C$7,0)</f>
        <v>104079.105405405</v>
      </c>
      <c r="S28" s="11" t="n">
        <f aca="false">O28+(IF(I28="",J28+INDEX(Simulador!$C$40:$F$40,F28),I28)-J28-INDEX(Simulador!$C$40:$F$40,F28))*Simulador!$C$9-INDEX(Simulador!$C$69:$F$69,F28)+IF(Simulador!$N$7="Sí",MAX(0,IF(I28="",J28+INDEX(Simulador!$C$40:$F$40,F28),I28)-INDEX(Simulador!$C$41:$F$41,F28))*(INDEX(Simulador!$C$68:$F$68,F28)+Simulador!$N$8)/Simulador!$C$7,0)</f>
        <v>104079.105405405</v>
      </c>
      <c r="T28" s="11" t="n">
        <f aca="false">P28+(IF(I28="",J28+INDEX(Simulador!$C$40:$F$40,F28),I28)-J28-INDEX(Simulador!$C$40:$F$40,F28))*Simulador!$C$9-INDEX(Simulador!$C$69:$F$69,F28)+IF(Simulador!$N$7="Sí",MAX(0,IF(I28="",J28+INDEX(Simulador!$C$40:$F$40,F28),I28)-INDEX(Simulador!$C$41:$F$41,F28))*(INDEX(Simulador!$C$68:$F$68,F28)+Simulador!$N$8)/Simulador!$C$7,0)</f>
        <v>77975.9464864865</v>
      </c>
      <c r="U28" s="2"/>
    </row>
    <row r="29" customFormat="false" ht="15" hidden="false" customHeight="false" outlineLevel="0" collapsed="false">
      <c r="B29" s="44" t="n">
        <v>45831</v>
      </c>
      <c r="C29" s="21" t="s">
        <v>597</v>
      </c>
      <c r="D29" s="45" t="n">
        <v>5.3</v>
      </c>
      <c r="E29" s="21" t="s">
        <v>496</v>
      </c>
      <c r="F29" s="26" t="n">
        <f aca="false">MATCH(E29,{"Misma locación","0.15 - 5 km","5 - 10 km","10+ km"},0)</f>
        <v>3</v>
      </c>
      <c r="G29" s="26" t="n">
        <f aca="false">MONTH(B29)</f>
        <v>6</v>
      </c>
      <c r="H29" s="26" t="n">
        <f aca="false">COUNTIF($G$8:G29,G29)</f>
        <v>5</v>
      </c>
      <c r="I29" s="45" t="n">
        <v>18.25</v>
      </c>
      <c r="J29" s="46" t="n">
        <f aca="false">INDEX(Simulador!$C$39:$F$39,F29)</f>
        <v>24</v>
      </c>
      <c r="K29" s="47" t="n">
        <f aca="false">IF(I29="","",I29-J29)</f>
        <v>-5.75</v>
      </c>
      <c r="L29" s="12" t="n">
        <f aca="false">INDEX(Simulador!$C$51:$F$51,F29)</f>
        <v>96184.8108108108</v>
      </c>
      <c r="M29" s="11" t="n">
        <f aca="false">IF(H29&gt;=Simulador!$C$19,INDEX(Simulador!$C$63:$F$63,F29),INDEX(Simulador!$C$62:$F$62,F29))</f>
        <v>99393.4589189189</v>
      </c>
      <c r="N29" s="11" t="n">
        <f aca="false">INDEX(Simulador!$C$64:$F$64,F29)</f>
        <v>135930.452432432</v>
      </c>
      <c r="O29" s="11" t="n">
        <f aca="false">IF(H29&gt;=Simulador!$C$19,INDEX(Simulador!$C$65:$F$65,F29),INDEX(Simulador!$C$64:$F$64,F29))</f>
        <v>135930.452432432</v>
      </c>
      <c r="P29" s="11" t="n">
        <f aca="false">IF(H29&gt;=Simulador!$C$19,INDEX(Simulador!$C$67:$F$67,F29),INDEX(Simulador!$C$66:$F$66,F29))</f>
        <v>102242.108648649</v>
      </c>
      <c r="Q29" s="11" t="n">
        <f aca="false">M29+(IF(I29="",J29+INDEX(Simulador!$C$40:$F$40,F29),I29)-J29-INDEX(Simulador!$C$40:$F$40,F29))*Simulador!$C$9-INDEX(Simulador!$C$69:$F$69,F29)+IF(Simulador!$N$7="Sí",MAX(0,IF(I29="",J29+INDEX(Simulador!$C$40:$F$40,F29),I29)-INDEX(Simulador!$C$41:$F$41,F29))*(INDEX(Simulador!$C$68:$F$68,F29)+Simulador!$N$8)/Simulador!$C$7,0)</f>
        <v>91021.4589189189</v>
      </c>
      <c r="R29" s="11" t="n">
        <f aca="false">N29+(IF(I29="",J29+INDEX(Simulador!$C$40:$F$40,F29),I29)-J29-INDEX(Simulador!$C$40:$F$40,F29))*Simulador!$C$9-INDEX(Simulador!$C$69:$F$69,F29)+IF(Simulador!$N$7="Sí",MAX(0,IF(I29="",J29+INDEX(Simulador!$C$40:$F$40,F29),I29)-INDEX(Simulador!$C$41:$F$41,F29))*(INDEX(Simulador!$C$68:$F$68,F29)+Simulador!$N$8)/Simulador!$C$7,0)</f>
        <v>127558.452432432</v>
      </c>
      <c r="S29" s="11" t="n">
        <f aca="false">O29+(IF(I29="",J29+INDEX(Simulador!$C$40:$F$40,F29),I29)-J29-INDEX(Simulador!$C$40:$F$40,F29))*Simulador!$C$9-INDEX(Simulador!$C$69:$F$69,F29)+IF(Simulador!$N$7="Sí",MAX(0,IF(I29="",J29+INDEX(Simulador!$C$40:$F$40,F29),I29)-INDEX(Simulador!$C$41:$F$41,F29))*(INDEX(Simulador!$C$68:$F$68,F29)+Simulador!$N$8)/Simulador!$C$7,0)</f>
        <v>127558.452432432</v>
      </c>
      <c r="T29" s="11" t="n">
        <f aca="false">P29+(IF(I29="",J29+INDEX(Simulador!$C$40:$F$40,F29),I29)-J29-INDEX(Simulador!$C$40:$F$40,F29))*Simulador!$C$9-INDEX(Simulador!$C$69:$F$69,F29)+IF(Simulador!$N$7="Sí",MAX(0,IF(I29="",J29+INDEX(Simulador!$C$40:$F$40,F29),I29)-INDEX(Simulador!$C$41:$F$41,F29))*(INDEX(Simulador!$C$68:$F$68,F29)+Simulador!$N$8)/Simulador!$C$7,0)</f>
        <v>93870.1086486487</v>
      </c>
      <c r="U29" s="2"/>
    </row>
    <row r="30" customFormat="false" ht="15" hidden="false" customHeight="false" outlineLevel="0" collapsed="false">
      <c r="B30" s="44" t="n">
        <v>45835</v>
      </c>
      <c r="C30" s="21" t="s">
        <v>598</v>
      </c>
      <c r="D30" s="45" t="n">
        <v>12.1</v>
      </c>
      <c r="E30" s="21" t="s">
        <v>482</v>
      </c>
      <c r="F30" s="26" t="n">
        <f aca="false">MATCH(E30,{"Misma locación","0.15 - 5 km","5 - 10 km","10+ km"},0)</f>
        <v>4</v>
      </c>
      <c r="G30" s="26" t="n">
        <f aca="false">MONTH(B30)</f>
        <v>6</v>
      </c>
      <c r="H30" s="26" t="n">
        <f aca="false">COUNTIF($G$8:G30,G30)</f>
        <v>6</v>
      </c>
      <c r="I30" s="45" t="n">
        <v>17.75</v>
      </c>
      <c r="J30" s="46" t="n">
        <f aca="false">INDEX(Simulador!$C$39:$F$39,F30)</f>
        <v>28</v>
      </c>
      <c r="K30" s="47" t="n">
        <f aca="false">IF(I30="","",I30-J30)</f>
        <v>-10.25</v>
      </c>
      <c r="L30" s="12" t="n">
        <f aca="false">INDEX(Simulador!$C$51:$F$51,F30)</f>
        <v>110984.810810811</v>
      </c>
      <c r="M30" s="11" t="n">
        <f aca="false">IF(H30&gt;=Simulador!$C$19,INDEX(Simulador!$C$63:$F$63,F30),INDEX(Simulador!$C$62:$F$62,F30))</f>
        <v>74073.8105405406</v>
      </c>
      <c r="N30" s="11" t="n">
        <f aca="false">INDEX(Simulador!$C$64:$F$64,F30)</f>
        <v>152876.358918919</v>
      </c>
      <c r="O30" s="11" t="n">
        <f aca="false">IF(H30&gt;=Simulador!$C$19,INDEX(Simulador!$C$65:$F$65,F30),INDEX(Simulador!$C$64:$F$64,F30))</f>
        <v>96822.1794594595</v>
      </c>
      <c r="P30" s="11" t="n">
        <f aca="false">IF(H30&gt;=Simulador!$C$19,INDEX(Simulador!$C$67:$F$67,F30),INDEX(Simulador!$C$66:$F$66,F30))</f>
        <v>85918</v>
      </c>
      <c r="Q30" s="11" t="n">
        <f aca="false">M30+(IF(I30="",J30+INDEX(Simulador!$C$40:$F$40,F30),I30)-J30-INDEX(Simulador!$C$40:$F$40,F30))*Simulador!$C$9-INDEX(Simulador!$C$69:$F$69,F30)+IF(Simulador!$N$7="Sí",MAX(0,IF(I30="",J30+INDEX(Simulador!$C$40:$F$40,F30),I30)-INDEX(Simulador!$C$41:$F$41,F30))*(INDEX(Simulador!$C$68:$F$68,F30)+Simulador!$N$8)/Simulador!$C$7,0)</f>
        <v>59149.8105405406</v>
      </c>
      <c r="R30" s="11" t="n">
        <f aca="false">N30+(IF(I30="",J30+INDEX(Simulador!$C$40:$F$40,F30),I30)-J30-INDEX(Simulador!$C$40:$F$40,F30))*Simulador!$C$9-INDEX(Simulador!$C$69:$F$69,F30)+IF(Simulador!$N$7="Sí",MAX(0,IF(I30="",J30+INDEX(Simulador!$C$40:$F$40,F30),I30)-INDEX(Simulador!$C$41:$F$41,F30))*(INDEX(Simulador!$C$68:$F$68,F30)+Simulador!$N$8)/Simulador!$C$7,0)</f>
        <v>137952.358918919</v>
      </c>
      <c r="S30" s="11" t="n">
        <f aca="false">O30+(IF(I30="",J30+INDEX(Simulador!$C$40:$F$40,F30),I30)-J30-INDEX(Simulador!$C$40:$F$40,F30))*Simulador!$C$9-INDEX(Simulador!$C$69:$F$69,F30)+IF(Simulador!$N$7="Sí",MAX(0,IF(I30="",J30+INDEX(Simulador!$C$40:$F$40,F30),I30)-INDEX(Simulador!$C$41:$F$41,F30))*(INDEX(Simulador!$C$68:$F$68,F30)+Simulador!$N$8)/Simulador!$C$7,0)</f>
        <v>81898.1794594595</v>
      </c>
      <c r="T30" s="11" t="n">
        <f aca="false">P30+(IF(I30="",J30+INDEX(Simulador!$C$40:$F$40,F30),I30)-J30-INDEX(Simulador!$C$40:$F$40,F30))*Simulador!$C$9-INDEX(Simulador!$C$69:$F$69,F30)+IF(Simulador!$N$7="Sí",MAX(0,IF(I30="",J30+INDEX(Simulador!$C$40:$F$40,F30),I30)-INDEX(Simulador!$C$41:$F$41,F30))*(INDEX(Simulador!$C$68:$F$68,F30)+Simulador!$N$8)/Simulador!$C$7,0)</f>
        <v>70994</v>
      </c>
      <c r="U30" s="2"/>
    </row>
    <row r="31" customFormat="false" ht="15" hidden="false" customHeight="false" outlineLevel="0" collapsed="false">
      <c r="B31" s="44" t="n">
        <v>45842</v>
      </c>
      <c r="C31" s="21" t="s">
        <v>599</v>
      </c>
      <c r="D31" s="45" t="n">
        <v>11.7</v>
      </c>
      <c r="E31" s="21" t="s">
        <v>482</v>
      </c>
      <c r="F31" s="26" t="n">
        <f aca="false">MATCH(E31,{"Misma locación","0.15 - 5 km","5 - 10 km","10+ km"},0)</f>
        <v>4</v>
      </c>
      <c r="G31" s="26" t="n">
        <f aca="false">MONTH(B31)</f>
        <v>7</v>
      </c>
      <c r="H31" s="26" t="n">
        <f aca="false">COUNTIF($G$8:G31,G31)</f>
        <v>1</v>
      </c>
      <c r="I31" s="45" t="n">
        <v>31</v>
      </c>
      <c r="J31" s="46" t="n">
        <f aca="false">INDEX(Simulador!$C$39:$F$39,F31)</f>
        <v>28</v>
      </c>
      <c r="K31" s="47" t="n">
        <f aca="false">IF(I31="","",I31-J31)</f>
        <v>3</v>
      </c>
      <c r="L31" s="12" t="n">
        <f aca="false">INDEX(Simulador!$C$51:$F$51,F31)</f>
        <v>110984.810810811</v>
      </c>
      <c r="M31" s="11" t="n">
        <f aca="false">IF(H31&gt;=Simulador!$C$19,INDEX(Simulador!$C$63:$F$63,F31),INDEX(Simulador!$C$62:$F$62,F31))</f>
        <v>107379.621081081</v>
      </c>
      <c r="N31" s="11" t="n">
        <f aca="false">INDEX(Simulador!$C$64:$F$64,F31)</f>
        <v>152876.358918919</v>
      </c>
      <c r="O31" s="11" t="n">
        <f aca="false">IF(H31&gt;=Simulador!$C$19,INDEX(Simulador!$C$65:$F$65,F31),INDEX(Simulador!$C$64:$F$64,F31))</f>
        <v>152876.358918919</v>
      </c>
      <c r="P31" s="11" t="n">
        <f aca="false">IF(H31&gt;=Simulador!$C$19,INDEX(Simulador!$C$67:$F$67,F31),INDEX(Simulador!$C$66:$F$66,F31))</f>
        <v>109162.595135135</v>
      </c>
      <c r="Q31" s="11" t="n">
        <f aca="false">M31+(IF(I31="",J31+INDEX(Simulador!$C$40:$F$40,F31),I31)-J31-INDEX(Simulador!$C$40:$F$40,F31))*Simulador!$C$9-INDEX(Simulador!$C$69:$F$69,F31)+IF(Simulador!$N$7="Sí",MAX(0,IF(I31="",J31+INDEX(Simulador!$C$40:$F$40,F31),I31)-INDEX(Simulador!$C$41:$F$41,F31))*(INDEX(Simulador!$C$68:$F$68,F31)+Simulador!$N$8)/Simulador!$C$7,0)</f>
        <v>111747.621081081</v>
      </c>
      <c r="R31" s="11" t="n">
        <f aca="false">N31+(IF(I31="",J31+INDEX(Simulador!$C$40:$F$40,F31),I31)-J31-INDEX(Simulador!$C$40:$F$40,F31))*Simulador!$C$9-INDEX(Simulador!$C$69:$F$69,F31)+IF(Simulador!$N$7="Sí",MAX(0,IF(I31="",J31+INDEX(Simulador!$C$40:$F$40,F31),I31)-INDEX(Simulador!$C$41:$F$41,F31))*(INDEX(Simulador!$C$68:$F$68,F31)+Simulador!$N$8)/Simulador!$C$7,0)</f>
        <v>157244.358918919</v>
      </c>
      <c r="S31" s="11" t="n">
        <f aca="false">O31+(IF(I31="",J31+INDEX(Simulador!$C$40:$F$40,F31),I31)-J31-INDEX(Simulador!$C$40:$F$40,F31))*Simulador!$C$9-INDEX(Simulador!$C$69:$F$69,F31)+IF(Simulador!$N$7="Sí",MAX(0,IF(I31="",J31+INDEX(Simulador!$C$40:$F$40,F31),I31)-INDEX(Simulador!$C$41:$F$41,F31))*(INDEX(Simulador!$C$68:$F$68,F31)+Simulador!$N$8)/Simulador!$C$7,0)</f>
        <v>157244.358918919</v>
      </c>
      <c r="T31" s="11" t="n">
        <f aca="false">P31+(IF(I31="",J31+INDEX(Simulador!$C$40:$F$40,F31),I31)-J31-INDEX(Simulador!$C$40:$F$40,F31))*Simulador!$C$9-INDEX(Simulador!$C$69:$F$69,F31)+IF(Simulador!$N$7="Sí",MAX(0,IF(I31="",J31+INDEX(Simulador!$C$40:$F$40,F31),I31)-INDEX(Simulador!$C$41:$F$41,F31))*(INDEX(Simulador!$C$68:$F$68,F31)+Simulador!$N$8)/Simulador!$C$7,0)</f>
        <v>113530.595135135</v>
      </c>
      <c r="U31" s="2"/>
    </row>
    <row r="32" customFormat="false" ht="15" hidden="false" customHeight="false" outlineLevel="0" collapsed="false">
      <c r="B32" s="44" t="n">
        <v>45847</v>
      </c>
      <c r="C32" s="21" t="s">
        <v>600</v>
      </c>
      <c r="D32" s="45" t="n">
        <v>2</v>
      </c>
      <c r="E32" s="21" t="s">
        <v>485</v>
      </c>
      <c r="F32" s="26" t="n">
        <f aca="false">MATCH(E32,{"Misma locación","0.15 - 5 km","5 - 10 km","10+ km"},0)</f>
        <v>2</v>
      </c>
      <c r="G32" s="26" t="n">
        <f aca="false">MONTH(B32)</f>
        <v>7</v>
      </c>
      <c r="H32" s="26" t="n">
        <f aca="false">COUNTIF($G$8:G32,G32)</f>
        <v>2</v>
      </c>
      <c r="I32" s="45" t="n">
        <v>21</v>
      </c>
      <c r="J32" s="46" t="n">
        <f aca="false">INDEX(Simulador!$C$39:$F$39,F32)</f>
        <v>18</v>
      </c>
      <c r="K32" s="47" t="n">
        <f aca="false">IF(I32="","",I32-J32)</f>
        <v>3</v>
      </c>
      <c r="L32" s="12" t="n">
        <f aca="false">INDEX(Simulador!$C$51:$F$51,F32)</f>
        <v>99473.8108108108</v>
      </c>
      <c r="M32" s="11" t="n">
        <f aca="false">IF(H32&gt;=Simulador!$C$19,INDEX(Simulador!$C$63:$F$63,F32),INDEX(Simulador!$C$62:$F$62,F32))</f>
        <v>85898.0227027027</v>
      </c>
      <c r="N32" s="11" t="n">
        <f aca="false">INDEX(Simulador!$C$64:$F$64,F32)</f>
        <v>108447.105405405</v>
      </c>
      <c r="O32" s="11" t="n">
        <f aca="false">IF(H32&gt;=Simulador!$C$19,INDEX(Simulador!$C$65:$F$65,F32),INDEX(Simulador!$C$64:$F$64,F32))</f>
        <v>108447.105405405</v>
      </c>
      <c r="P32" s="11" t="n">
        <f aca="false">IF(H32&gt;=Simulador!$C$19,INDEX(Simulador!$C$67:$F$67,F32),INDEX(Simulador!$C$66:$F$66,F32))</f>
        <v>82343.9464864865</v>
      </c>
      <c r="Q32" s="11" t="n">
        <f aca="false">M32+(IF(I32="",J32+INDEX(Simulador!$C$40:$F$40,F32),I32)-J32-INDEX(Simulador!$C$40:$F$40,F32))*Simulador!$C$9-INDEX(Simulador!$C$69:$F$69,F32)+IF(Simulador!$N$7="Sí",MAX(0,IF(I32="",J32+INDEX(Simulador!$C$40:$F$40,F32),I32)-INDEX(Simulador!$C$41:$F$41,F32))*(INDEX(Simulador!$C$68:$F$68,F32)+Simulador!$N$8)/Simulador!$C$7,0)</f>
        <v>90266.0227027027</v>
      </c>
      <c r="R32" s="11" t="n">
        <f aca="false">N32+(IF(I32="",J32+INDEX(Simulador!$C$40:$F$40,F32),I32)-J32-INDEX(Simulador!$C$40:$F$40,F32))*Simulador!$C$9-INDEX(Simulador!$C$69:$F$69,F32)+IF(Simulador!$N$7="Sí",MAX(0,IF(I32="",J32+INDEX(Simulador!$C$40:$F$40,F32),I32)-INDEX(Simulador!$C$41:$F$41,F32))*(INDEX(Simulador!$C$68:$F$68,F32)+Simulador!$N$8)/Simulador!$C$7,0)</f>
        <v>112815.105405405</v>
      </c>
      <c r="S32" s="11" t="n">
        <f aca="false">O32+(IF(I32="",J32+INDEX(Simulador!$C$40:$F$40,F32),I32)-J32-INDEX(Simulador!$C$40:$F$40,F32))*Simulador!$C$9-INDEX(Simulador!$C$69:$F$69,F32)+IF(Simulador!$N$7="Sí",MAX(0,IF(I32="",J32+INDEX(Simulador!$C$40:$F$40,F32),I32)-INDEX(Simulador!$C$41:$F$41,F32))*(INDEX(Simulador!$C$68:$F$68,F32)+Simulador!$N$8)/Simulador!$C$7,0)</f>
        <v>112815.105405405</v>
      </c>
      <c r="T32" s="11" t="n">
        <f aca="false">P32+(IF(I32="",J32+INDEX(Simulador!$C$40:$F$40,F32),I32)-J32-INDEX(Simulador!$C$40:$F$40,F32))*Simulador!$C$9-INDEX(Simulador!$C$69:$F$69,F32)+IF(Simulador!$N$7="Sí",MAX(0,IF(I32="",J32+INDEX(Simulador!$C$40:$F$40,F32),I32)-INDEX(Simulador!$C$41:$F$41,F32))*(INDEX(Simulador!$C$68:$F$68,F32)+Simulador!$N$8)/Simulador!$C$7,0)</f>
        <v>86711.9464864865</v>
      </c>
      <c r="U32" s="2"/>
    </row>
    <row r="33" customFormat="false" ht="15" hidden="false" customHeight="false" outlineLevel="0" collapsed="false">
      <c r="B33" s="44" t="n">
        <v>45851</v>
      </c>
      <c r="C33" s="21" t="s">
        <v>601</v>
      </c>
      <c r="D33" s="45" t="n">
        <v>5.8</v>
      </c>
      <c r="E33" s="21" t="s">
        <v>496</v>
      </c>
      <c r="F33" s="26" t="n">
        <f aca="false">MATCH(E33,{"Misma locación","0.15 - 5 km","5 - 10 km","10+ km"},0)</f>
        <v>3</v>
      </c>
      <c r="G33" s="26" t="n">
        <f aca="false">MONTH(B33)</f>
        <v>7</v>
      </c>
      <c r="H33" s="26" t="n">
        <f aca="false">COUNTIF($G$8:G33,G33)</f>
        <v>3</v>
      </c>
      <c r="I33" s="45" t="n">
        <v>16.25</v>
      </c>
      <c r="J33" s="46" t="n">
        <f aca="false">INDEX(Simulador!$C$39:$F$39,F33)</f>
        <v>24</v>
      </c>
      <c r="K33" s="47" t="n">
        <f aca="false">IF(I33="","",I33-J33)</f>
        <v>-7.75</v>
      </c>
      <c r="L33" s="12" t="n">
        <f aca="false">INDEX(Simulador!$C$51:$F$51,F33)</f>
        <v>96184.8108108108</v>
      </c>
      <c r="M33" s="11" t="n">
        <f aca="false">IF(H33&gt;=Simulador!$C$19,INDEX(Simulador!$C$63:$F$63,F33),INDEX(Simulador!$C$62:$F$62,F33))</f>
        <v>99393.4589189189</v>
      </c>
      <c r="N33" s="11" t="n">
        <f aca="false">INDEX(Simulador!$C$64:$F$64,F33)</f>
        <v>135930.452432432</v>
      </c>
      <c r="O33" s="11" t="n">
        <f aca="false">IF(H33&gt;=Simulador!$C$19,INDEX(Simulador!$C$65:$F$65,F33),INDEX(Simulador!$C$64:$F$64,F33))</f>
        <v>135930.452432432</v>
      </c>
      <c r="P33" s="11" t="n">
        <f aca="false">IF(H33&gt;=Simulador!$C$19,INDEX(Simulador!$C$67:$F$67,F33),INDEX(Simulador!$C$66:$F$66,F33))</f>
        <v>102242.108648649</v>
      </c>
      <c r="Q33" s="11" t="n">
        <f aca="false">M33+(IF(I33="",J33+INDEX(Simulador!$C$40:$F$40,F33),I33)-J33-INDEX(Simulador!$C$40:$F$40,F33))*Simulador!$C$9-INDEX(Simulador!$C$69:$F$69,F33)+IF(Simulador!$N$7="Sí",MAX(0,IF(I33="",J33+INDEX(Simulador!$C$40:$F$40,F33),I33)-INDEX(Simulador!$C$41:$F$41,F33))*(INDEX(Simulador!$C$68:$F$68,F33)+Simulador!$N$8)/Simulador!$C$7,0)</f>
        <v>88109.4589189189</v>
      </c>
      <c r="R33" s="11" t="n">
        <f aca="false">N33+(IF(I33="",J33+INDEX(Simulador!$C$40:$F$40,F33),I33)-J33-INDEX(Simulador!$C$40:$F$40,F33))*Simulador!$C$9-INDEX(Simulador!$C$69:$F$69,F33)+IF(Simulador!$N$7="Sí",MAX(0,IF(I33="",J33+INDEX(Simulador!$C$40:$F$40,F33),I33)-INDEX(Simulador!$C$41:$F$41,F33))*(INDEX(Simulador!$C$68:$F$68,F33)+Simulador!$N$8)/Simulador!$C$7,0)</f>
        <v>124646.452432432</v>
      </c>
      <c r="S33" s="11" t="n">
        <f aca="false">O33+(IF(I33="",J33+INDEX(Simulador!$C$40:$F$40,F33),I33)-J33-INDEX(Simulador!$C$40:$F$40,F33))*Simulador!$C$9-INDEX(Simulador!$C$69:$F$69,F33)+IF(Simulador!$N$7="Sí",MAX(0,IF(I33="",J33+INDEX(Simulador!$C$40:$F$40,F33),I33)-INDEX(Simulador!$C$41:$F$41,F33))*(INDEX(Simulador!$C$68:$F$68,F33)+Simulador!$N$8)/Simulador!$C$7,0)</f>
        <v>124646.452432432</v>
      </c>
      <c r="T33" s="11" t="n">
        <f aca="false">P33+(IF(I33="",J33+INDEX(Simulador!$C$40:$F$40,F33),I33)-J33-INDEX(Simulador!$C$40:$F$40,F33))*Simulador!$C$9-INDEX(Simulador!$C$69:$F$69,F33)+IF(Simulador!$N$7="Sí",MAX(0,IF(I33="",J33+INDEX(Simulador!$C$40:$F$40,F33),I33)-INDEX(Simulador!$C$41:$F$41,F33))*(INDEX(Simulador!$C$68:$F$68,F33)+Simulador!$N$8)/Simulador!$C$7,0)</f>
        <v>90958.1086486487</v>
      </c>
      <c r="U33" s="2"/>
    </row>
    <row r="34" customFormat="false" ht="15" hidden="false" customHeight="false" outlineLevel="0" collapsed="false">
      <c r="B34" s="44" t="n">
        <v>45855</v>
      </c>
      <c r="C34" s="21" t="s">
        <v>602</v>
      </c>
      <c r="D34" s="45" t="n">
        <v>6</v>
      </c>
      <c r="E34" s="21" t="s">
        <v>496</v>
      </c>
      <c r="F34" s="26" t="n">
        <f aca="false">MATCH(E34,{"Misma locación","0.15 - 5 km","5 - 10 km","10+ km"},0)</f>
        <v>3</v>
      </c>
      <c r="G34" s="26" t="n">
        <f aca="false">MONTH(B34)</f>
        <v>7</v>
      </c>
      <c r="H34" s="26" t="n">
        <f aca="false">COUNTIF($G$8:G34,G34)</f>
        <v>4</v>
      </c>
      <c r="I34" s="45" t="n">
        <v>19.75</v>
      </c>
      <c r="J34" s="46" t="n">
        <f aca="false">INDEX(Simulador!$C$39:$F$39,F34)</f>
        <v>24</v>
      </c>
      <c r="K34" s="47" t="n">
        <f aca="false">IF(I34="","",I34-J34)</f>
        <v>-4.25</v>
      </c>
      <c r="L34" s="12" t="n">
        <f aca="false">INDEX(Simulador!$C$51:$F$51,F34)</f>
        <v>96184.8108108108</v>
      </c>
      <c r="M34" s="11" t="n">
        <f aca="false">IF(H34&gt;=Simulador!$C$19,INDEX(Simulador!$C$63:$F$63,F34),INDEX(Simulador!$C$62:$F$62,F34))</f>
        <v>99393.4589189189</v>
      </c>
      <c r="N34" s="11" t="n">
        <f aca="false">INDEX(Simulador!$C$64:$F$64,F34)</f>
        <v>135930.452432432</v>
      </c>
      <c r="O34" s="11" t="n">
        <f aca="false">IF(H34&gt;=Simulador!$C$19,INDEX(Simulador!$C$65:$F$65,F34),INDEX(Simulador!$C$64:$F$64,F34))</f>
        <v>135930.452432432</v>
      </c>
      <c r="P34" s="11" t="n">
        <f aca="false">IF(H34&gt;=Simulador!$C$19,INDEX(Simulador!$C$67:$F$67,F34),INDEX(Simulador!$C$66:$F$66,F34))</f>
        <v>102242.108648649</v>
      </c>
      <c r="Q34" s="11" t="n">
        <f aca="false">M34+(IF(I34="",J34+INDEX(Simulador!$C$40:$F$40,F34),I34)-J34-INDEX(Simulador!$C$40:$F$40,F34))*Simulador!$C$9-INDEX(Simulador!$C$69:$F$69,F34)+IF(Simulador!$N$7="Sí",MAX(0,IF(I34="",J34+INDEX(Simulador!$C$40:$F$40,F34),I34)-INDEX(Simulador!$C$41:$F$41,F34))*(INDEX(Simulador!$C$68:$F$68,F34)+Simulador!$N$8)/Simulador!$C$7,0)</f>
        <v>93205.4589189189</v>
      </c>
      <c r="R34" s="11" t="n">
        <f aca="false">N34+(IF(I34="",J34+INDEX(Simulador!$C$40:$F$40,F34),I34)-J34-INDEX(Simulador!$C$40:$F$40,F34))*Simulador!$C$9-INDEX(Simulador!$C$69:$F$69,F34)+IF(Simulador!$N$7="Sí",MAX(0,IF(I34="",J34+INDEX(Simulador!$C$40:$F$40,F34),I34)-INDEX(Simulador!$C$41:$F$41,F34))*(INDEX(Simulador!$C$68:$F$68,F34)+Simulador!$N$8)/Simulador!$C$7,0)</f>
        <v>129742.452432432</v>
      </c>
      <c r="S34" s="11" t="n">
        <f aca="false">O34+(IF(I34="",J34+INDEX(Simulador!$C$40:$F$40,F34),I34)-J34-INDEX(Simulador!$C$40:$F$40,F34))*Simulador!$C$9-INDEX(Simulador!$C$69:$F$69,F34)+IF(Simulador!$N$7="Sí",MAX(0,IF(I34="",J34+INDEX(Simulador!$C$40:$F$40,F34),I34)-INDEX(Simulador!$C$41:$F$41,F34))*(INDEX(Simulador!$C$68:$F$68,F34)+Simulador!$N$8)/Simulador!$C$7,0)</f>
        <v>129742.452432432</v>
      </c>
      <c r="T34" s="11" t="n">
        <f aca="false">P34+(IF(I34="",J34+INDEX(Simulador!$C$40:$F$40,F34),I34)-J34-INDEX(Simulador!$C$40:$F$40,F34))*Simulador!$C$9-INDEX(Simulador!$C$69:$F$69,F34)+IF(Simulador!$N$7="Sí",MAX(0,IF(I34="",J34+INDEX(Simulador!$C$40:$F$40,F34),I34)-INDEX(Simulador!$C$41:$F$41,F34))*(INDEX(Simulador!$C$68:$F$68,F34)+Simulador!$N$8)/Simulador!$C$7,0)</f>
        <v>96054.1086486487</v>
      </c>
      <c r="U34" s="2"/>
    </row>
    <row r="35" customFormat="false" ht="15" hidden="false" customHeight="false" outlineLevel="0" collapsed="false">
      <c r="B35" s="44" t="n">
        <v>45860</v>
      </c>
      <c r="C35" s="21" t="s">
        <v>603</v>
      </c>
      <c r="D35" s="45" t="n">
        <v>2</v>
      </c>
      <c r="E35" s="21" t="s">
        <v>485</v>
      </c>
      <c r="F35" s="26" t="n">
        <f aca="false">MATCH(E35,{"Misma locación","0.15 - 5 km","5 - 10 km","10+ km"},0)</f>
        <v>2</v>
      </c>
      <c r="G35" s="26" t="n">
        <f aca="false">MONTH(B35)</f>
        <v>7</v>
      </c>
      <c r="H35" s="26" t="n">
        <f aca="false">COUNTIF($G$8:G35,G35)</f>
        <v>5</v>
      </c>
      <c r="I35" s="45" t="n">
        <v>15.75</v>
      </c>
      <c r="J35" s="46" t="n">
        <f aca="false">INDEX(Simulador!$C$39:$F$39,F35)</f>
        <v>18</v>
      </c>
      <c r="K35" s="47" t="n">
        <f aca="false">IF(I35="","",I35-J35)</f>
        <v>-2.25</v>
      </c>
      <c r="L35" s="12" t="n">
        <f aca="false">INDEX(Simulador!$C$51:$F$51,F35)</f>
        <v>99473.8108108108</v>
      </c>
      <c r="M35" s="11" t="n">
        <f aca="false">IF(H35&gt;=Simulador!$C$19,INDEX(Simulador!$C$63:$F$63,F35),INDEX(Simulador!$C$62:$F$62,F35))</f>
        <v>85898.0227027027</v>
      </c>
      <c r="N35" s="11" t="n">
        <f aca="false">INDEX(Simulador!$C$64:$F$64,F35)</f>
        <v>108447.105405405</v>
      </c>
      <c r="O35" s="11" t="n">
        <f aca="false">IF(H35&gt;=Simulador!$C$19,INDEX(Simulador!$C$65:$F$65,F35),INDEX(Simulador!$C$64:$F$64,F35))</f>
        <v>108447.105405405</v>
      </c>
      <c r="P35" s="11" t="n">
        <f aca="false">IF(H35&gt;=Simulador!$C$19,INDEX(Simulador!$C$67:$F$67,F35),INDEX(Simulador!$C$66:$F$66,F35))</f>
        <v>82343.9464864865</v>
      </c>
      <c r="Q35" s="11" t="n">
        <f aca="false">M35+(IF(I35="",J35+INDEX(Simulador!$C$40:$F$40,F35),I35)-J35-INDEX(Simulador!$C$40:$F$40,F35))*Simulador!$C$9-INDEX(Simulador!$C$69:$F$69,F35)+IF(Simulador!$N$7="Sí",MAX(0,IF(I35="",J35+INDEX(Simulador!$C$40:$F$40,F35),I35)-INDEX(Simulador!$C$41:$F$41,F35))*(INDEX(Simulador!$C$68:$F$68,F35)+Simulador!$N$8)/Simulador!$C$7,0)</f>
        <v>82622.0227027027</v>
      </c>
      <c r="R35" s="11" t="n">
        <f aca="false">N35+(IF(I35="",J35+INDEX(Simulador!$C$40:$F$40,F35),I35)-J35-INDEX(Simulador!$C$40:$F$40,F35))*Simulador!$C$9-INDEX(Simulador!$C$69:$F$69,F35)+IF(Simulador!$N$7="Sí",MAX(0,IF(I35="",J35+INDEX(Simulador!$C$40:$F$40,F35),I35)-INDEX(Simulador!$C$41:$F$41,F35))*(INDEX(Simulador!$C$68:$F$68,F35)+Simulador!$N$8)/Simulador!$C$7,0)</f>
        <v>105171.105405405</v>
      </c>
      <c r="S35" s="11" t="n">
        <f aca="false">O35+(IF(I35="",J35+INDEX(Simulador!$C$40:$F$40,F35),I35)-J35-INDEX(Simulador!$C$40:$F$40,F35))*Simulador!$C$9-INDEX(Simulador!$C$69:$F$69,F35)+IF(Simulador!$N$7="Sí",MAX(0,IF(I35="",J35+INDEX(Simulador!$C$40:$F$40,F35),I35)-INDEX(Simulador!$C$41:$F$41,F35))*(INDEX(Simulador!$C$68:$F$68,F35)+Simulador!$N$8)/Simulador!$C$7,0)</f>
        <v>105171.105405405</v>
      </c>
      <c r="T35" s="11" t="n">
        <f aca="false">P35+(IF(I35="",J35+INDEX(Simulador!$C$40:$F$40,F35),I35)-J35-INDEX(Simulador!$C$40:$F$40,F35))*Simulador!$C$9-INDEX(Simulador!$C$69:$F$69,F35)+IF(Simulador!$N$7="Sí",MAX(0,IF(I35="",J35+INDEX(Simulador!$C$40:$F$40,F35),I35)-INDEX(Simulador!$C$41:$F$41,F35))*(INDEX(Simulador!$C$68:$F$68,F35)+Simulador!$N$8)/Simulador!$C$7,0)</f>
        <v>79067.9464864865</v>
      </c>
      <c r="U35" s="2"/>
    </row>
    <row r="36" customFormat="false" ht="15" hidden="false" customHeight="false" outlineLevel="0" collapsed="false">
      <c r="B36" s="44" t="n">
        <v>45864</v>
      </c>
      <c r="C36" s="21" t="s">
        <v>604</v>
      </c>
      <c r="D36" s="45" t="n">
        <v>2</v>
      </c>
      <c r="E36" s="21" t="s">
        <v>485</v>
      </c>
      <c r="F36" s="26" t="n">
        <f aca="false">MATCH(E36,{"Misma locación","0.15 - 5 km","5 - 10 km","10+ km"},0)</f>
        <v>2</v>
      </c>
      <c r="G36" s="26" t="n">
        <f aca="false">MONTH(B36)</f>
        <v>7</v>
      </c>
      <c r="H36" s="26" t="n">
        <f aca="false">COUNTIF($G$8:G36,G36)</f>
        <v>6</v>
      </c>
      <c r="I36" s="45" t="n">
        <v>18.75</v>
      </c>
      <c r="J36" s="46" t="n">
        <f aca="false">INDEX(Simulador!$C$39:$F$39,F36)</f>
        <v>18</v>
      </c>
      <c r="K36" s="47" t="n">
        <f aca="false">IF(I36="","",I36-J36)</f>
        <v>0.75</v>
      </c>
      <c r="L36" s="12" t="n">
        <f aca="false">INDEX(Simulador!$C$51:$F$51,F36)</f>
        <v>99473.8108108108</v>
      </c>
      <c r="M36" s="11" t="n">
        <f aca="false">IF(H36&gt;=Simulador!$C$19,INDEX(Simulador!$C$63:$F$63,F36),INDEX(Simulador!$C$62:$F$62,F36))</f>
        <v>56053.0113513514</v>
      </c>
      <c r="N36" s="11" t="n">
        <f aca="false">INDEX(Simulador!$C$64:$F$64,F36)</f>
        <v>108447.105405405</v>
      </c>
      <c r="O36" s="11" t="n">
        <f aca="false">IF(H36&gt;=Simulador!$C$19,INDEX(Simulador!$C$65:$F$65,F36),INDEX(Simulador!$C$64:$F$64,F36))</f>
        <v>67327.5527027027</v>
      </c>
      <c r="P36" s="11" t="n">
        <f aca="false">IF(H36&gt;=Simulador!$C$19,INDEX(Simulador!$C$67:$F$67,F36),INDEX(Simulador!$C$66:$F$66,F36))</f>
        <v>59499.8918918919</v>
      </c>
      <c r="Q36" s="11" t="n">
        <f aca="false">M36+(IF(I36="",J36+INDEX(Simulador!$C$40:$F$40,F36),I36)-J36-INDEX(Simulador!$C$40:$F$40,F36))*Simulador!$C$9-INDEX(Simulador!$C$69:$F$69,F36)+IF(Simulador!$N$7="Sí",MAX(0,IF(I36="",J36+INDEX(Simulador!$C$40:$F$40,F36),I36)-INDEX(Simulador!$C$41:$F$41,F36))*(INDEX(Simulador!$C$68:$F$68,F36)+Simulador!$N$8)/Simulador!$C$7,0)</f>
        <v>57145.0113513514</v>
      </c>
      <c r="R36" s="11" t="n">
        <f aca="false">N36+(IF(I36="",J36+INDEX(Simulador!$C$40:$F$40,F36),I36)-J36-INDEX(Simulador!$C$40:$F$40,F36))*Simulador!$C$9-INDEX(Simulador!$C$69:$F$69,F36)+IF(Simulador!$N$7="Sí",MAX(0,IF(I36="",J36+INDEX(Simulador!$C$40:$F$40,F36),I36)-INDEX(Simulador!$C$41:$F$41,F36))*(INDEX(Simulador!$C$68:$F$68,F36)+Simulador!$N$8)/Simulador!$C$7,0)</f>
        <v>109539.105405405</v>
      </c>
      <c r="S36" s="11" t="n">
        <f aca="false">O36+(IF(I36="",J36+INDEX(Simulador!$C$40:$F$40,F36),I36)-J36-INDEX(Simulador!$C$40:$F$40,F36))*Simulador!$C$9-INDEX(Simulador!$C$69:$F$69,F36)+IF(Simulador!$N$7="Sí",MAX(0,IF(I36="",J36+INDEX(Simulador!$C$40:$F$40,F36),I36)-INDEX(Simulador!$C$41:$F$41,F36))*(INDEX(Simulador!$C$68:$F$68,F36)+Simulador!$N$8)/Simulador!$C$7,0)</f>
        <v>68419.5527027027</v>
      </c>
      <c r="T36" s="11" t="n">
        <f aca="false">P36+(IF(I36="",J36+INDEX(Simulador!$C$40:$F$40,F36),I36)-J36-INDEX(Simulador!$C$40:$F$40,F36))*Simulador!$C$9-INDEX(Simulador!$C$69:$F$69,F36)+IF(Simulador!$N$7="Sí",MAX(0,IF(I36="",J36+INDEX(Simulador!$C$40:$F$40,F36),I36)-INDEX(Simulador!$C$41:$F$41,F36))*(INDEX(Simulador!$C$68:$F$68,F36)+Simulador!$N$8)/Simulador!$C$7,0)</f>
        <v>60591.8918918919</v>
      </c>
      <c r="U36" s="2"/>
    </row>
    <row r="37" customFormat="false" ht="15" hidden="false" customHeight="false" outlineLevel="0" collapsed="false">
      <c r="B37" s="44" t="n">
        <v>45869</v>
      </c>
      <c r="C37" s="21" t="s">
        <v>605</v>
      </c>
      <c r="D37" s="45" t="n">
        <v>8.1</v>
      </c>
      <c r="E37" s="21" t="s">
        <v>496</v>
      </c>
      <c r="F37" s="26" t="n">
        <f aca="false">MATCH(E37,{"Misma locación","0.15 - 5 km","5 - 10 km","10+ km"},0)</f>
        <v>3</v>
      </c>
      <c r="G37" s="26" t="n">
        <f aca="false">MONTH(B37)</f>
        <v>7</v>
      </c>
      <c r="H37" s="26" t="n">
        <f aca="false">COUNTIF($G$8:G37,G37)</f>
        <v>7</v>
      </c>
      <c r="I37" s="45" t="n">
        <v>24</v>
      </c>
      <c r="J37" s="46" t="n">
        <f aca="false">INDEX(Simulador!$C$39:$F$39,F37)</f>
        <v>24</v>
      </c>
      <c r="K37" s="47" t="n">
        <f aca="false">IF(I37="","",I37-J37)</f>
        <v>0</v>
      </c>
      <c r="L37" s="12" t="n">
        <f aca="false">INDEX(Simulador!$C$51:$F$51,F37)</f>
        <v>96184.8108108108</v>
      </c>
      <c r="M37" s="11" t="n">
        <f aca="false">IF(H37&gt;=Simulador!$C$19,INDEX(Simulador!$C$63:$F$63,F37),INDEX(Simulador!$C$62:$F$62,F37))</f>
        <v>67168.7294594595</v>
      </c>
      <c r="N37" s="11" t="n">
        <f aca="false">INDEX(Simulador!$C$64:$F$64,F37)</f>
        <v>135930.452432432</v>
      </c>
      <c r="O37" s="11" t="n">
        <f aca="false">IF(H37&gt;=Simulador!$C$19,INDEX(Simulador!$C$65:$F$65,F37),INDEX(Simulador!$C$64:$F$64,F37))</f>
        <v>85437.2262162162</v>
      </c>
      <c r="P37" s="11" t="n">
        <f aca="false">IF(H37&gt;=Simulador!$C$19,INDEX(Simulador!$C$67:$F$67,F37),INDEX(Simulador!$C$66:$F$66,F37))</f>
        <v>72512.9189189189</v>
      </c>
      <c r="Q37" s="11" t="n">
        <f aca="false">M37+(IF(I37="",J37+INDEX(Simulador!$C$40:$F$40,F37),I37)-J37-INDEX(Simulador!$C$40:$F$40,F37))*Simulador!$C$9-INDEX(Simulador!$C$69:$F$69,F37)+IF(Simulador!$N$7="Sí",MAX(0,IF(I37="",J37+INDEX(Simulador!$C$40:$F$40,F37),I37)-INDEX(Simulador!$C$41:$F$41,F37))*(INDEX(Simulador!$C$68:$F$68,F37)+Simulador!$N$8)/Simulador!$C$7,0)</f>
        <v>67168.7294594595</v>
      </c>
      <c r="R37" s="11" t="n">
        <f aca="false">N37+(IF(I37="",J37+INDEX(Simulador!$C$40:$F$40,F37),I37)-J37-INDEX(Simulador!$C$40:$F$40,F37))*Simulador!$C$9-INDEX(Simulador!$C$69:$F$69,F37)+IF(Simulador!$N$7="Sí",MAX(0,IF(I37="",J37+INDEX(Simulador!$C$40:$F$40,F37),I37)-INDEX(Simulador!$C$41:$F$41,F37))*(INDEX(Simulador!$C$68:$F$68,F37)+Simulador!$N$8)/Simulador!$C$7,0)</f>
        <v>135930.452432432</v>
      </c>
      <c r="S37" s="11" t="n">
        <f aca="false">O37+(IF(I37="",J37+INDEX(Simulador!$C$40:$F$40,F37),I37)-J37-INDEX(Simulador!$C$40:$F$40,F37))*Simulador!$C$9-INDEX(Simulador!$C$69:$F$69,F37)+IF(Simulador!$N$7="Sí",MAX(0,IF(I37="",J37+INDEX(Simulador!$C$40:$F$40,F37),I37)-INDEX(Simulador!$C$41:$F$41,F37))*(INDEX(Simulador!$C$68:$F$68,F37)+Simulador!$N$8)/Simulador!$C$7,0)</f>
        <v>85437.2262162162</v>
      </c>
      <c r="T37" s="11" t="n">
        <f aca="false">P37+(IF(I37="",J37+INDEX(Simulador!$C$40:$F$40,F37),I37)-J37-INDEX(Simulador!$C$40:$F$40,F37))*Simulador!$C$9-INDEX(Simulador!$C$69:$F$69,F37)+IF(Simulador!$N$7="Sí",MAX(0,IF(I37="",J37+INDEX(Simulador!$C$40:$F$40,F37),I37)-INDEX(Simulador!$C$41:$F$41,F37))*(INDEX(Simulador!$C$68:$F$68,F37)+Simulador!$N$8)/Simulador!$C$7,0)</f>
        <v>72512.9189189189</v>
      </c>
      <c r="U37" s="2"/>
    </row>
    <row r="38" customFormat="false" ht="15" hidden="false" customHeight="false" outlineLevel="0" collapsed="false">
      <c r="B38" s="44" t="n">
        <v>45873</v>
      </c>
      <c r="C38" s="21" t="s">
        <v>606</v>
      </c>
      <c r="D38" s="45" t="n">
        <v>0.0512063983613953</v>
      </c>
      <c r="E38" s="21" t="s">
        <v>498</v>
      </c>
      <c r="F38" s="26" t="n">
        <f aca="false">MATCH(E38,{"Misma locación","0.15 - 5 km","5 - 10 km","10+ km"},0)</f>
        <v>1</v>
      </c>
      <c r="G38" s="26" t="n">
        <f aca="false">MONTH(B38)</f>
        <v>8</v>
      </c>
      <c r="H38" s="26" t="n">
        <f aca="false">COUNTIF($G$8:G38,G38)</f>
        <v>1</v>
      </c>
      <c r="I38" s="45" t="n">
        <v>16.75</v>
      </c>
      <c r="J38" s="46" t="n">
        <f aca="false">INDEX(Simulador!$C$39:$F$39,F38)</f>
        <v>12</v>
      </c>
      <c r="K38" s="47" t="n">
        <f aca="false">IF(I38="","",I38-J38)</f>
        <v>4.75</v>
      </c>
      <c r="L38" s="12" t="n">
        <f aca="false">INDEX(Simulador!$C$51:$F$51,F38)</f>
        <v>76047.4054054054</v>
      </c>
      <c r="M38" s="11" t="n">
        <f aca="false">IF(H38&gt;=Simulador!$C$19,INDEX(Simulador!$C$63:$F$63,F38),INDEX(Simulador!$C$62:$F$62,F38))</f>
        <v>55414.0110810811</v>
      </c>
      <c r="N38" s="11" t="n">
        <f aca="false">INDEX(Simulador!$C$64:$F$64,F38)</f>
        <v>65678.4554054054</v>
      </c>
      <c r="O38" s="11" t="n">
        <f aca="false">IF(H38&gt;=Simulador!$C$19,INDEX(Simulador!$C$65:$F$65,F38),INDEX(Simulador!$C$64:$F$64,F38))</f>
        <v>65678.4554054054</v>
      </c>
      <c r="P38" s="11" t="n">
        <f aca="false">IF(H38&gt;=Simulador!$C$19,INDEX(Simulador!$C$67:$F$67,F38),INDEX(Simulador!$C$66:$F$66,F38))</f>
        <v>55372.8113513514</v>
      </c>
      <c r="Q38" s="11" t="n">
        <f aca="false">M38+(IF(I38="",J38+INDEX(Simulador!$C$40:$F$40,F38),I38)-J38-INDEX(Simulador!$C$40:$F$40,F38))*Simulador!$C$9-INDEX(Simulador!$C$69:$F$69,F38)+IF(Simulador!$N$7="Sí",MAX(0,IF(I38="",J38+INDEX(Simulador!$C$40:$F$40,F38),I38)-INDEX(Simulador!$C$41:$F$41,F38))*(INDEX(Simulador!$C$68:$F$68,F38)+Simulador!$N$8)/Simulador!$C$7,0)</f>
        <v>68776.5313513514</v>
      </c>
      <c r="R38" s="11" t="n">
        <f aca="false">N38+(IF(I38="",J38+INDEX(Simulador!$C$40:$F$40,F38),I38)-J38-INDEX(Simulador!$C$40:$F$40,F38))*Simulador!$C$9-INDEX(Simulador!$C$69:$F$69,F38)+IF(Simulador!$N$7="Sí",MAX(0,IF(I38="",J38+INDEX(Simulador!$C$40:$F$40,F38),I38)-INDEX(Simulador!$C$41:$F$41,F38))*(INDEX(Simulador!$C$68:$F$68,F38)+Simulador!$N$8)/Simulador!$C$7,0)</f>
        <v>79040.9756756757</v>
      </c>
      <c r="S38" s="11" t="n">
        <f aca="false">O38+(IF(I38="",J38+INDEX(Simulador!$C$40:$F$40,F38),I38)-J38-INDEX(Simulador!$C$40:$F$40,F38))*Simulador!$C$9-INDEX(Simulador!$C$69:$F$69,F38)+IF(Simulador!$N$7="Sí",MAX(0,IF(I38="",J38+INDEX(Simulador!$C$40:$F$40,F38),I38)-INDEX(Simulador!$C$41:$F$41,F38))*(INDEX(Simulador!$C$68:$F$68,F38)+Simulador!$N$8)/Simulador!$C$7,0)</f>
        <v>79040.9756756757</v>
      </c>
      <c r="T38" s="11" t="n">
        <f aca="false">P38+(IF(I38="",J38+INDEX(Simulador!$C$40:$F$40,F38),I38)-J38-INDEX(Simulador!$C$40:$F$40,F38))*Simulador!$C$9-INDEX(Simulador!$C$69:$F$69,F38)+IF(Simulador!$N$7="Sí",MAX(0,IF(I38="",J38+INDEX(Simulador!$C$40:$F$40,F38),I38)-INDEX(Simulador!$C$41:$F$41,F38))*(INDEX(Simulador!$C$68:$F$68,F38)+Simulador!$N$8)/Simulador!$C$7,0)</f>
        <v>68735.3316216216</v>
      </c>
      <c r="U38" s="2"/>
    </row>
    <row r="39" customFormat="false" ht="15" hidden="false" customHeight="false" outlineLevel="0" collapsed="false">
      <c r="B39" s="44" t="n">
        <v>45877</v>
      </c>
      <c r="C39" s="21" t="s">
        <v>607</v>
      </c>
      <c r="D39" s="45" t="n">
        <v>11.1</v>
      </c>
      <c r="E39" s="21" t="s">
        <v>482</v>
      </c>
      <c r="F39" s="26" t="n">
        <f aca="false">MATCH(E39,{"Misma locación","0.15 - 5 km","5 - 10 km","10+ km"},0)</f>
        <v>4</v>
      </c>
      <c r="G39" s="26" t="n">
        <f aca="false">MONTH(B39)</f>
        <v>8</v>
      </c>
      <c r="H39" s="26" t="n">
        <f aca="false">COUNTIF($G$8:G39,G39)</f>
        <v>2</v>
      </c>
      <c r="I39" s="45" t="n">
        <v>19.5</v>
      </c>
      <c r="J39" s="46" t="n">
        <f aca="false">INDEX(Simulador!$C$39:$F$39,F39)</f>
        <v>28</v>
      </c>
      <c r="K39" s="47" t="n">
        <f aca="false">IF(I39="","",I39-J39)</f>
        <v>-8.5</v>
      </c>
      <c r="L39" s="12" t="n">
        <f aca="false">INDEX(Simulador!$C$51:$F$51,F39)</f>
        <v>110984.810810811</v>
      </c>
      <c r="M39" s="11" t="n">
        <f aca="false">IF(H39&gt;=Simulador!$C$19,INDEX(Simulador!$C$63:$F$63,F39),INDEX(Simulador!$C$62:$F$62,F39))</f>
        <v>107379.621081081</v>
      </c>
      <c r="N39" s="11" t="n">
        <f aca="false">INDEX(Simulador!$C$64:$F$64,F39)</f>
        <v>152876.358918919</v>
      </c>
      <c r="O39" s="11" t="n">
        <f aca="false">IF(H39&gt;=Simulador!$C$19,INDEX(Simulador!$C$65:$F$65,F39),INDEX(Simulador!$C$64:$F$64,F39))</f>
        <v>152876.358918919</v>
      </c>
      <c r="P39" s="11" t="n">
        <f aca="false">IF(H39&gt;=Simulador!$C$19,INDEX(Simulador!$C$67:$F$67,F39),INDEX(Simulador!$C$66:$F$66,F39))</f>
        <v>109162.595135135</v>
      </c>
      <c r="Q39" s="11" t="n">
        <f aca="false">M39+(IF(I39="",J39+INDEX(Simulador!$C$40:$F$40,F39),I39)-J39-INDEX(Simulador!$C$40:$F$40,F39))*Simulador!$C$9-INDEX(Simulador!$C$69:$F$69,F39)+IF(Simulador!$N$7="Sí",MAX(0,IF(I39="",J39+INDEX(Simulador!$C$40:$F$40,F39),I39)-INDEX(Simulador!$C$41:$F$41,F39))*(INDEX(Simulador!$C$68:$F$68,F39)+Simulador!$N$8)/Simulador!$C$7,0)</f>
        <v>95003.6210810811</v>
      </c>
      <c r="R39" s="11" t="n">
        <f aca="false">N39+(IF(I39="",J39+INDEX(Simulador!$C$40:$F$40,F39),I39)-J39-INDEX(Simulador!$C$40:$F$40,F39))*Simulador!$C$9-INDEX(Simulador!$C$69:$F$69,F39)+IF(Simulador!$N$7="Sí",MAX(0,IF(I39="",J39+INDEX(Simulador!$C$40:$F$40,F39),I39)-INDEX(Simulador!$C$41:$F$41,F39))*(INDEX(Simulador!$C$68:$F$68,F39)+Simulador!$N$8)/Simulador!$C$7,0)</f>
        <v>140500.358918919</v>
      </c>
      <c r="S39" s="11" t="n">
        <f aca="false">O39+(IF(I39="",J39+INDEX(Simulador!$C$40:$F$40,F39),I39)-J39-INDEX(Simulador!$C$40:$F$40,F39))*Simulador!$C$9-INDEX(Simulador!$C$69:$F$69,F39)+IF(Simulador!$N$7="Sí",MAX(0,IF(I39="",J39+INDEX(Simulador!$C$40:$F$40,F39),I39)-INDEX(Simulador!$C$41:$F$41,F39))*(INDEX(Simulador!$C$68:$F$68,F39)+Simulador!$N$8)/Simulador!$C$7,0)</f>
        <v>140500.358918919</v>
      </c>
      <c r="T39" s="11" t="n">
        <f aca="false">P39+(IF(I39="",J39+INDEX(Simulador!$C$40:$F$40,F39),I39)-J39-INDEX(Simulador!$C$40:$F$40,F39))*Simulador!$C$9-INDEX(Simulador!$C$69:$F$69,F39)+IF(Simulador!$N$7="Sí",MAX(0,IF(I39="",J39+INDEX(Simulador!$C$40:$F$40,F39),I39)-INDEX(Simulador!$C$41:$F$41,F39))*(INDEX(Simulador!$C$68:$F$68,F39)+Simulador!$N$8)/Simulador!$C$7,0)</f>
        <v>96786.5951351351</v>
      </c>
      <c r="U39" s="2"/>
    </row>
    <row r="40" customFormat="false" ht="15" hidden="false" customHeight="false" outlineLevel="0" collapsed="false">
      <c r="B40" s="44" t="n">
        <v>45882</v>
      </c>
      <c r="C40" s="21" t="s">
        <v>608</v>
      </c>
      <c r="D40" s="45" t="n">
        <v>0.6</v>
      </c>
      <c r="E40" s="21" t="s">
        <v>485</v>
      </c>
      <c r="F40" s="26" t="n">
        <f aca="false">MATCH(E40,{"Misma locación","0.15 - 5 km","5 - 10 km","10+ km"},0)</f>
        <v>2</v>
      </c>
      <c r="G40" s="26" t="n">
        <f aca="false">MONTH(B40)</f>
        <v>8</v>
      </c>
      <c r="H40" s="26" t="n">
        <f aca="false">COUNTIF($G$8:G40,G40)</f>
        <v>3</v>
      </c>
      <c r="I40" s="45" t="n">
        <v>26</v>
      </c>
      <c r="J40" s="46" t="n">
        <f aca="false">INDEX(Simulador!$C$39:$F$39,F40)</f>
        <v>18</v>
      </c>
      <c r="K40" s="47" t="n">
        <f aca="false">IF(I40="","",I40-J40)</f>
        <v>8</v>
      </c>
      <c r="L40" s="12" t="n">
        <f aca="false">INDEX(Simulador!$C$51:$F$51,F40)</f>
        <v>99473.8108108108</v>
      </c>
      <c r="M40" s="11" t="n">
        <f aca="false">IF(H40&gt;=Simulador!$C$19,INDEX(Simulador!$C$63:$F$63,F40),INDEX(Simulador!$C$62:$F$62,F40))</f>
        <v>85898.0227027027</v>
      </c>
      <c r="N40" s="11" t="n">
        <f aca="false">INDEX(Simulador!$C$64:$F$64,F40)</f>
        <v>108447.105405405</v>
      </c>
      <c r="O40" s="11" t="n">
        <f aca="false">IF(H40&gt;=Simulador!$C$19,INDEX(Simulador!$C$65:$F$65,F40),INDEX(Simulador!$C$64:$F$64,F40))</f>
        <v>108447.105405405</v>
      </c>
      <c r="P40" s="11" t="n">
        <f aca="false">IF(H40&gt;=Simulador!$C$19,INDEX(Simulador!$C$67:$F$67,F40),INDEX(Simulador!$C$66:$F$66,F40))</f>
        <v>82343.9464864865</v>
      </c>
      <c r="Q40" s="11" t="n">
        <f aca="false">M40+(IF(I40="",J40+INDEX(Simulador!$C$40:$F$40,F40),I40)-J40-INDEX(Simulador!$C$40:$F$40,F40))*Simulador!$C$9-INDEX(Simulador!$C$69:$F$69,F40)+IF(Simulador!$N$7="Sí",MAX(0,IF(I40="",J40+INDEX(Simulador!$C$40:$F$40,F40),I40)-INDEX(Simulador!$C$41:$F$41,F40))*(INDEX(Simulador!$C$68:$F$68,F40)+Simulador!$N$8)/Simulador!$C$7,0)</f>
        <v>100260.347027027</v>
      </c>
      <c r="R40" s="11" t="n">
        <f aca="false">N40+(IF(I40="",J40+INDEX(Simulador!$C$40:$F$40,F40),I40)-J40-INDEX(Simulador!$C$40:$F$40,F40))*Simulador!$C$9-INDEX(Simulador!$C$69:$F$69,F40)+IF(Simulador!$N$7="Sí",MAX(0,IF(I40="",J40+INDEX(Simulador!$C$40:$F$40,F40),I40)-INDEX(Simulador!$C$41:$F$41,F40))*(INDEX(Simulador!$C$68:$F$68,F40)+Simulador!$N$8)/Simulador!$C$7,0)</f>
        <v>122809.42972973</v>
      </c>
      <c r="S40" s="11" t="n">
        <f aca="false">O40+(IF(I40="",J40+INDEX(Simulador!$C$40:$F$40,F40),I40)-J40-INDEX(Simulador!$C$40:$F$40,F40))*Simulador!$C$9-INDEX(Simulador!$C$69:$F$69,F40)+IF(Simulador!$N$7="Sí",MAX(0,IF(I40="",J40+INDEX(Simulador!$C$40:$F$40,F40),I40)-INDEX(Simulador!$C$41:$F$41,F40))*(INDEX(Simulador!$C$68:$F$68,F40)+Simulador!$N$8)/Simulador!$C$7,0)</f>
        <v>122809.42972973</v>
      </c>
      <c r="T40" s="11" t="n">
        <f aca="false">P40+(IF(I40="",J40+INDEX(Simulador!$C$40:$F$40,F40),I40)-J40-INDEX(Simulador!$C$40:$F$40,F40))*Simulador!$C$9-INDEX(Simulador!$C$69:$F$69,F40)+IF(Simulador!$N$7="Sí",MAX(0,IF(I40="",J40+INDEX(Simulador!$C$40:$F$40,F40),I40)-INDEX(Simulador!$C$41:$F$41,F40))*(INDEX(Simulador!$C$68:$F$68,F40)+Simulador!$N$8)/Simulador!$C$7,0)</f>
        <v>96706.2708108108</v>
      </c>
      <c r="U40" s="2"/>
    </row>
    <row r="41" customFormat="false" ht="15" hidden="false" customHeight="false" outlineLevel="0" collapsed="false">
      <c r="B41" s="44" t="n">
        <v>45886</v>
      </c>
      <c r="C41" s="21" t="s">
        <v>609</v>
      </c>
      <c r="D41" s="45" t="n">
        <v>0.0128015995903488</v>
      </c>
      <c r="E41" s="21" t="s">
        <v>498</v>
      </c>
      <c r="F41" s="26" t="n">
        <f aca="false">MATCH(E41,{"Misma locación","0.15 - 5 km","5 - 10 km","10+ km"},0)</f>
        <v>1</v>
      </c>
      <c r="G41" s="26" t="n">
        <f aca="false">MONTH(B41)</f>
        <v>8</v>
      </c>
      <c r="H41" s="26" t="n">
        <f aca="false">COUNTIF($G$8:G41,G41)</f>
        <v>4</v>
      </c>
      <c r="I41" s="45" t="n">
        <v>17.25</v>
      </c>
      <c r="J41" s="46" t="n">
        <f aca="false">INDEX(Simulador!$C$39:$F$39,F41)</f>
        <v>12</v>
      </c>
      <c r="K41" s="47" t="n">
        <f aca="false">IF(I41="","",I41-J41)</f>
        <v>5.25</v>
      </c>
      <c r="L41" s="12" t="n">
        <f aca="false">INDEX(Simulador!$C$51:$F$51,F41)</f>
        <v>76047.4054054054</v>
      </c>
      <c r="M41" s="11" t="n">
        <f aca="false">IF(H41&gt;=Simulador!$C$19,INDEX(Simulador!$C$63:$F$63,F41),INDEX(Simulador!$C$62:$F$62,F41))</f>
        <v>55414.0110810811</v>
      </c>
      <c r="N41" s="11" t="n">
        <f aca="false">INDEX(Simulador!$C$64:$F$64,F41)</f>
        <v>65678.4554054054</v>
      </c>
      <c r="O41" s="11" t="n">
        <f aca="false">IF(H41&gt;=Simulador!$C$19,INDEX(Simulador!$C$65:$F$65,F41),INDEX(Simulador!$C$64:$F$64,F41))</f>
        <v>65678.4554054054</v>
      </c>
      <c r="P41" s="11" t="n">
        <f aca="false">IF(H41&gt;=Simulador!$C$19,INDEX(Simulador!$C$67:$F$67,F41),INDEX(Simulador!$C$66:$F$66,F41))</f>
        <v>55372.8113513514</v>
      </c>
      <c r="Q41" s="11" t="n">
        <f aca="false">M41+(IF(I41="",J41+INDEX(Simulador!$C$40:$F$40,F41),I41)-J41-INDEX(Simulador!$C$40:$F$40,F41))*Simulador!$C$9-INDEX(Simulador!$C$69:$F$69,F41)+IF(Simulador!$N$7="Sí",MAX(0,IF(I41="",J41+INDEX(Simulador!$C$40:$F$40,F41),I41)-INDEX(Simulador!$C$41:$F$41,F41))*(INDEX(Simulador!$C$68:$F$68,F41)+Simulador!$N$8)/Simulador!$C$7,0)</f>
        <v>70183.1124324324</v>
      </c>
      <c r="R41" s="11" t="n">
        <f aca="false">N41+(IF(I41="",J41+INDEX(Simulador!$C$40:$F$40,F41),I41)-J41-INDEX(Simulador!$C$40:$F$40,F41))*Simulador!$C$9-INDEX(Simulador!$C$69:$F$69,F41)+IF(Simulador!$N$7="Sí",MAX(0,IF(I41="",J41+INDEX(Simulador!$C$40:$F$40,F41),I41)-INDEX(Simulador!$C$41:$F$41,F41))*(INDEX(Simulador!$C$68:$F$68,F41)+Simulador!$N$8)/Simulador!$C$7,0)</f>
        <v>80447.5567567568</v>
      </c>
      <c r="S41" s="11" t="n">
        <f aca="false">O41+(IF(I41="",J41+INDEX(Simulador!$C$40:$F$40,F41),I41)-J41-INDEX(Simulador!$C$40:$F$40,F41))*Simulador!$C$9-INDEX(Simulador!$C$69:$F$69,F41)+IF(Simulador!$N$7="Sí",MAX(0,IF(I41="",J41+INDEX(Simulador!$C$40:$F$40,F41),I41)-INDEX(Simulador!$C$41:$F$41,F41))*(INDEX(Simulador!$C$68:$F$68,F41)+Simulador!$N$8)/Simulador!$C$7,0)</f>
        <v>80447.5567567568</v>
      </c>
      <c r="T41" s="11" t="n">
        <f aca="false">P41+(IF(I41="",J41+INDEX(Simulador!$C$40:$F$40,F41),I41)-J41-INDEX(Simulador!$C$40:$F$40,F41))*Simulador!$C$9-INDEX(Simulador!$C$69:$F$69,F41)+IF(Simulador!$N$7="Sí",MAX(0,IF(I41="",J41+INDEX(Simulador!$C$40:$F$40,F41),I41)-INDEX(Simulador!$C$41:$F$41,F41))*(INDEX(Simulador!$C$68:$F$68,F41)+Simulador!$N$8)/Simulador!$C$7,0)</f>
        <v>70141.9127027027</v>
      </c>
      <c r="U41" s="2"/>
    </row>
    <row r="42" customFormat="false" ht="15" hidden="false" customHeight="false" outlineLevel="0" collapsed="false">
      <c r="B42" s="44" t="n">
        <v>45890</v>
      </c>
      <c r="C42" s="21" t="s">
        <v>610</v>
      </c>
      <c r="D42" s="45" t="n">
        <v>0.0128015995903488</v>
      </c>
      <c r="E42" s="21" t="s">
        <v>498</v>
      </c>
      <c r="F42" s="26" t="n">
        <f aca="false">MATCH(E42,{"Misma locación","0.15 - 5 km","5 - 10 km","10+ km"},0)</f>
        <v>1</v>
      </c>
      <c r="G42" s="26" t="n">
        <f aca="false">MONTH(B42)</f>
        <v>8</v>
      </c>
      <c r="H42" s="26" t="n">
        <f aca="false">COUNTIF($G$8:G42,G42)</f>
        <v>5</v>
      </c>
      <c r="I42" s="45" t="n">
        <v>19</v>
      </c>
      <c r="J42" s="46" t="n">
        <f aca="false">INDEX(Simulador!$C$39:$F$39,F42)</f>
        <v>12</v>
      </c>
      <c r="K42" s="47" t="n">
        <f aca="false">IF(I42="","",I42-J42)</f>
        <v>7</v>
      </c>
      <c r="L42" s="12" t="n">
        <f aca="false">INDEX(Simulador!$C$51:$F$51,F42)</f>
        <v>76047.4054054054</v>
      </c>
      <c r="M42" s="11" t="n">
        <f aca="false">IF(H42&gt;=Simulador!$C$19,INDEX(Simulador!$C$63:$F$63,F42),INDEX(Simulador!$C$62:$F$62,F42))</f>
        <v>55414.0110810811</v>
      </c>
      <c r="N42" s="11" t="n">
        <f aca="false">INDEX(Simulador!$C$64:$F$64,F42)</f>
        <v>65678.4554054054</v>
      </c>
      <c r="O42" s="11" t="n">
        <f aca="false">IF(H42&gt;=Simulador!$C$19,INDEX(Simulador!$C$65:$F$65,F42),INDEX(Simulador!$C$64:$F$64,F42))</f>
        <v>65678.4554054054</v>
      </c>
      <c r="P42" s="11" t="n">
        <f aca="false">IF(H42&gt;=Simulador!$C$19,INDEX(Simulador!$C$67:$F$67,F42),INDEX(Simulador!$C$66:$F$66,F42))</f>
        <v>55372.8113513514</v>
      </c>
      <c r="Q42" s="11" t="n">
        <f aca="false">M42+(IF(I42="",J42+INDEX(Simulador!$C$40:$F$40,F42),I42)-J42-INDEX(Simulador!$C$40:$F$40,F42))*Simulador!$C$9-INDEX(Simulador!$C$69:$F$69,F42)+IF(Simulador!$N$7="Sí",MAX(0,IF(I42="",J42+INDEX(Simulador!$C$40:$F$40,F42),I42)-INDEX(Simulador!$C$41:$F$41,F42))*(INDEX(Simulador!$C$68:$F$68,F42)+Simulador!$N$8)/Simulador!$C$7,0)</f>
        <v>75106.1462162162</v>
      </c>
      <c r="R42" s="11" t="n">
        <f aca="false">N42+(IF(I42="",J42+INDEX(Simulador!$C$40:$F$40,F42),I42)-J42-INDEX(Simulador!$C$40:$F$40,F42))*Simulador!$C$9-INDEX(Simulador!$C$69:$F$69,F42)+IF(Simulador!$N$7="Sí",MAX(0,IF(I42="",J42+INDEX(Simulador!$C$40:$F$40,F42),I42)-INDEX(Simulador!$C$41:$F$41,F42))*(INDEX(Simulador!$C$68:$F$68,F42)+Simulador!$N$8)/Simulador!$C$7,0)</f>
        <v>85370.5905405405</v>
      </c>
      <c r="S42" s="11" t="n">
        <f aca="false">O42+(IF(I42="",J42+INDEX(Simulador!$C$40:$F$40,F42),I42)-J42-INDEX(Simulador!$C$40:$F$40,F42))*Simulador!$C$9-INDEX(Simulador!$C$69:$F$69,F42)+IF(Simulador!$N$7="Sí",MAX(0,IF(I42="",J42+INDEX(Simulador!$C$40:$F$40,F42),I42)-INDEX(Simulador!$C$41:$F$41,F42))*(INDEX(Simulador!$C$68:$F$68,F42)+Simulador!$N$8)/Simulador!$C$7,0)</f>
        <v>85370.5905405405</v>
      </c>
      <c r="T42" s="11" t="n">
        <f aca="false">P42+(IF(I42="",J42+INDEX(Simulador!$C$40:$F$40,F42),I42)-J42-INDEX(Simulador!$C$40:$F$40,F42))*Simulador!$C$9-INDEX(Simulador!$C$69:$F$69,F42)+IF(Simulador!$N$7="Sí",MAX(0,IF(I42="",J42+INDEX(Simulador!$C$40:$F$40,F42),I42)-INDEX(Simulador!$C$41:$F$41,F42))*(INDEX(Simulador!$C$68:$F$68,F42)+Simulador!$N$8)/Simulador!$C$7,0)</f>
        <v>75064.9464864865</v>
      </c>
      <c r="U42" s="2"/>
    </row>
    <row r="43" customFormat="false" ht="15" hidden="false" customHeight="false" outlineLevel="0" collapsed="false">
      <c r="B43" s="44" t="n">
        <v>45894</v>
      </c>
      <c r="C43" s="21" t="s">
        <v>611</v>
      </c>
      <c r="D43" s="45" t="n">
        <v>9.3</v>
      </c>
      <c r="E43" s="21" t="s">
        <v>496</v>
      </c>
      <c r="F43" s="26" t="n">
        <f aca="false">MATCH(E43,{"Misma locación","0.15 - 5 km","5 - 10 km","10+ km"},0)</f>
        <v>3</v>
      </c>
      <c r="G43" s="26" t="n">
        <f aca="false">MONTH(B43)</f>
        <v>8</v>
      </c>
      <c r="H43" s="26" t="n">
        <f aca="false">COUNTIF($G$8:G43,G43)</f>
        <v>6</v>
      </c>
      <c r="I43" s="45" t="n">
        <v>18.25</v>
      </c>
      <c r="J43" s="46" t="n">
        <f aca="false">INDEX(Simulador!$C$39:$F$39,F43)</f>
        <v>24</v>
      </c>
      <c r="K43" s="47" t="n">
        <f aca="false">IF(I43="","",I43-J43)</f>
        <v>-5.75</v>
      </c>
      <c r="L43" s="12" t="n">
        <f aca="false">INDEX(Simulador!$C$51:$F$51,F43)</f>
        <v>96184.8108108108</v>
      </c>
      <c r="M43" s="11" t="n">
        <f aca="false">IF(H43&gt;=Simulador!$C$19,INDEX(Simulador!$C$63:$F$63,F43),INDEX(Simulador!$C$62:$F$62,F43))</f>
        <v>67168.7294594595</v>
      </c>
      <c r="N43" s="11" t="n">
        <f aca="false">INDEX(Simulador!$C$64:$F$64,F43)</f>
        <v>135930.452432432</v>
      </c>
      <c r="O43" s="11" t="n">
        <f aca="false">IF(H43&gt;=Simulador!$C$19,INDEX(Simulador!$C$65:$F$65,F43),INDEX(Simulador!$C$64:$F$64,F43))</f>
        <v>85437.2262162162</v>
      </c>
      <c r="P43" s="11" t="n">
        <f aca="false">IF(H43&gt;=Simulador!$C$19,INDEX(Simulador!$C$67:$F$67,F43),INDEX(Simulador!$C$66:$F$66,F43))</f>
        <v>72512.9189189189</v>
      </c>
      <c r="Q43" s="11" t="n">
        <f aca="false">M43+(IF(I43="",J43+INDEX(Simulador!$C$40:$F$40,F43),I43)-J43-INDEX(Simulador!$C$40:$F$40,F43))*Simulador!$C$9-INDEX(Simulador!$C$69:$F$69,F43)+IF(Simulador!$N$7="Sí",MAX(0,IF(I43="",J43+INDEX(Simulador!$C$40:$F$40,F43),I43)-INDEX(Simulador!$C$41:$F$41,F43))*(INDEX(Simulador!$C$68:$F$68,F43)+Simulador!$N$8)/Simulador!$C$7,0)</f>
        <v>58796.7294594595</v>
      </c>
      <c r="R43" s="11" t="n">
        <f aca="false">N43+(IF(I43="",J43+INDEX(Simulador!$C$40:$F$40,F43),I43)-J43-INDEX(Simulador!$C$40:$F$40,F43))*Simulador!$C$9-INDEX(Simulador!$C$69:$F$69,F43)+IF(Simulador!$N$7="Sí",MAX(0,IF(I43="",J43+INDEX(Simulador!$C$40:$F$40,F43),I43)-INDEX(Simulador!$C$41:$F$41,F43))*(INDEX(Simulador!$C$68:$F$68,F43)+Simulador!$N$8)/Simulador!$C$7,0)</f>
        <v>127558.452432432</v>
      </c>
      <c r="S43" s="11" t="n">
        <f aca="false">O43+(IF(I43="",J43+INDEX(Simulador!$C$40:$F$40,F43),I43)-J43-INDEX(Simulador!$C$40:$F$40,F43))*Simulador!$C$9-INDEX(Simulador!$C$69:$F$69,F43)+IF(Simulador!$N$7="Sí",MAX(0,IF(I43="",J43+INDEX(Simulador!$C$40:$F$40,F43),I43)-INDEX(Simulador!$C$41:$F$41,F43))*(INDEX(Simulador!$C$68:$F$68,F43)+Simulador!$N$8)/Simulador!$C$7,0)</f>
        <v>77065.2262162162</v>
      </c>
      <c r="T43" s="11" t="n">
        <f aca="false">P43+(IF(I43="",J43+INDEX(Simulador!$C$40:$F$40,F43),I43)-J43-INDEX(Simulador!$C$40:$F$40,F43))*Simulador!$C$9-INDEX(Simulador!$C$69:$F$69,F43)+IF(Simulador!$N$7="Sí",MAX(0,IF(I43="",J43+INDEX(Simulador!$C$40:$F$40,F43),I43)-INDEX(Simulador!$C$41:$F$41,F43))*(INDEX(Simulador!$C$68:$F$68,F43)+Simulador!$N$8)/Simulador!$C$7,0)</f>
        <v>64140.9189189189</v>
      </c>
      <c r="U43" s="2"/>
    </row>
    <row r="44" customFormat="false" ht="15" hidden="false" customHeight="false" outlineLevel="0" collapsed="false">
      <c r="B44" s="44" t="n">
        <v>45899</v>
      </c>
      <c r="C44" s="21" t="s">
        <v>612</v>
      </c>
      <c r="D44" s="45" t="n">
        <v>0.00640079979517441</v>
      </c>
      <c r="E44" s="21" t="s">
        <v>498</v>
      </c>
      <c r="F44" s="26" t="n">
        <f aca="false">MATCH(E44,{"Misma locación","0.15 - 5 km","5 - 10 km","10+ km"},0)</f>
        <v>1</v>
      </c>
      <c r="G44" s="26" t="n">
        <f aca="false">MONTH(B44)</f>
        <v>8</v>
      </c>
      <c r="H44" s="26" t="n">
        <f aca="false">COUNTIF($G$8:G44,G44)</f>
        <v>7</v>
      </c>
      <c r="I44" s="45" t="n">
        <v>16</v>
      </c>
      <c r="J44" s="46" t="n">
        <f aca="false">INDEX(Simulador!$C$39:$F$39,F44)</f>
        <v>12</v>
      </c>
      <c r="K44" s="47" t="n">
        <f aca="false">IF(I44="","",I44-J44)</f>
        <v>4</v>
      </c>
      <c r="L44" s="12" t="n">
        <f aca="false">INDEX(Simulador!$C$51:$F$51,F44)</f>
        <v>76047.4054054054</v>
      </c>
      <c r="M44" s="11" t="n">
        <f aca="false">IF(H44&gt;=Simulador!$C$19,INDEX(Simulador!$C$63:$F$63,F44),INDEX(Simulador!$C$62:$F$62,F44))</f>
        <v>36443.0055405405</v>
      </c>
      <c r="N44" s="11" t="n">
        <f aca="false">INDEX(Simulador!$C$64:$F$64,F44)</f>
        <v>65678.4554054054</v>
      </c>
      <c r="O44" s="11" t="n">
        <f aca="false">IF(H44&gt;=Simulador!$C$19,INDEX(Simulador!$C$65:$F$65,F44),INDEX(Simulador!$C$64:$F$64,F44))</f>
        <v>41575.2277027027</v>
      </c>
      <c r="P44" s="11" t="n">
        <f aca="false">IF(H44&gt;=Simulador!$C$19,INDEX(Simulador!$C$67:$F$67,F44),INDEX(Simulador!$C$66:$F$66,F44))</f>
        <v>50763.8918918919</v>
      </c>
      <c r="Q44" s="11" t="n">
        <f aca="false">M44+(IF(I44="",J44+INDEX(Simulador!$C$40:$F$40,F44),I44)-J44-INDEX(Simulador!$C$40:$F$40,F44))*Simulador!$C$9-INDEX(Simulador!$C$69:$F$69,F44)+IF(Simulador!$N$7="Sí",MAX(0,IF(I44="",J44+INDEX(Simulador!$C$40:$F$40,F44),I44)-INDEX(Simulador!$C$41:$F$41,F44))*(INDEX(Simulador!$C$68:$F$68,F44)+Simulador!$N$8)/Simulador!$C$7,0)</f>
        <v>47695.6541891892</v>
      </c>
      <c r="R44" s="11" t="n">
        <f aca="false">N44+(IF(I44="",J44+INDEX(Simulador!$C$40:$F$40,F44),I44)-J44-INDEX(Simulador!$C$40:$F$40,F44))*Simulador!$C$9-INDEX(Simulador!$C$69:$F$69,F44)+IF(Simulador!$N$7="Sí",MAX(0,IF(I44="",J44+INDEX(Simulador!$C$40:$F$40,F44),I44)-INDEX(Simulador!$C$41:$F$41,F44))*(INDEX(Simulador!$C$68:$F$68,F44)+Simulador!$N$8)/Simulador!$C$7,0)</f>
        <v>76931.1040540541</v>
      </c>
      <c r="S44" s="11" t="n">
        <f aca="false">O44+(IF(I44="",J44+INDEX(Simulador!$C$40:$F$40,F44),I44)-J44-INDEX(Simulador!$C$40:$F$40,F44))*Simulador!$C$9-INDEX(Simulador!$C$69:$F$69,F44)+IF(Simulador!$N$7="Sí",MAX(0,IF(I44="",J44+INDEX(Simulador!$C$40:$F$40,F44),I44)-INDEX(Simulador!$C$41:$F$41,F44))*(INDEX(Simulador!$C$68:$F$68,F44)+Simulador!$N$8)/Simulador!$C$7,0)</f>
        <v>52827.8763513514</v>
      </c>
      <c r="T44" s="11" t="n">
        <f aca="false">P44+(IF(I44="",J44+INDEX(Simulador!$C$40:$F$40,F44),I44)-J44-INDEX(Simulador!$C$40:$F$40,F44))*Simulador!$C$9-INDEX(Simulador!$C$69:$F$69,F44)+IF(Simulador!$N$7="Sí",MAX(0,IF(I44="",J44+INDEX(Simulador!$C$40:$F$40,F44),I44)-INDEX(Simulador!$C$41:$F$41,F44))*(INDEX(Simulador!$C$68:$F$68,F44)+Simulador!$N$8)/Simulador!$C$7,0)</f>
        <v>62016.5405405405</v>
      </c>
      <c r="U44" s="2"/>
    </row>
    <row r="45" customFormat="false" ht="15" hidden="false" customHeight="false" outlineLevel="0" collapsed="false">
      <c r="B45" s="44" t="n">
        <v>45905</v>
      </c>
      <c r="C45" s="21" t="s">
        <v>613</v>
      </c>
      <c r="D45" s="45" t="n">
        <v>11.2</v>
      </c>
      <c r="E45" s="21" t="s">
        <v>482</v>
      </c>
      <c r="F45" s="26" t="n">
        <f aca="false">MATCH(E45,{"Misma locación","0.15 - 5 km","5 - 10 km","10+ km"},0)</f>
        <v>4</v>
      </c>
      <c r="G45" s="26" t="n">
        <f aca="false">MONTH(B45)</f>
        <v>9</v>
      </c>
      <c r="H45" s="26" t="n">
        <f aca="false">COUNTIF($G$8:G45,G45)</f>
        <v>1</v>
      </c>
      <c r="I45" s="45" t="n">
        <v>18.5</v>
      </c>
      <c r="J45" s="46" t="n">
        <f aca="false">INDEX(Simulador!$C$39:$F$39,F45)</f>
        <v>28</v>
      </c>
      <c r="K45" s="47" t="n">
        <f aca="false">IF(I45="","",I45-J45)</f>
        <v>-9.5</v>
      </c>
      <c r="L45" s="12" t="n">
        <f aca="false">INDEX(Simulador!$C$51:$F$51,F45)</f>
        <v>110984.810810811</v>
      </c>
      <c r="M45" s="11" t="n">
        <f aca="false">IF(H45&gt;=Simulador!$C$19,INDEX(Simulador!$C$63:$F$63,F45),INDEX(Simulador!$C$62:$F$62,F45))</f>
        <v>107379.621081081</v>
      </c>
      <c r="N45" s="11" t="n">
        <f aca="false">INDEX(Simulador!$C$64:$F$64,F45)</f>
        <v>152876.358918919</v>
      </c>
      <c r="O45" s="11" t="n">
        <f aca="false">IF(H45&gt;=Simulador!$C$19,INDEX(Simulador!$C$65:$F$65,F45),INDEX(Simulador!$C$64:$F$64,F45))</f>
        <v>152876.358918919</v>
      </c>
      <c r="P45" s="11" t="n">
        <f aca="false">IF(H45&gt;=Simulador!$C$19,INDEX(Simulador!$C$67:$F$67,F45),INDEX(Simulador!$C$66:$F$66,F45))</f>
        <v>109162.595135135</v>
      </c>
      <c r="Q45" s="11" t="n">
        <f aca="false">M45+(IF(I45="",J45+INDEX(Simulador!$C$40:$F$40,F45),I45)-J45-INDEX(Simulador!$C$40:$F$40,F45))*Simulador!$C$9-INDEX(Simulador!$C$69:$F$69,F45)+IF(Simulador!$N$7="Sí",MAX(0,IF(I45="",J45+INDEX(Simulador!$C$40:$F$40,F45),I45)-INDEX(Simulador!$C$41:$F$41,F45))*(INDEX(Simulador!$C$68:$F$68,F45)+Simulador!$N$8)/Simulador!$C$7,0)</f>
        <v>93547.6210810811</v>
      </c>
      <c r="R45" s="11" t="n">
        <f aca="false">N45+(IF(I45="",J45+INDEX(Simulador!$C$40:$F$40,F45),I45)-J45-INDEX(Simulador!$C$40:$F$40,F45))*Simulador!$C$9-INDEX(Simulador!$C$69:$F$69,F45)+IF(Simulador!$N$7="Sí",MAX(0,IF(I45="",J45+INDEX(Simulador!$C$40:$F$40,F45),I45)-INDEX(Simulador!$C$41:$F$41,F45))*(INDEX(Simulador!$C$68:$F$68,F45)+Simulador!$N$8)/Simulador!$C$7,0)</f>
        <v>139044.358918919</v>
      </c>
      <c r="S45" s="11" t="n">
        <f aca="false">O45+(IF(I45="",J45+INDEX(Simulador!$C$40:$F$40,F45),I45)-J45-INDEX(Simulador!$C$40:$F$40,F45))*Simulador!$C$9-INDEX(Simulador!$C$69:$F$69,F45)+IF(Simulador!$N$7="Sí",MAX(0,IF(I45="",J45+INDEX(Simulador!$C$40:$F$40,F45),I45)-INDEX(Simulador!$C$41:$F$41,F45))*(INDEX(Simulador!$C$68:$F$68,F45)+Simulador!$N$8)/Simulador!$C$7,0)</f>
        <v>139044.358918919</v>
      </c>
      <c r="T45" s="11" t="n">
        <f aca="false">P45+(IF(I45="",J45+INDEX(Simulador!$C$40:$F$40,F45),I45)-J45-INDEX(Simulador!$C$40:$F$40,F45))*Simulador!$C$9-INDEX(Simulador!$C$69:$F$69,F45)+IF(Simulador!$N$7="Sí",MAX(0,IF(I45="",J45+INDEX(Simulador!$C$40:$F$40,F45),I45)-INDEX(Simulador!$C$41:$F$41,F45))*(INDEX(Simulador!$C$68:$F$68,F45)+Simulador!$N$8)/Simulador!$C$7,0)</f>
        <v>95330.5951351351</v>
      </c>
      <c r="U45" s="2"/>
    </row>
    <row r="46" customFormat="false" ht="15" hidden="false" customHeight="false" outlineLevel="0" collapsed="false">
      <c r="B46" s="44" t="n">
        <v>45909</v>
      </c>
      <c r="C46" s="21" t="s">
        <v>614</v>
      </c>
      <c r="D46" s="45" t="n">
        <v>0.00640079979517441</v>
      </c>
      <c r="E46" s="21" t="s">
        <v>498</v>
      </c>
      <c r="F46" s="26" t="n">
        <f aca="false">MATCH(E46,{"Misma locación","0.15 - 5 km","5 - 10 km","10+ km"},0)</f>
        <v>1</v>
      </c>
      <c r="G46" s="26" t="n">
        <f aca="false">MONTH(B46)</f>
        <v>9</v>
      </c>
      <c r="H46" s="26" t="n">
        <f aca="false">COUNTIF($G$8:G46,G46)</f>
        <v>2</v>
      </c>
      <c r="I46" s="45" t="n">
        <v>14</v>
      </c>
      <c r="J46" s="46" t="n">
        <f aca="false">INDEX(Simulador!$C$39:$F$39,F46)</f>
        <v>12</v>
      </c>
      <c r="K46" s="47" t="n">
        <f aca="false">IF(I46="","",I46-J46)</f>
        <v>2</v>
      </c>
      <c r="L46" s="12" t="n">
        <f aca="false">INDEX(Simulador!$C$51:$F$51,F46)</f>
        <v>76047.4054054054</v>
      </c>
      <c r="M46" s="11" t="n">
        <f aca="false">IF(H46&gt;=Simulador!$C$19,INDEX(Simulador!$C$63:$F$63,F46),INDEX(Simulador!$C$62:$F$62,F46))</f>
        <v>55414.0110810811</v>
      </c>
      <c r="N46" s="11" t="n">
        <f aca="false">INDEX(Simulador!$C$64:$F$64,F46)</f>
        <v>65678.4554054054</v>
      </c>
      <c r="O46" s="11" t="n">
        <f aca="false">IF(H46&gt;=Simulador!$C$19,INDEX(Simulador!$C$65:$F$65,F46),INDEX(Simulador!$C$64:$F$64,F46))</f>
        <v>65678.4554054054</v>
      </c>
      <c r="P46" s="11" t="n">
        <f aca="false">IF(H46&gt;=Simulador!$C$19,INDEX(Simulador!$C$67:$F$67,F46),INDEX(Simulador!$C$66:$F$66,F46))</f>
        <v>55372.8113513514</v>
      </c>
      <c r="Q46" s="11" t="n">
        <f aca="false">M46+(IF(I46="",J46+INDEX(Simulador!$C$40:$F$40,F46),I46)-J46-INDEX(Simulador!$C$40:$F$40,F46))*Simulador!$C$9-INDEX(Simulador!$C$69:$F$69,F46)+IF(Simulador!$N$7="Sí",MAX(0,IF(I46="",J46+INDEX(Simulador!$C$40:$F$40,F46),I46)-INDEX(Simulador!$C$41:$F$41,F46))*(INDEX(Simulador!$C$68:$F$68,F46)+Simulador!$N$8)/Simulador!$C$7,0)</f>
        <v>61040.3354054054</v>
      </c>
      <c r="R46" s="11" t="n">
        <f aca="false">N46+(IF(I46="",J46+INDEX(Simulador!$C$40:$F$40,F46),I46)-J46-INDEX(Simulador!$C$40:$F$40,F46))*Simulador!$C$9-INDEX(Simulador!$C$69:$F$69,F46)+IF(Simulador!$N$7="Sí",MAX(0,IF(I46="",J46+INDEX(Simulador!$C$40:$F$40,F46),I46)-INDEX(Simulador!$C$41:$F$41,F46))*(INDEX(Simulador!$C$68:$F$68,F46)+Simulador!$N$8)/Simulador!$C$7,0)</f>
        <v>71304.7797297297</v>
      </c>
      <c r="S46" s="11" t="n">
        <f aca="false">O46+(IF(I46="",J46+INDEX(Simulador!$C$40:$F$40,F46),I46)-J46-INDEX(Simulador!$C$40:$F$40,F46))*Simulador!$C$9-INDEX(Simulador!$C$69:$F$69,F46)+IF(Simulador!$N$7="Sí",MAX(0,IF(I46="",J46+INDEX(Simulador!$C$40:$F$40,F46),I46)-INDEX(Simulador!$C$41:$F$41,F46))*(INDEX(Simulador!$C$68:$F$68,F46)+Simulador!$N$8)/Simulador!$C$7,0)</f>
        <v>71304.7797297297</v>
      </c>
      <c r="T46" s="11" t="n">
        <f aca="false">P46+(IF(I46="",J46+INDEX(Simulador!$C$40:$F$40,F46),I46)-J46-INDEX(Simulador!$C$40:$F$40,F46))*Simulador!$C$9-INDEX(Simulador!$C$69:$F$69,F46)+IF(Simulador!$N$7="Sí",MAX(0,IF(I46="",J46+INDEX(Simulador!$C$40:$F$40,F46),I46)-INDEX(Simulador!$C$41:$F$41,F46))*(INDEX(Simulador!$C$68:$F$68,F46)+Simulador!$N$8)/Simulador!$C$7,0)</f>
        <v>60999.1356756757</v>
      </c>
      <c r="U46" s="2"/>
    </row>
    <row r="47" customFormat="false" ht="15" hidden="false" customHeight="false" outlineLevel="0" collapsed="false">
      <c r="B47" s="44" t="n">
        <v>45912</v>
      </c>
      <c r="C47" s="21" t="s">
        <v>615</v>
      </c>
      <c r="D47" s="45" t="n">
        <v>1.6</v>
      </c>
      <c r="E47" s="21" t="s">
        <v>485</v>
      </c>
      <c r="F47" s="26" t="n">
        <f aca="false">MATCH(E47,{"Misma locación","0.15 - 5 km","5 - 10 km","10+ km"},0)</f>
        <v>2</v>
      </c>
      <c r="G47" s="26" t="n">
        <f aca="false">MONTH(B47)</f>
        <v>9</v>
      </c>
      <c r="H47" s="26" t="n">
        <f aca="false">COUNTIF($G$8:G47,G47)</f>
        <v>3</v>
      </c>
      <c r="I47" s="45" t="n">
        <v>20.25</v>
      </c>
      <c r="J47" s="46" t="n">
        <f aca="false">INDEX(Simulador!$C$39:$F$39,F47)</f>
        <v>18</v>
      </c>
      <c r="K47" s="47" t="n">
        <f aca="false">IF(I47="","",I47-J47)</f>
        <v>2.25</v>
      </c>
      <c r="L47" s="12" t="n">
        <f aca="false">INDEX(Simulador!$C$51:$F$51,F47)</f>
        <v>99473.8108108108</v>
      </c>
      <c r="M47" s="11" t="n">
        <f aca="false">IF(H47&gt;=Simulador!$C$19,INDEX(Simulador!$C$63:$F$63,F47),INDEX(Simulador!$C$62:$F$62,F47))</f>
        <v>85898.0227027027</v>
      </c>
      <c r="N47" s="11" t="n">
        <f aca="false">INDEX(Simulador!$C$64:$F$64,F47)</f>
        <v>108447.105405405</v>
      </c>
      <c r="O47" s="11" t="n">
        <f aca="false">IF(H47&gt;=Simulador!$C$19,INDEX(Simulador!$C$65:$F$65,F47),INDEX(Simulador!$C$64:$F$64,F47))</f>
        <v>108447.105405405</v>
      </c>
      <c r="P47" s="11" t="n">
        <f aca="false">IF(H47&gt;=Simulador!$C$19,INDEX(Simulador!$C$67:$F$67,F47),INDEX(Simulador!$C$66:$F$66,F47))</f>
        <v>82343.9464864865</v>
      </c>
      <c r="Q47" s="11" t="n">
        <f aca="false">M47+(IF(I47="",J47+INDEX(Simulador!$C$40:$F$40,F47),I47)-J47-INDEX(Simulador!$C$40:$F$40,F47))*Simulador!$C$9-INDEX(Simulador!$C$69:$F$69,F47)+IF(Simulador!$N$7="Sí",MAX(0,IF(I47="",J47+INDEX(Simulador!$C$40:$F$40,F47),I47)-INDEX(Simulador!$C$41:$F$41,F47))*(INDEX(Simulador!$C$68:$F$68,F47)+Simulador!$N$8)/Simulador!$C$7,0)</f>
        <v>89174.0227027027</v>
      </c>
      <c r="R47" s="11" t="n">
        <f aca="false">N47+(IF(I47="",J47+INDEX(Simulador!$C$40:$F$40,F47),I47)-J47-INDEX(Simulador!$C$40:$F$40,F47))*Simulador!$C$9-INDEX(Simulador!$C$69:$F$69,F47)+IF(Simulador!$N$7="Sí",MAX(0,IF(I47="",J47+INDEX(Simulador!$C$40:$F$40,F47),I47)-INDEX(Simulador!$C$41:$F$41,F47))*(INDEX(Simulador!$C$68:$F$68,F47)+Simulador!$N$8)/Simulador!$C$7,0)</f>
        <v>111723.105405405</v>
      </c>
      <c r="S47" s="11" t="n">
        <f aca="false">O47+(IF(I47="",J47+INDEX(Simulador!$C$40:$F$40,F47),I47)-J47-INDEX(Simulador!$C$40:$F$40,F47))*Simulador!$C$9-INDEX(Simulador!$C$69:$F$69,F47)+IF(Simulador!$N$7="Sí",MAX(0,IF(I47="",J47+INDEX(Simulador!$C$40:$F$40,F47),I47)-INDEX(Simulador!$C$41:$F$41,F47))*(INDEX(Simulador!$C$68:$F$68,F47)+Simulador!$N$8)/Simulador!$C$7,0)</f>
        <v>111723.105405405</v>
      </c>
      <c r="T47" s="11" t="n">
        <f aca="false">P47+(IF(I47="",J47+INDEX(Simulador!$C$40:$F$40,F47),I47)-J47-INDEX(Simulador!$C$40:$F$40,F47))*Simulador!$C$9-INDEX(Simulador!$C$69:$F$69,F47)+IF(Simulador!$N$7="Sí",MAX(0,IF(I47="",J47+INDEX(Simulador!$C$40:$F$40,F47),I47)-INDEX(Simulador!$C$41:$F$41,F47))*(INDEX(Simulador!$C$68:$F$68,F47)+Simulador!$N$8)/Simulador!$C$7,0)</f>
        <v>85619.9464864865</v>
      </c>
      <c r="U47" s="2"/>
    </row>
    <row r="48" customFormat="false" ht="15" hidden="false" customHeight="false" outlineLevel="0" collapsed="false">
      <c r="B48" s="44" t="n">
        <v>45916</v>
      </c>
      <c r="C48" s="21" t="s">
        <v>616</v>
      </c>
      <c r="D48" s="45" t="n">
        <v>7.2</v>
      </c>
      <c r="E48" s="21" t="s">
        <v>496</v>
      </c>
      <c r="F48" s="26" t="n">
        <f aca="false">MATCH(E48,{"Misma locación","0.15 - 5 km","5 - 10 km","10+ km"},0)</f>
        <v>3</v>
      </c>
      <c r="G48" s="26" t="n">
        <f aca="false">MONTH(B48)</f>
        <v>9</v>
      </c>
      <c r="H48" s="26" t="n">
        <f aca="false">COUNTIF($G$8:G48,G48)</f>
        <v>4</v>
      </c>
      <c r="I48" s="45" t="n">
        <v>17.25</v>
      </c>
      <c r="J48" s="46" t="n">
        <f aca="false">INDEX(Simulador!$C$39:$F$39,F48)</f>
        <v>24</v>
      </c>
      <c r="K48" s="47" t="n">
        <f aca="false">IF(I48="","",I48-J48)</f>
        <v>-6.75</v>
      </c>
      <c r="L48" s="12" t="n">
        <f aca="false">INDEX(Simulador!$C$51:$F$51,F48)</f>
        <v>96184.8108108108</v>
      </c>
      <c r="M48" s="11" t="n">
        <f aca="false">IF(H48&gt;=Simulador!$C$19,INDEX(Simulador!$C$63:$F$63,F48),INDEX(Simulador!$C$62:$F$62,F48))</f>
        <v>99393.4589189189</v>
      </c>
      <c r="N48" s="11" t="n">
        <f aca="false">INDEX(Simulador!$C$64:$F$64,F48)</f>
        <v>135930.452432432</v>
      </c>
      <c r="O48" s="11" t="n">
        <f aca="false">IF(H48&gt;=Simulador!$C$19,INDEX(Simulador!$C$65:$F$65,F48),INDEX(Simulador!$C$64:$F$64,F48))</f>
        <v>135930.452432432</v>
      </c>
      <c r="P48" s="11" t="n">
        <f aca="false">IF(H48&gt;=Simulador!$C$19,INDEX(Simulador!$C$67:$F$67,F48),INDEX(Simulador!$C$66:$F$66,F48))</f>
        <v>102242.108648649</v>
      </c>
      <c r="Q48" s="11" t="n">
        <f aca="false">M48+(IF(I48="",J48+INDEX(Simulador!$C$40:$F$40,F48),I48)-J48-INDEX(Simulador!$C$40:$F$40,F48))*Simulador!$C$9-INDEX(Simulador!$C$69:$F$69,F48)+IF(Simulador!$N$7="Sí",MAX(0,IF(I48="",J48+INDEX(Simulador!$C$40:$F$40,F48),I48)-INDEX(Simulador!$C$41:$F$41,F48))*(INDEX(Simulador!$C$68:$F$68,F48)+Simulador!$N$8)/Simulador!$C$7,0)</f>
        <v>89565.4589189189</v>
      </c>
      <c r="R48" s="11" t="n">
        <f aca="false">N48+(IF(I48="",J48+INDEX(Simulador!$C$40:$F$40,F48),I48)-J48-INDEX(Simulador!$C$40:$F$40,F48))*Simulador!$C$9-INDEX(Simulador!$C$69:$F$69,F48)+IF(Simulador!$N$7="Sí",MAX(0,IF(I48="",J48+INDEX(Simulador!$C$40:$F$40,F48),I48)-INDEX(Simulador!$C$41:$F$41,F48))*(INDEX(Simulador!$C$68:$F$68,F48)+Simulador!$N$8)/Simulador!$C$7,0)</f>
        <v>126102.452432432</v>
      </c>
      <c r="S48" s="11" t="n">
        <f aca="false">O48+(IF(I48="",J48+INDEX(Simulador!$C$40:$F$40,F48),I48)-J48-INDEX(Simulador!$C$40:$F$40,F48))*Simulador!$C$9-INDEX(Simulador!$C$69:$F$69,F48)+IF(Simulador!$N$7="Sí",MAX(0,IF(I48="",J48+INDEX(Simulador!$C$40:$F$40,F48),I48)-INDEX(Simulador!$C$41:$F$41,F48))*(INDEX(Simulador!$C$68:$F$68,F48)+Simulador!$N$8)/Simulador!$C$7,0)</f>
        <v>126102.452432432</v>
      </c>
      <c r="T48" s="11" t="n">
        <f aca="false">P48+(IF(I48="",J48+INDEX(Simulador!$C$40:$F$40,F48),I48)-J48-INDEX(Simulador!$C$40:$F$40,F48))*Simulador!$C$9-INDEX(Simulador!$C$69:$F$69,F48)+IF(Simulador!$N$7="Sí",MAX(0,IF(I48="",J48+INDEX(Simulador!$C$40:$F$40,F48),I48)-INDEX(Simulador!$C$41:$F$41,F48))*(INDEX(Simulador!$C$68:$F$68,F48)+Simulador!$N$8)/Simulador!$C$7,0)</f>
        <v>92414.1086486487</v>
      </c>
      <c r="U48" s="2"/>
    </row>
    <row r="49" customFormat="false" ht="15" hidden="false" customHeight="false" outlineLevel="0" collapsed="false">
      <c r="B49" s="44" t="n">
        <v>45928</v>
      </c>
      <c r="C49" s="21" t="s">
        <v>617</v>
      </c>
      <c r="D49" s="45" t="n">
        <v>0.0384047987710464</v>
      </c>
      <c r="E49" s="21" t="s">
        <v>498</v>
      </c>
      <c r="F49" s="26" t="n">
        <f aca="false">MATCH(E49,{"Misma locación","0.15 - 5 km","5 - 10 km","10+ km"},0)</f>
        <v>1</v>
      </c>
      <c r="G49" s="26" t="n">
        <f aca="false">MONTH(B49)</f>
        <v>9</v>
      </c>
      <c r="H49" s="26" t="n">
        <f aca="false">COUNTIF($G$8:G49,G49)</f>
        <v>5</v>
      </c>
      <c r="I49" s="45" t="n">
        <v>18</v>
      </c>
      <c r="J49" s="46" t="n">
        <f aca="false">INDEX(Simulador!$C$39:$F$39,F49)</f>
        <v>12</v>
      </c>
      <c r="K49" s="47" t="n">
        <f aca="false">IF(I49="","",I49-J49)</f>
        <v>6</v>
      </c>
      <c r="L49" s="12" t="n">
        <f aca="false">INDEX(Simulador!$C$51:$F$51,F49)</f>
        <v>76047.4054054054</v>
      </c>
      <c r="M49" s="11" t="n">
        <f aca="false">IF(H49&gt;=Simulador!$C$19,INDEX(Simulador!$C$63:$F$63,F49),INDEX(Simulador!$C$62:$F$62,F49))</f>
        <v>55414.0110810811</v>
      </c>
      <c r="N49" s="11" t="n">
        <f aca="false">INDEX(Simulador!$C$64:$F$64,F49)</f>
        <v>65678.4554054054</v>
      </c>
      <c r="O49" s="11" t="n">
        <f aca="false">IF(H49&gt;=Simulador!$C$19,INDEX(Simulador!$C$65:$F$65,F49),INDEX(Simulador!$C$64:$F$64,F49))</f>
        <v>65678.4554054054</v>
      </c>
      <c r="P49" s="11" t="n">
        <f aca="false">IF(H49&gt;=Simulador!$C$19,INDEX(Simulador!$C$67:$F$67,F49),INDEX(Simulador!$C$66:$F$66,F49))</f>
        <v>55372.8113513514</v>
      </c>
      <c r="Q49" s="11" t="n">
        <f aca="false">M49+(IF(I49="",J49+INDEX(Simulador!$C$40:$F$40,F49),I49)-J49-INDEX(Simulador!$C$40:$F$40,F49))*Simulador!$C$9-INDEX(Simulador!$C$69:$F$69,F49)+IF(Simulador!$N$7="Sí",MAX(0,IF(I49="",J49+INDEX(Simulador!$C$40:$F$40,F49),I49)-INDEX(Simulador!$C$41:$F$41,F49))*(INDEX(Simulador!$C$68:$F$68,F49)+Simulador!$N$8)/Simulador!$C$7,0)</f>
        <v>72292.9840540541</v>
      </c>
      <c r="R49" s="11" t="n">
        <f aca="false">N49+(IF(I49="",J49+INDEX(Simulador!$C$40:$F$40,F49),I49)-J49-INDEX(Simulador!$C$40:$F$40,F49))*Simulador!$C$9-INDEX(Simulador!$C$69:$F$69,F49)+IF(Simulador!$N$7="Sí",MAX(0,IF(I49="",J49+INDEX(Simulador!$C$40:$F$40,F49),I49)-INDEX(Simulador!$C$41:$F$41,F49))*(INDEX(Simulador!$C$68:$F$68,F49)+Simulador!$N$8)/Simulador!$C$7,0)</f>
        <v>82557.4283783784</v>
      </c>
      <c r="S49" s="11" t="n">
        <f aca="false">O49+(IF(I49="",J49+INDEX(Simulador!$C$40:$F$40,F49),I49)-J49-INDEX(Simulador!$C$40:$F$40,F49))*Simulador!$C$9-INDEX(Simulador!$C$69:$F$69,F49)+IF(Simulador!$N$7="Sí",MAX(0,IF(I49="",J49+INDEX(Simulador!$C$40:$F$40,F49),I49)-INDEX(Simulador!$C$41:$F$41,F49))*(INDEX(Simulador!$C$68:$F$68,F49)+Simulador!$N$8)/Simulador!$C$7,0)</f>
        <v>82557.4283783784</v>
      </c>
      <c r="T49" s="11" t="n">
        <f aca="false">P49+(IF(I49="",J49+INDEX(Simulador!$C$40:$F$40,F49),I49)-J49-INDEX(Simulador!$C$40:$F$40,F49))*Simulador!$C$9-INDEX(Simulador!$C$69:$F$69,F49)+IF(Simulador!$N$7="Sí",MAX(0,IF(I49="",J49+INDEX(Simulador!$C$40:$F$40,F49),I49)-INDEX(Simulador!$C$41:$F$41,F49))*(INDEX(Simulador!$C$68:$F$68,F49)+Simulador!$N$8)/Simulador!$C$7,0)</f>
        <v>72251.7843243243</v>
      </c>
      <c r="U49" s="2"/>
    </row>
    <row r="50" customFormat="false" ht="15" hidden="false" customHeight="false" outlineLevel="0" collapsed="false">
      <c r="B50" s="44" t="n">
        <v>45931</v>
      </c>
      <c r="C50" s="21" t="s">
        <v>618</v>
      </c>
      <c r="D50" s="45" t="n">
        <v>1.2</v>
      </c>
      <c r="E50" s="21" t="s">
        <v>485</v>
      </c>
      <c r="F50" s="26" t="n">
        <f aca="false">MATCH(E50,{"Misma locación","0.15 - 5 km","5 - 10 km","10+ km"},0)</f>
        <v>2</v>
      </c>
      <c r="G50" s="26" t="n">
        <f aca="false">MONTH(B50)</f>
        <v>10</v>
      </c>
      <c r="H50" s="26" t="n">
        <f aca="false">COUNTIF($G$8:G50,G50)</f>
        <v>1</v>
      </c>
      <c r="I50" s="45" t="n">
        <v>22</v>
      </c>
      <c r="J50" s="46" t="n">
        <f aca="false">INDEX(Simulador!$C$39:$F$39,F50)</f>
        <v>18</v>
      </c>
      <c r="K50" s="47" t="n">
        <f aca="false">IF(I50="","",I50-J50)</f>
        <v>4</v>
      </c>
      <c r="L50" s="12" t="n">
        <f aca="false">INDEX(Simulador!$C$51:$F$51,F50)</f>
        <v>99473.8108108108</v>
      </c>
      <c r="M50" s="11" t="n">
        <f aca="false">IF(H50&gt;=Simulador!$C$19,INDEX(Simulador!$C$63:$F$63,F50),INDEX(Simulador!$C$62:$F$62,F50))</f>
        <v>85898.0227027027</v>
      </c>
      <c r="N50" s="11" t="n">
        <f aca="false">INDEX(Simulador!$C$64:$F$64,F50)</f>
        <v>108447.105405405</v>
      </c>
      <c r="O50" s="11" t="n">
        <f aca="false">IF(H50&gt;=Simulador!$C$19,INDEX(Simulador!$C$65:$F$65,F50),INDEX(Simulador!$C$64:$F$64,F50))</f>
        <v>108447.105405405</v>
      </c>
      <c r="P50" s="11" t="n">
        <f aca="false">IF(H50&gt;=Simulador!$C$19,INDEX(Simulador!$C$67:$F$67,F50),INDEX(Simulador!$C$66:$F$66,F50))</f>
        <v>82343.9464864865</v>
      </c>
      <c r="Q50" s="11" t="n">
        <f aca="false">M50+(IF(I50="",J50+INDEX(Simulador!$C$40:$F$40,F50),I50)-J50-INDEX(Simulador!$C$40:$F$40,F50))*Simulador!$C$9-INDEX(Simulador!$C$69:$F$69,F50)+IF(Simulador!$N$7="Sí",MAX(0,IF(I50="",J50+INDEX(Simulador!$C$40:$F$40,F50),I50)-INDEX(Simulador!$C$41:$F$41,F50))*(INDEX(Simulador!$C$68:$F$68,F50)+Simulador!$N$8)/Simulador!$C$7,0)</f>
        <v>91722.0227027027</v>
      </c>
      <c r="R50" s="11" t="n">
        <f aca="false">N50+(IF(I50="",J50+INDEX(Simulador!$C$40:$F$40,F50),I50)-J50-INDEX(Simulador!$C$40:$F$40,F50))*Simulador!$C$9-INDEX(Simulador!$C$69:$F$69,F50)+IF(Simulador!$N$7="Sí",MAX(0,IF(I50="",J50+INDEX(Simulador!$C$40:$F$40,F50),I50)-INDEX(Simulador!$C$41:$F$41,F50))*(INDEX(Simulador!$C$68:$F$68,F50)+Simulador!$N$8)/Simulador!$C$7,0)</f>
        <v>114271.105405405</v>
      </c>
      <c r="S50" s="11" t="n">
        <f aca="false">O50+(IF(I50="",J50+INDEX(Simulador!$C$40:$F$40,F50),I50)-J50-INDEX(Simulador!$C$40:$F$40,F50))*Simulador!$C$9-INDEX(Simulador!$C$69:$F$69,F50)+IF(Simulador!$N$7="Sí",MAX(0,IF(I50="",J50+INDEX(Simulador!$C$40:$F$40,F50),I50)-INDEX(Simulador!$C$41:$F$41,F50))*(INDEX(Simulador!$C$68:$F$68,F50)+Simulador!$N$8)/Simulador!$C$7,0)</f>
        <v>114271.105405405</v>
      </c>
      <c r="T50" s="11" t="n">
        <f aca="false">P50+(IF(I50="",J50+INDEX(Simulador!$C$40:$F$40,F50),I50)-J50-INDEX(Simulador!$C$40:$F$40,F50))*Simulador!$C$9-INDEX(Simulador!$C$69:$F$69,F50)+IF(Simulador!$N$7="Sí",MAX(0,IF(I50="",J50+INDEX(Simulador!$C$40:$F$40,F50),I50)-INDEX(Simulador!$C$41:$F$41,F50))*(INDEX(Simulador!$C$68:$F$68,F50)+Simulador!$N$8)/Simulador!$C$7,0)</f>
        <v>88167.9464864865</v>
      </c>
      <c r="U50" s="2"/>
    </row>
    <row r="51" customFormat="false" ht="15" hidden="false" customHeight="false" outlineLevel="0" collapsed="false">
      <c r="B51" s="44" t="n">
        <v>45935</v>
      </c>
      <c r="C51" s="21" t="s">
        <v>619</v>
      </c>
      <c r="D51" s="45" t="n">
        <v>3.1</v>
      </c>
      <c r="E51" s="21" t="s">
        <v>485</v>
      </c>
      <c r="F51" s="26" t="n">
        <f aca="false">MATCH(E51,{"Misma locación","0.15 - 5 km","5 - 10 km","10+ km"},0)</f>
        <v>2</v>
      </c>
      <c r="G51" s="26" t="n">
        <f aca="false">MONTH(B51)</f>
        <v>10</v>
      </c>
      <c r="H51" s="26" t="n">
        <f aca="false">COUNTIF($G$8:G51,G51)</f>
        <v>2</v>
      </c>
      <c r="I51" s="45" t="n">
        <v>16.75</v>
      </c>
      <c r="J51" s="46" t="n">
        <f aca="false">INDEX(Simulador!$C$39:$F$39,F51)</f>
        <v>18</v>
      </c>
      <c r="K51" s="47" t="n">
        <f aca="false">IF(I51="","",I51-J51)</f>
        <v>-1.25</v>
      </c>
      <c r="L51" s="12" t="n">
        <f aca="false">INDEX(Simulador!$C$51:$F$51,F51)</f>
        <v>99473.8108108108</v>
      </c>
      <c r="M51" s="11" t="n">
        <f aca="false">IF(H51&gt;=Simulador!$C$19,INDEX(Simulador!$C$63:$F$63,F51),INDEX(Simulador!$C$62:$F$62,F51))</f>
        <v>85898.0227027027</v>
      </c>
      <c r="N51" s="11" t="n">
        <f aca="false">INDEX(Simulador!$C$64:$F$64,F51)</f>
        <v>108447.105405405</v>
      </c>
      <c r="O51" s="11" t="n">
        <f aca="false">IF(H51&gt;=Simulador!$C$19,INDEX(Simulador!$C$65:$F$65,F51),INDEX(Simulador!$C$64:$F$64,F51))</f>
        <v>108447.105405405</v>
      </c>
      <c r="P51" s="11" t="n">
        <f aca="false">IF(H51&gt;=Simulador!$C$19,INDEX(Simulador!$C$67:$F$67,F51),INDEX(Simulador!$C$66:$F$66,F51))</f>
        <v>82343.9464864865</v>
      </c>
      <c r="Q51" s="11" t="n">
        <f aca="false">M51+(IF(I51="",J51+INDEX(Simulador!$C$40:$F$40,F51),I51)-J51-INDEX(Simulador!$C$40:$F$40,F51))*Simulador!$C$9-INDEX(Simulador!$C$69:$F$69,F51)+IF(Simulador!$N$7="Sí",MAX(0,IF(I51="",J51+INDEX(Simulador!$C$40:$F$40,F51),I51)-INDEX(Simulador!$C$41:$F$41,F51))*(INDEX(Simulador!$C$68:$F$68,F51)+Simulador!$N$8)/Simulador!$C$7,0)</f>
        <v>84078.0227027027</v>
      </c>
      <c r="R51" s="11" t="n">
        <f aca="false">N51+(IF(I51="",J51+INDEX(Simulador!$C$40:$F$40,F51),I51)-J51-INDEX(Simulador!$C$40:$F$40,F51))*Simulador!$C$9-INDEX(Simulador!$C$69:$F$69,F51)+IF(Simulador!$N$7="Sí",MAX(0,IF(I51="",J51+INDEX(Simulador!$C$40:$F$40,F51),I51)-INDEX(Simulador!$C$41:$F$41,F51))*(INDEX(Simulador!$C$68:$F$68,F51)+Simulador!$N$8)/Simulador!$C$7,0)</f>
        <v>106627.105405405</v>
      </c>
      <c r="S51" s="11" t="n">
        <f aca="false">O51+(IF(I51="",J51+INDEX(Simulador!$C$40:$F$40,F51),I51)-J51-INDEX(Simulador!$C$40:$F$40,F51))*Simulador!$C$9-INDEX(Simulador!$C$69:$F$69,F51)+IF(Simulador!$N$7="Sí",MAX(0,IF(I51="",J51+INDEX(Simulador!$C$40:$F$40,F51),I51)-INDEX(Simulador!$C$41:$F$41,F51))*(INDEX(Simulador!$C$68:$F$68,F51)+Simulador!$N$8)/Simulador!$C$7,0)</f>
        <v>106627.105405405</v>
      </c>
      <c r="T51" s="11" t="n">
        <f aca="false">P51+(IF(I51="",J51+INDEX(Simulador!$C$40:$F$40,F51),I51)-J51-INDEX(Simulador!$C$40:$F$40,F51))*Simulador!$C$9-INDEX(Simulador!$C$69:$F$69,F51)+IF(Simulador!$N$7="Sí",MAX(0,IF(I51="",J51+INDEX(Simulador!$C$40:$F$40,F51),I51)-INDEX(Simulador!$C$41:$F$41,F51))*(INDEX(Simulador!$C$68:$F$68,F51)+Simulador!$N$8)/Simulador!$C$7,0)</f>
        <v>80523.9464864865</v>
      </c>
      <c r="U51" s="2"/>
    </row>
    <row r="52" customFormat="false" ht="15" hidden="false" customHeight="false" outlineLevel="0" collapsed="false">
      <c r="B52" s="44" t="n">
        <v>45943</v>
      </c>
      <c r="C52" s="21" t="s">
        <v>620</v>
      </c>
      <c r="D52" s="45" t="n">
        <v>14.6</v>
      </c>
      <c r="E52" s="21" t="s">
        <v>482</v>
      </c>
      <c r="F52" s="26" t="n">
        <f aca="false">MATCH(E52,{"Misma locación","0.15 - 5 km","5 - 10 km","10+ km"},0)</f>
        <v>4</v>
      </c>
      <c r="G52" s="26" t="n">
        <f aca="false">MONTH(B52)</f>
        <v>10</v>
      </c>
      <c r="H52" s="26" t="n">
        <f aca="false">COUNTIF($G$8:G52,G52)</f>
        <v>3</v>
      </c>
      <c r="I52" s="45" t="n">
        <v>34</v>
      </c>
      <c r="J52" s="46" t="n">
        <f aca="false">INDEX(Simulador!$C$39:$F$39,F52)</f>
        <v>28</v>
      </c>
      <c r="K52" s="47" t="n">
        <f aca="false">IF(I52="","",I52-J52)</f>
        <v>6</v>
      </c>
      <c r="L52" s="12" t="n">
        <f aca="false">INDEX(Simulador!$C$51:$F$51,F52)</f>
        <v>110984.810810811</v>
      </c>
      <c r="M52" s="11" t="n">
        <f aca="false">IF(H52&gt;=Simulador!$C$19,INDEX(Simulador!$C$63:$F$63,F52),INDEX(Simulador!$C$62:$F$62,F52))</f>
        <v>107379.621081081</v>
      </c>
      <c r="N52" s="11" t="n">
        <f aca="false">INDEX(Simulador!$C$64:$F$64,F52)</f>
        <v>152876.358918919</v>
      </c>
      <c r="O52" s="11" t="n">
        <f aca="false">IF(H52&gt;=Simulador!$C$19,INDEX(Simulador!$C$65:$F$65,F52),INDEX(Simulador!$C$64:$F$64,F52))</f>
        <v>152876.358918919</v>
      </c>
      <c r="P52" s="11" t="n">
        <f aca="false">IF(H52&gt;=Simulador!$C$19,INDEX(Simulador!$C$67:$F$67,F52),INDEX(Simulador!$C$66:$F$66,F52))</f>
        <v>109162.595135135</v>
      </c>
      <c r="Q52" s="11" t="n">
        <f aca="false">M52+(IF(I52="",J52+INDEX(Simulador!$C$40:$F$40,F52),I52)-J52-INDEX(Simulador!$C$40:$F$40,F52))*Simulador!$C$9-INDEX(Simulador!$C$69:$F$69,F52)+IF(Simulador!$N$7="Sí",MAX(0,IF(I52="",J52+INDEX(Simulador!$C$40:$F$40,F52),I52)-INDEX(Simulador!$C$41:$F$41,F52))*(INDEX(Simulador!$C$68:$F$68,F52)+Simulador!$N$8)/Simulador!$C$7,0)</f>
        <v>116115.621081081</v>
      </c>
      <c r="R52" s="11" t="n">
        <f aca="false">N52+(IF(I52="",J52+INDEX(Simulador!$C$40:$F$40,F52),I52)-J52-INDEX(Simulador!$C$40:$F$40,F52))*Simulador!$C$9-INDEX(Simulador!$C$69:$F$69,F52)+IF(Simulador!$N$7="Sí",MAX(0,IF(I52="",J52+INDEX(Simulador!$C$40:$F$40,F52),I52)-INDEX(Simulador!$C$41:$F$41,F52))*(INDEX(Simulador!$C$68:$F$68,F52)+Simulador!$N$8)/Simulador!$C$7,0)</f>
        <v>161612.358918919</v>
      </c>
      <c r="S52" s="11" t="n">
        <f aca="false">O52+(IF(I52="",J52+INDEX(Simulador!$C$40:$F$40,F52),I52)-J52-INDEX(Simulador!$C$40:$F$40,F52))*Simulador!$C$9-INDEX(Simulador!$C$69:$F$69,F52)+IF(Simulador!$N$7="Sí",MAX(0,IF(I52="",J52+INDEX(Simulador!$C$40:$F$40,F52),I52)-INDEX(Simulador!$C$41:$F$41,F52))*(INDEX(Simulador!$C$68:$F$68,F52)+Simulador!$N$8)/Simulador!$C$7,0)</f>
        <v>161612.358918919</v>
      </c>
      <c r="T52" s="11" t="n">
        <f aca="false">P52+(IF(I52="",J52+INDEX(Simulador!$C$40:$F$40,F52),I52)-J52-INDEX(Simulador!$C$40:$F$40,F52))*Simulador!$C$9-INDEX(Simulador!$C$69:$F$69,F52)+IF(Simulador!$N$7="Sí",MAX(0,IF(I52="",J52+INDEX(Simulador!$C$40:$F$40,F52),I52)-INDEX(Simulador!$C$41:$F$41,F52))*(INDEX(Simulador!$C$68:$F$68,F52)+Simulador!$N$8)/Simulador!$C$7,0)</f>
        <v>117898.595135135</v>
      </c>
      <c r="U52" s="2"/>
    </row>
    <row r="54" customFormat="false" ht="15" hidden="false" customHeight="false" outlineLevel="0" collapsed="false">
      <c r="B54" s="42" t="s">
        <v>561</v>
      </c>
      <c r="L54" s="30" t="n">
        <f aca="false">SUM(L8:L52)</f>
        <v>4266318.02702703</v>
      </c>
      <c r="M54" s="30" t="n">
        <f aca="false">SUM(M8:M52)</f>
        <v>3617645.42324324</v>
      </c>
      <c r="N54" s="30" t="n">
        <f aca="false">SUM(N8:N52)</f>
        <v>4995502.83810811</v>
      </c>
      <c r="O54" s="30" t="n">
        <f aca="false">SUM(O8:O52)</f>
        <v>4698642.97189189</v>
      </c>
      <c r="P54" s="30" t="n">
        <f aca="false">SUM(P8:P52)</f>
        <v>3651013.20972973</v>
      </c>
      <c r="Q54" s="30" t="n">
        <f aca="false">SUM(Q8:Q52)</f>
        <v>3849322.66648649</v>
      </c>
      <c r="R54" s="30" t="n">
        <f aca="false">SUM(R8:R52)</f>
        <v>5227180.08135135</v>
      </c>
      <c r="S54" s="30" t="n">
        <f aca="false">SUM(S8:S52)</f>
        <v>4930320.21513514</v>
      </c>
      <c r="T54" s="30" t="n">
        <f aca="false">SUM(T8:T52)</f>
        <v>3882690.45297297</v>
      </c>
    </row>
    <row r="57" customFormat="false" ht="15" hidden="false" customHeight="false" outlineLevel="0" collapsed="false">
      <c r="B57" s="42" t="s">
        <v>487</v>
      </c>
    </row>
    <row r="58" customFormat="false" ht="46.25" hidden="false" customHeight="false" outlineLevel="0" collapsed="false">
      <c r="B58" s="41" t="s">
        <v>136</v>
      </c>
      <c r="C58" s="41" t="s">
        <v>137</v>
      </c>
      <c r="D58" s="41" t="s">
        <v>234</v>
      </c>
      <c r="E58" s="41" t="s">
        <v>235</v>
      </c>
      <c r="F58" s="41" t="s">
        <v>236</v>
      </c>
      <c r="G58" s="41" t="s">
        <v>237</v>
      </c>
      <c r="H58" s="41" t="s">
        <v>339</v>
      </c>
      <c r="I58" s="41" t="s">
        <v>340</v>
      </c>
      <c r="J58" s="41" t="s">
        <v>341</v>
      </c>
      <c r="K58" s="41" t="s">
        <v>136</v>
      </c>
      <c r="L58" s="41" t="s">
        <v>471</v>
      </c>
      <c r="M58" s="41" t="s">
        <v>476</v>
      </c>
      <c r="N58" s="41" t="s">
        <v>479</v>
      </c>
      <c r="O58" s="41" t="s">
        <v>477</v>
      </c>
      <c r="P58" s="41" t="s">
        <v>138</v>
      </c>
      <c r="Q58" s="41" t="s">
        <v>139</v>
      </c>
      <c r="R58" s="41" t="s">
        <v>562</v>
      </c>
    </row>
    <row r="59" customFormat="false" ht="15" hidden="false" customHeight="false" outlineLevel="0" collapsed="false">
      <c r="B59" s="26" t="n">
        <v>2</v>
      </c>
      <c r="C59" s="26" t="n">
        <f aca="false">COUNTIF($G$8:$G$52,B59)</f>
        <v>1</v>
      </c>
      <c r="D59" s="26" t="n">
        <f aca="false">COUNTIFS($G$8:$G$52,B59,$F$8:$F$52,1)</f>
        <v>0</v>
      </c>
      <c r="E59" s="26" t="n">
        <f aca="false">COUNTIFS($G$8:$G$52,B59,$F$8:$F$52,2)</f>
        <v>0</v>
      </c>
      <c r="F59" s="26" t="n">
        <f aca="false">COUNTIFS($G$8:$G$52,B59,$F$8:$F$52,3)</f>
        <v>0</v>
      </c>
      <c r="G59" s="26" t="n">
        <f aca="false">COUNTIFS($G$8:$G$52,B59,$F$8:$F$52,4)</f>
        <v>1</v>
      </c>
      <c r="H59" s="11" t="n">
        <f aca="false">IF(C59=0,0,INDEX(Simulador!$E$72:$E$78,MIN(C59,6)+1))</f>
        <v>133751.222162162</v>
      </c>
      <c r="I59" s="11" t="n">
        <f aca="false">IF(C59=0,0,INDEX(Simulador!$F$72:$F$78,MIN(C59,6)+1))</f>
        <v>181054.018378378</v>
      </c>
      <c r="J59" s="11" t="n">
        <f aca="false">IF(AND(C59&gt;0,Simulador!$C$16="Mensual fijo"),Simulador!$C$14/Simulador!$C$7,0)</f>
        <v>16216.2162162162</v>
      </c>
      <c r="K59" s="10" t="s">
        <v>564</v>
      </c>
      <c r="L59" s="11" t="n">
        <f aca="false">SUMIF($G$8:$G$52,B59,$L$8:$L$52)</f>
        <v>110984.810810811</v>
      </c>
      <c r="M59" s="11" t="n">
        <f aca="false">SUMIF($G$8:$G$52,B59,$Q$8:$Q$52)+H59+J59</f>
        <v>336510.951351351</v>
      </c>
      <c r="N59" s="11" t="n">
        <f aca="false">SUMIF($G$8:$G$52,B59,$T$8:$T$52)+I59+J59</f>
        <v>385596.721621622</v>
      </c>
      <c r="O59" s="11" t="n">
        <f aca="false">SUMIF($G$8:$G$52,B59,$R$8:$R$52)+H59+J59</f>
        <v>382007.689189189</v>
      </c>
      <c r="P59" s="11" t="n">
        <f aca="false">L59-M59</f>
        <v>-225526.140540541</v>
      </c>
      <c r="Q59" s="11" t="n">
        <f aca="false">L59-N59</f>
        <v>-274611.910810811</v>
      </c>
      <c r="R59" s="11" t="n">
        <f aca="false">L59-O59</f>
        <v>-271022.878378378</v>
      </c>
    </row>
    <row r="60" customFormat="false" ht="15" hidden="false" customHeight="false" outlineLevel="0" collapsed="false">
      <c r="B60" s="26" t="n">
        <v>3</v>
      </c>
      <c r="C60" s="26" t="n">
        <f aca="false">COUNTIF($G$8:$G$52,B60)</f>
        <v>4</v>
      </c>
      <c r="D60" s="26" t="n">
        <f aca="false">COUNTIFS($G$8:$G$52,B60,$F$8:$F$52,1)</f>
        <v>1</v>
      </c>
      <c r="E60" s="26" t="n">
        <f aca="false">COUNTIFS($G$8:$G$52,B60,$F$8:$F$52,2)</f>
        <v>2</v>
      </c>
      <c r="F60" s="26" t="n">
        <f aca="false">COUNTIFS($G$8:$G$52,B60,$F$8:$F$52,3)</f>
        <v>0</v>
      </c>
      <c r="G60" s="26" t="n">
        <f aca="false">COUNTIFS($G$8:$G$52,B60,$F$8:$F$52,4)</f>
        <v>1</v>
      </c>
      <c r="H60" s="11" t="n">
        <f aca="false">IF(C60=0,0,INDEX(Simulador!$E$72:$E$78,MIN(C60,6)+1))</f>
        <v>56465.2881081081</v>
      </c>
      <c r="I60" s="11" t="n">
        <f aca="false">IF(C60=0,0,INDEX(Simulador!$F$72:$F$78,MIN(C60,6)+1))</f>
        <v>45263.5045945946</v>
      </c>
      <c r="J60" s="11" t="n">
        <f aca="false">IF(AND(C60&gt;0,Simulador!$C$16="Mensual fijo"),Simulador!$C$14/Simulador!$C$7,0)</f>
        <v>16216.2162162162</v>
      </c>
      <c r="K60" s="10" t="s">
        <v>565</v>
      </c>
      <c r="L60" s="11" t="n">
        <f aca="false">SUMIF($G$8:$G$52,B60,$L$8:$L$52)</f>
        <v>385979.837837838</v>
      </c>
      <c r="M60" s="11" t="n">
        <f aca="false">SUMIF($G$8:$G$52,B60,$Q$8:$Q$52)+H60+J60</f>
        <v>448464.026486487</v>
      </c>
      <c r="N60" s="11" t="n">
        <f aca="false">SUMIF($G$8:$G$52,B60,$T$8:$T$52)+I60+J60</f>
        <v>431895.864864865</v>
      </c>
      <c r="O60" s="11" t="n">
        <f aca="false">SUMIF($G$8:$G$52,B60,$R$8:$R$52)+H60+J60</f>
        <v>549323.374054054</v>
      </c>
      <c r="P60" s="11" t="n">
        <f aca="false">L60-M60</f>
        <v>-62484.1886486486</v>
      </c>
      <c r="Q60" s="11" t="n">
        <f aca="false">L60-N60</f>
        <v>-45916.027027027</v>
      </c>
      <c r="R60" s="11" t="n">
        <f aca="false">L60-O60</f>
        <v>-163343.536216216</v>
      </c>
    </row>
    <row r="61" customFormat="false" ht="15" hidden="false" customHeight="false" outlineLevel="0" collapsed="false">
      <c r="B61" s="26" t="n">
        <v>4</v>
      </c>
      <c r="C61" s="26" t="n">
        <f aca="false">COUNTIF($G$8:$G$52,B61)</f>
        <v>7</v>
      </c>
      <c r="D61" s="26" t="n">
        <f aca="false">COUNTIFS($G$8:$G$52,B61,$F$8:$F$52,1)</f>
        <v>3</v>
      </c>
      <c r="E61" s="26" t="n">
        <f aca="false">COUNTIFS($G$8:$G$52,B61,$F$8:$F$52,2)</f>
        <v>2</v>
      </c>
      <c r="F61" s="26" t="n">
        <f aca="false">COUNTIFS($G$8:$G$52,B61,$F$8:$F$52,3)</f>
        <v>2</v>
      </c>
      <c r="G61" s="26" t="n">
        <f aca="false">COUNTIFS($G$8:$G$52,B61,$F$8:$F$52,4)</f>
        <v>0</v>
      </c>
      <c r="H61" s="11" t="n">
        <f aca="false">IF(C61=0,0,INDEX(Simulador!$E$72:$E$78,MIN(C61,6)+1))</f>
        <v>0</v>
      </c>
      <c r="I61" s="11" t="n">
        <f aca="false">IF(C61=0,0,INDEX(Simulador!$F$72:$F$78,MIN(C61,6)+1))</f>
        <v>0</v>
      </c>
      <c r="J61" s="11" t="n">
        <f aca="false">IF(AND(C61&gt;0,Simulador!$C$16="Mensual fijo"),Simulador!$C$14/Simulador!$C$7,0)</f>
        <v>16216.2162162162</v>
      </c>
      <c r="K61" s="10" t="s">
        <v>566</v>
      </c>
      <c r="L61" s="11" t="n">
        <f aca="false">SUMIF($G$8:$G$52,B61,$L$8:$L$52)</f>
        <v>619459.459459459</v>
      </c>
      <c r="M61" s="11" t="n">
        <f aca="false">SUMIF($G$8:$G$52,B61,$Q$8:$Q$52)+H61+J61</f>
        <v>511031.031756757</v>
      </c>
      <c r="N61" s="11" t="n">
        <f aca="false">SUMIF($G$8:$G$52,B61,$T$8:$T$52)+I61+J61</f>
        <v>526354.205405405</v>
      </c>
      <c r="O61" s="11" t="n">
        <f aca="false">SUMIF($G$8:$G$52,B61,$R$8:$R$52)+H61+J61</f>
        <v>711192.252162162</v>
      </c>
      <c r="P61" s="11" t="n">
        <f aca="false">L61-M61</f>
        <v>108428.427702703</v>
      </c>
      <c r="Q61" s="11" t="n">
        <f aca="false">L61-N61</f>
        <v>93105.254054054</v>
      </c>
      <c r="R61" s="11" t="n">
        <f aca="false">L61-O61</f>
        <v>-91732.7927027028</v>
      </c>
    </row>
    <row r="62" customFormat="false" ht="15" hidden="false" customHeight="false" outlineLevel="0" collapsed="false">
      <c r="B62" s="26" t="n">
        <v>5</v>
      </c>
      <c r="C62" s="26" t="n">
        <f aca="false">COUNTIF($G$8:$G$52,B62)</f>
        <v>5</v>
      </c>
      <c r="D62" s="26" t="n">
        <f aca="false">COUNTIFS($G$8:$G$52,B62,$F$8:$F$52,1)</f>
        <v>0</v>
      </c>
      <c r="E62" s="26" t="n">
        <f aca="false">COUNTIFS($G$8:$G$52,B62,$F$8:$F$52,2)</f>
        <v>3</v>
      </c>
      <c r="F62" s="26" t="n">
        <f aca="false">COUNTIFS($G$8:$G$52,B62,$F$8:$F$52,3)</f>
        <v>2</v>
      </c>
      <c r="G62" s="26" t="n">
        <f aca="false">COUNTIFS($G$8:$G$52,B62,$F$8:$F$52,4)</f>
        <v>0</v>
      </c>
      <c r="H62" s="11" t="n">
        <f aca="false">IF(C62=0,0,INDEX(Simulador!$E$72:$E$78,MIN(C62,6)+1))</f>
        <v>40952.5381081081</v>
      </c>
      <c r="I62" s="11" t="n">
        <f aca="false">IF(C62=0,0,INDEX(Simulador!$F$72:$F$78,MIN(C62,6)+1))</f>
        <v>0</v>
      </c>
      <c r="J62" s="11" t="n">
        <f aca="false">IF(AND(C62&gt;0,Simulador!$C$16="Mensual fijo"),Simulador!$C$14/Simulador!$C$7,0)</f>
        <v>16216.2162162162</v>
      </c>
      <c r="K62" s="10" t="s">
        <v>567</v>
      </c>
      <c r="L62" s="11" t="n">
        <f aca="false">SUMIF($G$8:$G$52,B62,$L$8:$L$52)</f>
        <v>490791.054054054</v>
      </c>
      <c r="M62" s="11" t="n">
        <f aca="false">SUMIF($G$8:$G$52,B62,$Q$8:$Q$52)+H62+J62</f>
        <v>574811.307837838</v>
      </c>
      <c r="N62" s="11" t="n">
        <f aca="false">SUMIF($G$8:$G$52,B62,$T$8:$T$52)+I62+J62</f>
        <v>528893.840540541</v>
      </c>
      <c r="O62" s="11" t="n">
        <f aca="false">SUMIF($G$8:$G$52,B62,$R$8:$R$52)+H62+J62</f>
        <v>715532.542972973</v>
      </c>
      <c r="P62" s="11" t="n">
        <f aca="false">L62-M62</f>
        <v>-84020.2537837838</v>
      </c>
      <c r="Q62" s="11" t="n">
        <f aca="false">L62-N62</f>
        <v>-38102.7864864864</v>
      </c>
      <c r="R62" s="11" t="n">
        <f aca="false">L62-O62</f>
        <v>-224741.488918919</v>
      </c>
    </row>
    <row r="63" customFormat="false" ht="15" hidden="false" customHeight="false" outlineLevel="0" collapsed="false">
      <c r="B63" s="26" t="n">
        <v>6</v>
      </c>
      <c r="C63" s="26" t="n">
        <f aca="false">COUNTIF($G$8:$G$52,B63)</f>
        <v>6</v>
      </c>
      <c r="D63" s="26" t="n">
        <f aca="false">COUNTIFS($G$8:$G$52,B63,$F$8:$F$52,1)</f>
        <v>1</v>
      </c>
      <c r="E63" s="26" t="n">
        <f aca="false">COUNTIFS($G$8:$G$52,B63,$F$8:$F$52,2)</f>
        <v>3</v>
      </c>
      <c r="F63" s="26" t="n">
        <f aca="false">COUNTIFS($G$8:$G$52,B63,$F$8:$F$52,3)</f>
        <v>1</v>
      </c>
      <c r="G63" s="26" t="n">
        <f aca="false">COUNTIFS($G$8:$G$52,B63,$F$8:$F$52,4)</f>
        <v>1</v>
      </c>
      <c r="H63" s="11" t="n">
        <f aca="false">IF(C63=0,0,INDEX(Simulador!$E$72:$E$78,MIN(C63,6)+1))</f>
        <v>0</v>
      </c>
      <c r="I63" s="11" t="n">
        <f aca="false">IF(C63=0,0,INDEX(Simulador!$F$72:$F$78,MIN(C63,6)+1))</f>
        <v>0</v>
      </c>
      <c r="J63" s="11" t="n">
        <f aca="false">IF(AND(C63&gt;0,Simulador!$C$16="Mensual fijo"),Simulador!$C$14/Simulador!$C$7,0)</f>
        <v>16216.2162162162</v>
      </c>
      <c r="K63" s="10" t="s">
        <v>568</v>
      </c>
      <c r="L63" s="11" t="n">
        <f aca="false">SUMIF($G$8:$G$52,B63,$L$8:$L$52)</f>
        <v>581638.459459459</v>
      </c>
      <c r="M63" s="11" t="n">
        <f aca="false">SUMIF($G$8:$G$52,B63,$Q$8:$Q$52)+H63+J63</f>
        <v>487132.922972973</v>
      </c>
      <c r="N63" s="11" t="n">
        <f aca="false">SUMIF($G$8:$G$52,B63,$T$8:$T$52)+I63+J63</f>
        <v>491122.333783784</v>
      </c>
      <c r="O63" s="11" t="n">
        <f aca="false">SUMIF($G$8:$G$52,B63,$R$8:$R$52)+H63+J63</f>
        <v>680384.157297297</v>
      </c>
      <c r="P63" s="11" t="n">
        <f aca="false">L63-M63</f>
        <v>94505.5364864864</v>
      </c>
      <c r="Q63" s="11" t="n">
        <f aca="false">L63-N63</f>
        <v>90516.1256756756</v>
      </c>
      <c r="R63" s="11" t="n">
        <f aca="false">L63-O63</f>
        <v>-98745.697837838</v>
      </c>
    </row>
    <row r="64" customFormat="false" ht="15" hidden="false" customHeight="false" outlineLevel="0" collapsed="false">
      <c r="B64" s="26" t="n">
        <v>7</v>
      </c>
      <c r="C64" s="26" t="n">
        <f aca="false">COUNTIF($G$8:$G$52,B64)</f>
        <v>7</v>
      </c>
      <c r="D64" s="26" t="n">
        <f aca="false">COUNTIFS($G$8:$G$52,B64,$F$8:$F$52,1)</f>
        <v>0</v>
      </c>
      <c r="E64" s="26" t="n">
        <f aca="false">COUNTIFS($G$8:$G$52,B64,$F$8:$F$52,2)</f>
        <v>3</v>
      </c>
      <c r="F64" s="26" t="n">
        <f aca="false">COUNTIFS($G$8:$G$52,B64,$F$8:$F$52,3)</f>
        <v>3</v>
      </c>
      <c r="G64" s="26" t="n">
        <f aca="false">COUNTIFS($G$8:$G$52,B64,$F$8:$F$52,4)</f>
        <v>1</v>
      </c>
      <c r="H64" s="11" t="n">
        <f aca="false">IF(C64=0,0,INDEX(Simulador!$E$72:$E$78,MIN(C64,6)+1))</f>
        <v>0</v>
      </c>
      <c r="I64" s="11" t="n">
        <f aca="false">IF(C64=0,0,INDEX(Simulador!$F$72:$F$78,MIN(C64,6)+1))</f>
        <v>0</v>
      </c>
      <c r="J64" s="11" t="n">
        <f aca="false">IF(AND(C64&gt;0,Simulador!$C$16="Mensual fijo"),Simulador!$C$14/Simulador!$C$7,0)</f>
        <v>16216.2162162162</v>
      </c>
      <c r="K64" s="10" t="s">
        <v>569</v>
      </c>
      <c r="L64" s="11" t="n">
        <f aca="false">SUMIF($G$8:$G$52,B64,$L$8:$L$52)</f>
        <v>697960.675675676</v>
      </c>
      <c r="M64" s="11" t="n">
        <f aca="false">SUMIF($G$8:$G$52,B64,$Q$8:$Q$52)+H64+J64</f>
        <v>606480.541351351</v>
      </c>
      <c r="N64" s="11" t="n">
        <f aca="false">SUMIF($G$8:$G$52,B64,$T$8:$T$52)+I64+J64</f>
        <v>615643.732432433</v>
      </c>
      <c r="O64" s="11" t="n">
        <f aca="false">SUMIF($G$8:$G$52,B64,$R$8:$R$52)+H64+J64</f>
        <v>891305.248648649</v>
      </c>
      <c r="P64" s="11" t="n">
        <f aca="false">L64-M64</f>
        <v>91480.1343243244</v>
      </c>
      <c r="Q64" s="11" t="n">
        <f aca="false">L64-N64</f>
        <v>82316.9432432433</v>
      </c>
      <c r="R64" s="11" t="n">
        <f aca="false">L64-O64</f>
        <v>-193344.572972973</v>
      </c>
    </row>
    <row r="65" customFormat="false" ht="15" hidden="false" customHeight="false" outlineLevel="0" collapsed="false">
      <c r="B65" s="26" t="n">
        <v>8</v>
      </c>
      <c r="C65" s="26" t="n">
        <f aca="false">COUNTIF($G$8:$G$52,B65)</f>
        <v>7</v>
      </c>
      <c r="D65" s="26" t="n">
        <f aca="false">COUNTIFS($G$8:$G$52,B65,$F$8:$F$52,1)</f>
        <v>4</v>
      </c>
      <c r="E65" s="26" t="n">
        <f aca="false">COUNTIFS($G$8:$G$52,B65,$F$8:$F$52,2)</f>
        <v>1</v>
      </c>
      <c r="F65" s="26" t="n">
        <f aca="false">COUNTIFS($G$8:$G$52,B65,$F$8:$F$52,3)</f>
        <v>1</v>
      </c>
      <c r="G65" s="26" t="n">
        <f aca="false">COUNTIFS($G$8:$G$52,B65,$F$8:$F$52,4)</f>
        <v>1</v>
      </c>
      <c r="H65" s="11" t="n">
        <f aca="false">IF(C65=0,0,INDEX(Simulador!$E$72:$E$78,MIN(C65,6)+1))</f>
        <v>0</v>
      </c>
      <c r="I65" s="11" t="n">
        <f aca="false">IF(C65=0,0,INDEX(Simulador!$F$72:$F$78,MIN(C65,6)+1))</f>
        <v>0</v>
      </c>
      <c r="J65" s="11" t="n">
        <f aca="false">IF(AND(C65&gt;0,Simulador!$C$16="Mensual fijo"),Simulador!$C$14/Simulador!$C$7,0)</f>
        <v>16216.2162162162</v>
      </c>
      <c r="K65" s="10" t="s">
        <v>570</v>
      </c>
      <c r="L65" s="11" t="n">
        <f aca="false">SUMIF($G$8:$G$52,B65,$L$8:$L$52)</f>
        <v>610833.054054054</v>
      </c>
      <c r="M65" s="11" t="n">
        <f aca="false">SUMIF($G$8:$G$52,B65,$Q$8:$Q$52)+H65+J65</f>
        <v>532038.357972973</v>
      </c>
      <c r="N65" s="11" t="n">
        <f aca="false">SUMIF($G$8:$G$52,B65,$T$8:$T$52)+I65+J65</f>
        <v>549808.732432433</v>
      </c>
      <c r="O65" s="11" t="n">
        <f aca="false">SUMIF($G$8:$G$52,B65,$R$8:$R$52)+H65+J65</f>
        <v>728874.684324324</v>
      </c>
      <c r="P65" s="11" t="n">
        <f aca="false">L65-M65</f>
        <v>78794.6960810811</v>
      </c>
      <c r="Q65" s="11" t="n">
        <f aca="false">L65-N65</f>
        <v>61024.3216216216</v>
      </c>
      <c r="R65" s="11" t="n">
        <f aca="false">L65-O65</f>
        <v>-118041.63027027</v>
      </c>
    </row>
    <row r="66" customFormat="false" ht="15" hidden="false" customHeight="false" outlineLevel="0" collapsed="false">
      <c r="B66" s="26" t="n">
        <v>9</v>
      </c>
      <c r="C66" s="26" t="n">
        <f aca="false">COUNTIF($G$8:$G$52,B66)</f>
        <v>5</v>
      </c>
      <c r="D66" s="26" t="n">
        <f aca="false">COUNTIFS($G$8:$G$52,B66,$F$8:$F$52,1)</f>
        <v>2</v>
      </c>
      <c r="E66" s="26" t="n">
        <f aca="false">COUNTIFS($G$8:$G$52,B66,$F$8:$F$52,2)</f>
        <v>1</v>
      </c>
      <c r="F66" s="26" t="n">
        <f aca="false">COUNTIFS($G$8:$G$52,B66,$F$8:$F$52,3)</f>
        <v>1</v>
      </c>
      <c r="G66" s="26" t="n">
        <f aca="false">COUNTIFS($G$8:$G$52,B66,$F$8:$F$52,4)</f>
        <v>1</v>
      </c>
      <c r="H66" s="11" t="n">
        <f aca="false">IF(C66=0,0,INDEX(Simulador!$E$72:$E$78,MIN(C66,6)+1))</f>
        <v>40952.5381081081</v>
      </c>
      <c r="I66" s="11" t="n">
        <f aca="false">IF(C66=0,0,INDEX(Simulador!$F$72:$F$78,MIN(C66,6)+1))</f>
        <v>0</v>
      </c>
      <c r="J66" s="11" t="n">
        <f aca="false">IF(AND(C66&gt;0,Simulador!$C$16="Mensual fijo"),Simulador!$C$14/Simulador!$C$7,0)</f>
        <v>16216.2162162162</v>
      </c>
      <c r="K66" s="10" t="s">
        <v>571</v>
      </c>
      <c r="L66" s="11" t="n">
        <f aca="false">SUMIF($G$8:$G$52,B66,$L$8:$L$52)</f>
        <v>458738.243243243</v>
      </c>
      <c r="M66" s="11" t="n">
        <f aca="false">SUMIF($G$8:$G$52,B66,$Q$8:$Q$52)+H66+J66</f>
        <v>462789.176486486</v>
      </c>
      <c r="N66" s="11" t="n">
        <f aca="false">SUMIF($G$8:$G$52,B66,$T$8:$T$52)+I66+J66</f>
        <v>422831.786486487</v>
      </c>
      <c r="O66" s="11" t="n">
        <f aca="false">SUMIF($G$8:$G$52,B66,$R$8:$R$52)+H66+J66</f>
        <v>587900.879189189</v>
      </c>
      <c r="P66" s="11" t="n">
        <f aca="false">L66-M66</f>
        <v>-4050.9332432432</v>
      </c>
      <c r="Q66" s="11" t="n">
        <f aca="false">L66-N66</f>
        <v>35906.4567567568</v>
      </c>
      <c r="R66" s="11" t="n">
        <f aca="false">L66-O66</f>
        <v>-129162.635945946</v>
      </c>
    </row>
    <row r="67" customFormat="false" ht="15" hidden="false" customHeight="false" outlineLevel="0" collapsed="false">
      <c r="B67" s="26" t="n">
        <v>10</v>
      </c>
      <c r="C67" s="26" t="n">
        <f aca="false">COUNTIF($G$8:$G$52,B67)</f>
        <v>3</v>
      </c>
      <c r="D67" s="26" t="n">
        <f aca="false">COUNTIFS($G$8:$G$52,B67,$F$8:$F$52,1)</f>
        <v>0</v>
      </c>
      <c r="E67" s="26" t="n">
        <f aca="false">COUNTIFS($G$8:$G$52,B67,$F$8:$F$52,2)</f>
        <v>2</v>
      </c>
      <c r="F67" s="26" t="n">
        <f aca="false">COUNTIFS($G$8:$G$52,B67,$F$8:$F$52,3)</f>
        <v>0</v>
      </c>
      <c r="G67" s="26" t="n">
        <f aca="false">COUNTIFS($G$8:$G$52,B67,$F$8:$F$52,4)</f>
        <v>1</v>
      </c>
      <c r="H67" s="11" t="n">
        <f aca="false">IF(C67=0,0,INDEX(Simulador!$E$72:$E$78,MIN(C67,6)+1))</f>
        <v>69757.6113513514</v>
      </c>
      <c r="I67" s="11" t="n">
        <f aca="false">IF(C67=0,0,INDEX(Simulador!$F$72:$F$78,MIN(C67,6)+1))</f>
        <v>90527.0091891892</v>
      </c>
      <c r="J67" s="11" t="n">
        <f aca="false">IF(AND(C67&gt;0,Simulador!$C$16="Mensual fijo"),Simulador!$C$14/Simulador!$C$7,0)</f>
        <v>16216.2162162162</v>
      </c>
      <c r="K67" s="10" t="s">
        <v>572</v>
      </c>
      <c r="L67" s="11" t="n">
        <f aca="false">SUMIF($G$8:$G$52,B67,$L$8:$L$52)</f>
        <v>309932.432432432</v>
      </c>
      <c r="M67" s="11" t="n">
        <f aca="false">SUMIF($G$8:$G$52,B67,$Q$8:$Q$52)+H67+J67</f>
        <v>377889.494054054</v>
      </c>
      <c r="N67" s="11" t="n">
        <f aca="false">SUMIF($G$8:$G$52,B67,$T$8:$T$52)+I67+J67</f>
        <v>393333.713513514</v>
      </c>
      <c r="O67" s="11" t="n">
        <f aca="false">SUMIF($G$8:$G$52,B67,$R$8:$R$52)+H67+J67</f>
        <v>468484.397297297</v>
      </c>
      <c r="P67" s="11" t="n">
        <f aca="false">L67-M67</f>
        <v>-67957.0616216217</v>
      </c>
      <c r="Q67" s="11" t="n">
        <f aca="false">L67-N67</f>
        <v>-83401.2810810811</v>
      </c>
      <c r="R67" s="11" t="n">
        <f aca="false">L67-O67</f>
        <v>-158551.964864865</v>
      </c>
    </row>
    <row r="68" customFormat="false" ht="15" hidden="false" customHeight="false" outlineLevel="0" collapsed="false">
      <c r="B68" s="42" t="s">
        <v>342</v>
      </c>
      <c r="C68" s="40" t="n">
        <f aca="false">SUM(C59:C67)</f>
        <v>45</v>
      </c>
      <c r="D68" s="40" t="n">
        <f aca="false">SUM(D59:D67)</f>
        <v>11</v>
      </c>
      <c r="E68" s="40" t="n">
        <f aca="false">SUM(E59:E67)</f>
        <v>17</v>
      </c>
      <c r="F68" s="40" t="n">
        <f aca="false">SUM(F59:F67)</f>
        <v>10</v>
      </c>
      <c r="G68" s="40" t="n">
        <f aca="false">SUM(G59:G67)</f>
        <v>7</v>
      </c>
      <c r="H68" s="30" t="n">
        <f aca="false">SUM(H59:H67)</f>
        <v>341879.197837838</v>
      </c>
      <c r="I68" s="30" t="n">
        <f aca="false">SUM(I59:I67)</f>
        <v>316844.532162162</v>
      </c>
      <c r="J68" s="30" t="n">
        <f aca="false">SUM(J59:J67)</f>
        <v>145945.945945946</v>
      </c>
      <c r="L68" s="30" t="n">
        <f aca="false">SUM(L59:L67)</f>
        <v>4266318.02702703</v>
      </c>
      <c r="M68" s="30" t="n">
        <f aca="false">SUM(M59:M67)</f>
        <v>4337147.81027027</v>
      </c>
      <c r="N68" s="30" t="n">
        <f aca="false">SUM(N59:N67)</f>
        <v>4345480.93108108</v>
      </c>
      <c r="O68" s="30" t="n">
        <f aca="false">SUM(O59:O67)</f>
        <v>5715005.22513514</v>
      </c>
      <c r="P68" s="30" t="n">
        <f aca="false">SUM(P59:P67)</f>
        <v>-70829.7832432431</v>
      </c>
      <c r="Q68" s="30" t="n">
        <f aca="false">SUM(Q59:Q67)</f>
        <v>-79162.904054054</v>
      </c>
      <c r="R68" s="30" t="n">
        <f aca="false">SUM(R59:R67)</f>
        <v>-1448687.19810811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4" min="3" style="0" width="16"/>
    <col collapsed="false" customWidth="true" hidden="false" outlineLevel="0" max="5" min="5" style="0" width="12"/>
    <col collapsed="false" customWidth="true" hidden="false" outlineLevel="0" max="6" min="6" style="0" width="52"/>
    <col collapsed="false" customWidth="true" hidden="false" outlineLevel="0" max="7" min="7" style="0" width="20"/>
  </cols>
  <sheetData>
    <row r="1" customFormat="false" ht="17.35" hidden="false" customHeight="false" outlineLevel="0" collapsed="false">
      <c r="B1" s="1" t="s">
        <v>621</v>
      </c>
    </row>
    <row r="2" customFormat="false" ht="15" hidden="false" customHeight="false" outlineLevel="0" collapsed="false">
      <c r="B2" s="2" t="s">
        <v>622</v>
      </c>
    </row>
    <row r="4" customFormat="false" ht="23.85" hidden="false" customHeight="false" outlineLevel="0" collapsed="false">
      <c r="B4" s="5" t="s">
        <v>623</v>
      </c>
      <c r="C4" s="5" t="s">
        <v>624</v>
      </c>
      <c r="D4" s="5" t="s">
        <v>625</v>
      </c>
      <c r="E4" s="5" t="s">
        <v>304</v>
      </c>
      <c r="F4" s="5" t="s">
        <v>626</v>
      </c>
      <c r="G4" s="5" t="s">
        <v>156</v>
      </c>
    </row>
    <row r="5" customFormat="false" ht="15" hidden="false" customHeight="false" outlineLevel="0" collapsed="false">
      <c r="B5" s="6" t="s">
        <v>627</v>
      </c>
      <c r="C5" s="50" t="n">
        <f aca="false">Simulador!C7</f>
        <v>3700</v>
      </c>
      <c r="D5" s="51" t="n">
        <v>3700</v>
      </c>
      <c r="E5" s="6" t="str">
        <f aca="false">IF(ABS(C5-D5)&lt;0.005,"OK","DIFERENCIA")</f>
        <v>OK</v>
      </c>
      <c r="F5" s="6" t="s">
        <v>628</v>
      </c>
      <c r="G5" s="6" t="s">
        <v>165</v>
      </c>
    </row>
    <row r="6" customFormat="false" ht="15" hidden="false" customHeight="false" outlineLevel="0" collapsed="false">
      <c r="B6" s="6" t="s">
        <v>629</v>
      </c>
      <c r="C6" s="50" t="n">
        <f aca="false">Simulador!C8</f>
        <v>34944</v>
      </c>
      <c r="D6" s="51" t="n">
        <v>34944</v>
      </c>
      <c r="E6" s="6" t="str">
        <f aca="false">IF(ABS(C6-D6)&lt;0.005,"OK","DIFERENCIA")</f>
        <v>OK</v>
      </c>
      <c r="F6" s="6" t="s">
        <v>166</v>
      </c>
      <c r="G6" s="6" t="s">
        <v>165</v>
      </c>
    </row>
    <row r="7" customFormat="false" ht="15" hidden="false" customHeight="false" outlineLevel="0" collapsed="false">
      <c r="B7" s="6" t="s">
        <v>630</v>
      </c>
      <c r="C7" s="50" t="n">
        <f aca="false">Simulador!C9</f>
        <v>1456</v>
      </c>
      <c r="D7" s="51" t="n">
        <v>1456</v>
      </c>
      <c r="E7" s="6" t="str">
        <f aca="false">IF(ABS(C7-D7)&lt;0.005,"OK","DIFERENCIA")</f>
        <v>OK</v>
      </c>
      <c r="F7" s="6" t="s">
        <v>631</v>
      </c>
      <c r="G7" s="6" t="s">
        <v>165</v>
      </c>
    </row>
    <row r="8" customFormat="false" ht="15" hidden="false" customHeight="false" outlineLevel="0" collapsed="false">
      <c r="B8" s="6" t="s">
        <v>632</v>
      </c>
      <c r="C8" s="50" t="n">
        <f aca="false">Simulador!C11</f>
        <v>0</v>
      </c>
      <c r="D8" s="51" t="n">
        <v>0</v>
      </c>
      <c r="E8" s="6" t="str">
        <f aca="false">IF(ABS(C8-D8)&lt;0.005,"OK","DIFERENCIA")</f>
        <v>OK</v>
      </c>
      <c r="F8" s="6" t="s">
        <v>633</v>
      </c>
      <c r="G8" s="6" t="s">
        <v>634</v>
      </c>
    </row>
    <row r="9" customFormat="false" ht="15" hidden="false" customHeight="false" outlineLevel="0" collapsed="false">
      <c r="B9" s="6" t="s">
        <v>635</v>
      </c>
      <c r="C9" s="50" t="n">
        <f aca="false">Simulador!C12</f>
        <v>0</v>
      </c>
      <c r="D9" s="51" t="n">
        <v>0</v>
      </c>
      <c r="E9" s="6" t="str">
        <f aca="false">IF(ABS(C9-D9)&lt;0.005,"OK","DIFERENCIA")</f>
        <v>OK</v>
      </c>
      <c r="F9" s="6" t="s">
        <v>182</v>
      </c>
      <c r="G9" s="6" t="s">
        <v>634</v>
      </c>
    </row>
    <row r="10" customFormat="false" ht="23.85" hidden="false" customHeight="false" outlineLevel="0" collapsed="false">
      <c r="B10" s="6" t="s">
        <v>636</v>
      </c>
      <c r="C10" s="50" t="n">
        <f aca="false">Simulador!C14/Simulador!C7/Simulador!C15</f>
        <v>2702.7027027027</v>
      </c>
      <c r="D10" s="51" t="n">
        <v>2702.7027027027</v>
      </c>
      <c r="E10" s="6" t="str">
        <f aca="false">IF(ABS(C10-D10)&lt;0.005,"OK","DIFERENCIA")</f>
        <v>OK</v>
      </c>
      <c r="F10" s="6" t="s">
        <v>192</v>
      </c>
      <c r="G10" s="6" t="s">
        <v>165</v>
      </c>
    </row>
    <row r="11" customFormat="false" ht="15" hidden="false" customHeight="false" outlineLevel="0" collapsed="false">
      <c r="B11" s="6" t="s">
        <v>637</v>
      </c>
      <c r="C11" s="50" t="n">
        <f aca="false">Simulador!C39</f>
        <v>12</v>
      </c>
      <c r="D11" s="51" t="n">
        <v>12</v>
      </c>
      <c r="E11" s="6" t="str">
        <f aca="false">IF(ABS(C11-D11)&lt;0.005,"OK","DIFERENCIA")</f>
        <v>OK</v>
      </c>
      <c r="F11" s="6" t="s">
        <v>638</v>
      </c>
      <c r="G11" s="6" t="s">
        <v>639</v>
      </c>
    </row>
    <row r="12" customFormat="false" ht="15" hidden="false" customHeight="false" outlineLevel="0" collapsed="false">
      <c r="B12" s="6" t="s">
        <v>640</v>
      </c>
      <c r="C12" s="50" t="n">
        <f aca="false">Simulador!D39</f>
        <v>18</v>
      </c>
      <c r="D12" s="51" t="n">
        <v>18</v>
      </c>
      <c r="E12" s="6" t="str">
        <f aca="false">IF(ABS(C12-D12)&lt;0.005,"OK","DIFERENCIA")</f>
        <v>OK</v>
      </c>
      <c r="F12" s="6" t="s">
        <v>641</v>
      </c>
      <c r="G12" s="6" t="s">
        <v>639</v>
      </c>
    </row>
    <row r="13" customFormat="false" ht="15" hidden="false" customHeight="false" outlineLevel="0" collapsed="false">
      <c r="B13" s="6" t="s">
        <v>642</v>
      </c>
      <c r="C13" s="50" t="n">
        <f aca="false">Simulador!E39</f>
        <v>24</v>
      </c>
      <c r="D13" s="51" t="n">
        <v>24</v>
      </c>
      <c r="E13" s="6" t="str">
        <f aca="false">IF(ABS(C13-D13)&lt;0.005,"OK","DIFERENCIA")</f>
        <v>OK</v>
      </c>
      <c r="F13" s="6" t="s">
        <v>643</v>
      </c>
      <c r="G13" s="6" t="s">
        <v>639</v>
      </c>
    </row>
    <row r="14" customFormat="false" ht="15" hidden="false" customHeight="false" outlineLevel="0" collapsed="false">
      <c r="B14" s="6" t="s">
        <v>644</v>
      </c>
      <c r="C14" s="50" t="n">
        <f aca="false">Simulador!F39</f>
        <v>28</v>
      </c>
      <c r="D14" s="51" t="n">
        <v>28</v>
      </c>
      <c r="E14" s="6" t="str">
        <f aca="false">IF(ABS(C14-D14)&lt;0.005,"OK","DIFERENCIA")</f>
        <v>OK</v>
      </c>
      <c r="F14" s="6" t="s">
        <v>645</v>
      </c>
      <c r="G14" s="6" t="s">
        <v>639</v>
      </c>
    </row>
    <row r="15" customFormat="false" ht="15" hidden="false" customHeight="false" outlineLevel="0" collapsed="false">
      <c r="B15" s="6" t="s">
        <v>646</v>
      </c>
      <c r="C15" s="50" t="n">
        <f aca="false">Simulador!C43</f>
        <v>75642</v>
      </c>
      <c r="D15" s="51" t="n">
        <v>75642</v>
      </c>
      <c r="E15" s="6" t="str">
        <f aca="false">IF(ABS(C15-D15)&lt;0.005,"OK","DIFERENCIA")</f>
        <v>OK</v>
      </c>
      <c r="F15" s="6" t="s">
        <v>647</v>
      </c>
      <c r="G15" s="6" t="s">
        <v>634</v>
      </c>
    </row>
    <row r="16" customFormat="false" ht="15" hidden="false" customHeight="false" outlineLevel="0" collapsed="false">
      <c r="B16" s="6" t="s">
        <v>648</v>
      </c>
      <c r="C16" s="50" t="n">
        <f aca="false">Simulador!D43</f>
        <v>98663</v>
      </c>
      <c r="D16" s="51" t="n">
        <v>98663</v>
      </c>
      <c r="E16" s="6" t="str">
        <f aca="false">IF(ABS(C16-D16)&lt;0.005,"OK","DIFERENCIA")</f>
        <v>OK</v>
      </c>
      <c r="F16" s="6" t="s">
        <v>649</v>
      </c>
      <c r="G16" s="6" t="s">
        <v>634</v>
      </c>
    </row>
    <row r="17" customFormat="false" ht="15" hidden="false" customHeight="false" outlineLevel="0" collapsed="false">
      <c r="B17" s="6" t="s">
        <v>650</v>
      </c>
      <c r="C17" s="50" t="n">
        <f aca="false">Simulador!E43</f>
        <v>95374</v>
      </c>
      <c r="D17" s="51" t="n">
        <v>95374</v>
      </c>
      <c r="E17" s="6" t="str">
        <f aca="false">IF(ABS(C17-D17)&lt;0.005,"OK","DIFERENCIA")</f>
        <v>OK</v>
      </c>
      <c r="F17" s="6" t="s">
        <v>651</v>
      </c>
      <c r="G17" s="6" t="s">
        <v>634</v>
      </c>
    </row>
    <row r="18" customFormat="false" ht="15" hidden="false" customHeight="false" outlineLevel="0" collapsed="false">
      <c r="B18" s="6" t="s">
        <v>652</v>
      </c>
      <c r="C18" s="50" t="n">
        <f aca="false">Simulador!F43</f>
        <v>110174</v>
      </c>
      <c r="D18" s="51" t="n">
        <v>110174</v>
      </c>
      <c r="E18" s="6" t="str">
        <f aca="false">IF(ABS(C18-D18)&lt;0.005,"OK","DIFERENCIA")</f>
        <v>OK</v>
      </c>
      <c r="F18" s="6" t="s">
        <v>653</v>
      </c>
      <c r="G18" s="6" t="s">
        <v>634</v>
      </c>
    </row>
    <row r="19" customFormat="false" ht="15" hidden="false" customHeight="false" outlineLevel="0" collapsed="false">
      <c r="B19" s="6" t="s">
        <v>654</v>
      </c>
      <c r="C19" s="50" t="n">
        <f aca="false">Simulador!C44</f>
        <v>140385441</v>
      </c>
      <c r="D19" s="51" t="n">
        <v>140385441</v>
      </c>
      <c r="E19" s="6" t="str">
        <f aca="false">IF(ABS(C19-D19)&lt;0.005,"OK","DIFERENCIA")</f>
        <v>OK</v>
      </c>
      <c r="F19" s="6" t="s">
        <v>655</v>
      </c>
      <c r="G19" s="6" t="s">
        <v>165</v>
      </c>
    </row>
    <row r="20" customFormat="false" ht="15" hidden="false" customHeight="false" outlineLevel="0" collapsed="false">
      <c r="B20" s="6" t="s">
        <v>656</v>
      </c>
      <c r="C20" s="50" t="n">
        <f aca="false">Simulador!C45</f>
        <v>178363885</v>
      </c>
      <c r="D20" s="51" t="n">
        <v>178363885</v>
      </c>
      <c r="E20" s="6" t="str">
        <f aca="false">IF(ABS(C20-D20)&lt;0.005,"OK","DIFERENCIA")</f>
        <v>OK</v>
      </c>
      <c r="F20" s="6" t="s">
        <v>657</v>
      </c>
      <c r="G20" s="6" t="s">
        <v>165</v>
      </c>
    </row>
    <row r="21" customFormat="false" ht="15" hidden="false" customHeight="false" outlineLevel="0" collapsed="false">
      <c r="B21" s="6" t="s">
        <v>658</v>
      </c>
      <c r="C21" s="50" t="n">
        <f aca="false">Simulador!C46</f>
        <v>140233002</v>
      </c>
      <c r="D21" s="51" t="n">
        <v>140233002</v>
      </c>
      <c r="E21" s="6" t="str">
        <f aca="false">IF(ABS(C21-D21)&lt;0.005,"OK","DIFERENCIA")</f>
        <v>OK</v>
      </c>
      <c r="F21" s="6" t="s">
        <v>659</v>
      </c>
      <c r="G21" s="6" t="s">
        <v>165</v>
      </c>
    </row>
    <row r="22" customFormat="false" ht="15" hidden="false" customHeight="false" outlineLevel="0" collapsed="false">
      <c r="B22" s="6" t="s">
        <v>660</v>
      </c>
      <c r="C22" s="50" t="n">
        <f aca="false">Simulador!D44</f>
        <v>220853084</v>
      </c>
      <c r="D22" s="51" t="n">
        <v>220853084</v>
      </c>
      <c r="E22" s="6" t="str">
        <f aca="false">IF(ABS(C22-D22)&lt;0.005,"OK","DIFERENCIA")</f>
        <v>OK</v>
      </c>
      <c r="F22" s="6" t="s">
        <v>661</v>
      </c>
      <c r="G22" s="6" t="s">
        <v>165</v>
      </c>
    </row>
    <row r="23" customFormat="false" ht="15" hidden="false" customHeight="false" outlineLevel="0" collapsed="false">
      <c r="B23" s="6" t="s">
        <v>662</v>
      </c>
      <c r="C23" s="50" t="n">
        <f aca="false">Simulador!D45</f>
        <v>304284690</v>
      </c>
      <c r="D23" s="51" t="n">
        <v>304284690</v>
      </c>
      <c r="E23" s="6" t="str">
        <f aca="false">IF(ABS(C23-D23)&lt;0.005,"OK","DIFERENCIA")</f>
        <v>OK</v>
      </c>
      <c r="F23" s="6" t="s">
        <v>663</v>
      </c>
      <c r="G23" s="6" t="s">
        <v>165</v>
      </c>
    </row>
    <row r="24" customFormat="false" ht="15" hidden="false" customHeight="false" outlineLevel="0" collapsed="false">
      <c r="B24" s="6" t="s">
        <v>664</v>
      </c>
      <c r="C24" s="50" t="n">
        <f aca="false">Simulador!D46</f>
        <v>207703002</v>
      </c>
      <c r="D24" s="51" t="n">
        <v>207703002</v>
      </c>
      <c r="E24" s="6" t="str">
        <f aca="false">IF(ABS(C24-D24)&lt;0.005,"OK","DIFERENCIA")</f>
        <v>OK</v>
      </c>
      <c r="F24" s="6" t="s">
        <v>665</v>
      </c>
      <c r="G24" s="6" t="s">
        <v>165</v>
      </c>
    </row>
    <row r="25" customFormat="false" ht="15" hidden="false" customHeight="false" outlineLevel="0" collapsed="false">
      <c r="B25" s="6" t="s">
        <v>666</v>
      </c>
      <c r="C25" s="50" t="n">
        <f aca="false">Simulador!E44</f>
        <v>238462998</v>
      </c>
      <c r="D25" s="51" t="n">
        <v>238462998</v>
      </c>
      <c r="E25" s="6" t="str">
        <f aca="false">IF(ABS(C25-D25)&lt;0.005,"OK","DIFERENCIA")</f>
        <v>OK</v>
      </c>
      <c r="F25" s="6" t="s">
        <v>667</v>
      </c>
      <c r="G25" s="6" t="s">
        <v>165</v>
      </c>
    </row>
    <row r="26" customFormat="false" ht="15" hidden="false" customHeight="false" outlineLevel="0" collapsed="false">
      <c r="B26" s="6" t="s">
        <v>668</v>
      </c>
      <c r="C26" s="50" t="n">
        <f aca="false">Simulador!E45</f>
        <v>373649874</v>
      </c>
      <c r="D26" s="51" t="n">
        <v>373649874</v>
      </c>
      <c r="E26" s="6" t="str">
        <f aca="false">IF(ABS(C26-D26)&lt;0.005,"OK","DIFERENCIA")</f>
        <v>OK</v>
      </c>
      <c r="F26" s="6" t="s">
        <v>669</v>
      </c>
      <c r="G26" s="6" t="s">
        <v>165</v>
      </c>
    </row>
    <row r="27" customFormat="false" ht="15" hidden="false" customHeight="false" outlineLevel="0" collapsed="false">
      <c r="B27" s="6" t="s">
        <v>670</v>
      </c>
      <c r="C27" s="50" t="n">
        <f aca="false">Simulador!E46</f>
        <v>249003002</v>
      </c>
      <c r="D27" s="51" t="n">
        <v>249003002</v>
      </c>
      <c r="E27" s="6" t="str">
        <f aca="false">IF(ABS(C27-D27)&lt;0.005,"OK","DIFERENCIA")</f>
        <v>OK</v>
      </c>
      <c r="F27" s="6" t="s">
        <v>671</v>
      </c>
      <c r="G27" s="6" t="s">
        <v>165</v>
      </c>
    </row>
    <row r="28" customFormat="false" ht="15" hidden="false" customHeight="false" outlineLevel="0" collapsed="false">
      <c r="B28" s="6" t="s">
        <v>672</v>
      </c>
      <c r="C28" s="50" t="n">
        <f aca="false">Simulador!F44</f>
        <v>246462998</v>
      </c>
      <c r="D28" s="51" t="n">
        <v>246462998</v>
      </c>
      <c r="E28" s="6" t="str">
        <f aca="false">IF(ABS(C28-D28)&lt;0.005,"OK","DIFERENCIA")</f>
        <v>OK</v>
      </c>
      <c r="F28" s="6" t="s">
        <v>673</v>
      </c>
      <c r="G28" s="6" t="s">
        <v>165</v>
      </c>
    </row>
    <row r="29" customFormat="false" ht="15" hidden="false" customHeight="false" outlineLevel="0" collapsed="false">
      <c r="B29" s="6" t="s">
        <v>674</v>
      </c>
      <c r="C29" s="50" t="n">
        <f aca="false">Simulador!F45</f>
        <v>414800928</v>
      </c>
      <c r="D29" s="51" t="n">
        <v>414800928</v>
      </c>
      <c r="E29" s="6" t="str">
        <f aca="false">IF(ABS(C29-D29)&lt;0.005,"OK","DIFERENCIA")</f>
        <v>OK</v>
      </c>
      <c r="F29" s="6" t="s">
        <v>675</v>
      </c>
      <c r="G29" s="6" t="s">
        <v>165</v>
      </c>
    </row>
    <row r="30" customFormat="false" ht="15" hidden="false" customHeight="false" outlineLevel="0" collapsed="false">
      <c r="B30" s="6" t="s">
        <v>676</v>
      </c>
      <c r="C30" s="50" t="n">
        <f aca="false">Simulador!F46</f>
        <v>253060002</v>
      </c>
      <c r="D30" s="51" t="n">
        <v>253060002</v>
      </c>
      <c r="E30" s="6" t="str">
        <f aca="false">IF(ABS(C30-D30)&lt;0.005,"OK","DIFERENCIA")</f>
        <v>OK</v>
      </c>
      <c r="F30" s="6" t="s">
        <v>677</v>
      </c>
      <c r="G30" s="6" t="s">
        <v>165</v>
      </c>
    </row>
    <row r="31" customFormat="false" ht="15" hidden="false" customHeight="false" outlineLevel="0" collapsed="false">
      <c r="B31" s="6" t="s">
        <v>678</v>
      </c>
      <c r="C31" s="50" t="n">
        <f aca="false">Simulador!C21</f>
        <v>375000</v>
      </c>
      <c r="D31" s="51" t="n">
        <v>375000</v>
      </c>
      <c r="E31" s="6" t="str">
        <f aca="false">IF(ABS(C31-D31)&lt;0.005,"OK","DIFERENCIA")</f>
        <v>OK</v>
      </c>
      <c r="F31" s="6" t="s">
        <v>679</v>
      </c>
      <c r="G31" s="6" t="s">
        <v>165</v>
      </c>
    </row>
    <row r="32" customFormat="false" ht="15" hidden="false" customHeight="false" outlineLevel="0" collapsed="false">
      <c r="B32" s="6" t="s">
        <v>680</v>
      </c>
      <c r="C32" s="50" t="n">
        <f aca="false">Simulador!C50</f>
        <v>405.405405405405</v>
      </c>
      <c r="D32" s="51" t="n">
        <v>405.405405405405</v>
      </c>
      <c r="E32" s="6" t="str">
        <f aca="false">IF(ABS(C32-D32)&lt;0.005,"OK","DIFERENCIA")</f>
        <v>OK</v>
      </c>
      <c r="F32" s="6" t="s">
        <v>681</v>
      </c>
      <c r="G32" s="6" t="s">
        <v>170</v>
      </c>
    </row>
    <row r="33" customFormat="false" ht="15" hidden="false" customHeight="false" outlineLevel="0" collapsed="false">
      <c r="B33" s="6" t="s">
        <v>682</v>
      </c>
      <c r="C33" s="50" t="n">
        <f aca="false">Simulador!D50</f>
        <v>810.810810810811</v>
      </c>
      <c r="D33" s="51" t="n">
        <v>810.810810810811</v>
      </c>
      <c r="E33" s="6" t="str">
        <f aca="false">IF(ABS(C33-D33)&lt;0.005,"OK","DIFERENCIA")</f>
        <v>OK</v>
      </c>
      <c r="F33" s="6" t="s">
        <v>683</v>
      </c>
      <c r="G33" s="6" t="s">
        <v>170</v>
      </c>
    </row>
    <row r="34" customFormat="false" ht="23.85" hidden="false" customHeight="false" outlineLevel="0" collapsed="false">
      <c r="B34" s="6" t="s">
        <v>684</v>
      </c>
      <c r="C34" s="50" t="n">
        <f aca="false">Simulador!C62-Simulador!C69+IF(Simulador!$C$16="Mensual fijo",Simulador!$C$14/Simulador!$C$7/Simulador!$C$15,0)</f>
        <v>58116.7137837838</v>
      </c>
      <c r="D34" s="51" t="n">
        <v>58116.7137837838</v>
      </c>
      <c r="E34" s="6" t="str">
        <f aca="false">IF(ABS(C34-D34)&lt;0.005,"OK","DIFERENCIA")</f>
        <v>OK</v>
      </c>
      <c r="F34" s="6" t="s">
        <v>685</v>
      </c>
      <c r="G34" s="6" t="s">
        <v>304</v>
      </c>
    </row>
    <row r="35" customFormat="false" ht="23.85" hidden="false" customHeight="false" outlineLevel="0" collapsed="false">
      <c r="B35" s="6" t="s">
        <v>686</v>
      </c>
      <c r="C35" s="50" t="n">
        <f aca="false">Simulador!D62-Simulador!D69+IF(Simulador!$C$16="Mensual fijo",Simulador!$C$14/Simulador!$C$7/Simulador!$C$15,0)</f>
        <v>88600.7254054054</v>
      </c>
      <c r="D35" s="51" t="n">
        <v>88600.7254054054</v>
      </c>
      <c r="E35" s="6" t="str">
        <f aca="false">IF(ABS(C35-D35)&lt;0.005,"OK","DIFERENCIA")</f>
        <v>OK</v>
      </c>
      <c r="F35" s="6" t="s">
        <v>687</v>
      </c>
      <c r="G35" s="6" t="s">
        <v>304</v>
      </c>
    </row>
    <row r="36" customFormat="false" ht="23.85" hidden="false" customHeight="false" outlineLevel="0" collapsed="false">
      <c r="B36" s="6" t="s">
        <v>688</v>
      </c>
      <c r="C36" s="50" t="n">
        <f aca="false">Simulador!E62-Simulador!E69+IF(Simulador!$C$16="Mensual fijo",Simulador!$C$14/Simulador!$C$7/Simulador!$C$15,0)</f>
        <v>102096.161621622</v>
      </c>
      <c r="D36" s="51" t="n">
        <v>102096.161621622</v>
      </c>
      <c r="E36" s="6" t="str">
        <f aca="false">IF(ABS(C36-D36)&lt;0.005,"OK","DIFERENCIA")</f>
        <v>OK</v>
      </c>
      <c r="F36" s="6" t="s">
        <v>689</v>
      </c>
      <c r="G36" s="6" t="s">
        <v>304</v>
      </c>
    </row>
    <row r="37" customFormat="false" ht="23.85" hidden="false" customHeight="false" outlineLevel="0" collapsed="false">
      <c r="B37" s="6" t="s">
        <v>690</v>
      </c>
      <c r="C37" s="50" t="n">
        <f aca="false">Simulador!F62-Simulador!F69+IF(Simulador!$C$16="Mensual fijo",Simulador!$C$14/Simulador!$C$7/Simulador!$C$15,0)</f>
        <v>110082.323783784</v>
      </c>
      <c r="D37" s="51" t="n">
        <v>110082.323783784</v>
      </c>
      <c r="E37" s="6" t="str">
        <f aca="false">IF(ABS(C37-D37)&lt;0.005,"OK","DIFERENCIA")</f>
        <v>OK</v>
      </c>
      <c r="F37" s="6" t="s">
        <v>691</v>
      </c>
      <c r="G37" s="6" t="s">
        <v>304</v>
      </c>
    </row>
    <row r="38" customFormat="false" ht="23.85" hidden="false" customHeight="false" outlineLevel="0" collapsed="false">
      <c r="B38" s="6" t="s">
        <v>692</v>
      </c>
      <c r="C38" s="50" t="n">
        <f aca="false">Simulador!C64-Simulador!C69+IF(Simulador!$C$16="Mensual fijo",Simulador!$C$14/Simulador!$C$7/Simulador!$C$15,0)</f>
        <v>68381.1581081081</v>
      </c>
      <c r="D38" s="51" t="n">
        <v>68381.1581081081</v>
      </c>
      <c r="E38" s="6" t="str">
        <f aca="false">IF(ABS(C38-D38)&lt;0.005,"OK","DIFERENCIA")</f>
        <v>OK</v>
      </c>
      <c r="F38" s="6" t="s">
        <v>693</v>
      </c>
      <c r="G38" s="6" t="s">
        <v>304</v>
      </c>
    </row>
    <row r="39" customFormat="false" ht="23.85" hidden="false" customHeight="false" outlineLevel="0" collapsed="false">
      <c r="B39" s="6" t="s">
        <v>694</v>
      </c>
      <c r="C39" s="50" t="n">
        <f aca="false">Simulador!D64-Simulador!D69+IF(Simulador!$C$16="Mensual fijo",Simulador!$C$14/Simulador!$C$7/Simulador!$C$15,0)</f>
        <v>111149.808108108</v>
      </c>
      <c r="D39" s="51" t="n">
        <v>111149.808108108</v>
      </c>
      <c r="E39" s="6" t="str">
        <f aca="false">IF(ABS(C39-D39)&lt;0.005,"OK","DIFERENCIA")</f>
        <v>OK</v>
      </c>
      <c r="F39" s="6" t="s">
        <v>695</v>
      </c>
      <c r="G39" s="6" t="s">
        <v>304</v>
      </c>
    </row>
    <row r="40" customFormat="false" ht="23.85" hidden="false" customHeight="false" outlineLevel="0" collapsed="false">
      <c r="B40" s="6" t="s">
        <v>696</v>
      </c>
      <c r="C40" s="50" t="n">
        <f aca="false">Simulador!E64-Simulador!E69+IF(Simulador!$C$16="Mensual fijo",Simulador!$C$14/Simulador!$C$7/Simulador!$C$15,0)</f>
        <v>138633.155135135</v>
      </c>
      <c r="D40" s="51" t="n">
        <v>138633.155135135</v>
      </c>
      <c r="E40" s="6" t="str">
        <f aca="false">IF(ABS(C40-D40)&lt;0.005,"OK","DIFERENCIA")</f>
        <v>OK</v>
      </c>
      <c r="F40" s="6" t="s">
        <v>697</v>
      </c>
      <c r="G40" s="6" t="s">
        <v>304</v>
      </c>
    </row>
    <row r="41" customFormat="false" ht="23.85" hidden="false" customHeight="false" outlineLevel="0" collapsed="false">
      <c r="B41" s="6" t="s">
        <v>698</v>
      </c>
      <c r="C41" s="50" t="n">
        <f aca="false">Simulador!F64-Simulador!F69+IF(Simulador!$C$16="Mensual fijo",Simulador!$C$14/Simulador!$C$7/Simulador!$C$15,0)</f>
        <v>155579.061621622</v>
      </c>
      <c r="D41" s="51" t="n">
        <v>155579.061621622</v>
      </c>
      <c r="E41" s="6" t="str">
        <f aca="false">IF(ABS(C41-D41)&lt;0.005,"OK","DIFERENCIA")</f>
        <v>OK</v>
      </c>
      <c r="F41" s="6" t="s">
        <v>699</v>
      </c>
      <c r="G41" s="6" t="s">
        <v>304</v>
      </c>
    </row>
    <row r="42" customFormat="false" ht="23.85" hidden="false" customHeight="false" outlineLevel="0" collapsed="false">
      <c r="B42" s="6" t="s">
        <v>700</v>
      </c>
      <c r="C42" s="50" t="n">
        <f aca="false">Simulador!C66-Simulador!C69+IF(Simulador!$C$16="Mensual fijo",Simulador!$C$14/Simulador!$C$7/Simulador!$C$15,0)</f>
        <v>58075.5140540541</v>
      </c>
      <c r="D42" s="51" t="n">
        <v>58075.5140540541</v>
      </c>
      <c r="E42" s="6" t="str">
        <f aca="false">IF(ABS(C42-D42)&lt;0.005,"OK","DIFERENCIA")</f>
        <v>OK</v>
      </c>
      <c r="F42" s="6" t="s">
        <v>701</v>
      </c>
      <c r="G42" s="6" t="s">
        <v>304</v>
      </c>
    </row>
    <row r="43" customFormat="false" ht="23.85" hidden="false" customHeight="false" outlineLevel="0" collapsed="false">
      <c r="B43" s="6" t="s">
        <v>702</v>
      </c>
      <c r="C43" s="50" t="n">
        <f aca="false">Simulador!D66-Simulador!D69+IF(Simulador!$C$16="Mensual fijo",Simulador!$C$14/Simulador!$C$7/Simulador!$C$15,0)</f>
        <v>85046.6491891892</v>
      </c>
      <c r="D43" s="51" t="n">
        <v>85046.6491891892</v>
      </c>
      <c r="E43" s="6" t="str">
        <f aca="false">IF(ABS(C43-D43)&lt;0.005,"OK","DIFERENCIA")</f>
        <v>OK</v>
      </c>
      <c r="F43" s="6" t="s">
        <v>703</v>
      </c>
      <c r="G43" s="6" t="s">
        <v>304</v>
      </c>
    </row>
    <row r="44" customFormat="false" ht="23.85" hidden="false" customHeight="false" outlineLevel="0" collapsed="false">
      <c r="B44" s="6" t="s">
        <v>704</v>
      </c>
      <c r="C44" s="50" t="n">
        <f aca="false">Simulador!E66-Simulador!E69+IF(Simulador!$C$16="Mensual fijo",Simulador!$C$14/Simulador!$C$7/Simulador!$C$15,0)</f>
        <v>104944.811351351</v>
      </c>
      <c r="D44" s="51" t="n">
        <v>104944.811351351</v>
      </c>
      <c r="E44" s="6" t="str">
        <f aca="false">IF(ABS(C44-D44)&lt;0.005,"OK","DIFERENCIA")</f>
        <v>OK</v>
      </c>
      <c r="F44" s="6" t="s">
        <v>705</v>
      </c>
      <c r="G44" s="6" t="s">
        <v>304</v>
      </c>
    </row>
    <row r="45" customFormat="false" ht="23.85" hidden="false" customHeight="false" outlineLevel="0" collapsed="false">
      <c r="B45" s="6" t="s">
        <v>706</v>
      </c>
      <c r="C45" s="50" t="n">
        <f aca="false">Simulador!F66-Simulador!F69+IF(Simulador!$C$16="Mensual fijo",Simulador!$C$14/Simulador!$C$7/Simulador!$C$15,0)</f>
        <v>111865.297837838</v>
      </c>
      <c r="D45" s="51" t="n">
        <v>111865.297837838</v>
      </c>
      <c r="E45" s="6" t="str">
        <f aca="false">IF(ABS(C45-D45)&lt;0.005,"OK","DIFERENCIA")</f>
        <v>OK</v>
      </c>
      <c r="F45" s="6" t="s">
        <v>707</v>
      </c>
      <c r="G45" s="6" t="s">
        <v>304</v>
      </c>
    </row>
    <row r="46" customFormat="false" ht="15" hidden="false" customHeight="false" outlineLevel="0" collapsed="false">
      <c r="B46" s="6" t="s">
        <v>708</v>
      </c>
      <c r="C46" s="50" t="n">
        <f aca="false">Simulador!C83</f>
        <v>3130187.2972973</v>
      </c>
      <c r="D46" s="51" t="n">
        <v>3130187.2972973</v>
      </c>
      <c r="E46" s="6" t="str">
        <f aca="false">IF(ABS(C46-D46)&lt;0.005,"OK","DIFERENCIA")</f>
        <v>OK</v>
      </c>
      <c r="F46" s="6" t="s">
        <v>709</v>
      </c>
      <c r="G46" s="6" t="s">
        <v>304</v>
      </c>
    </row>
    <row r="48" customFormat="false" ht="15" hidden="false" customHeight="false" outlineLevel="0" collapsed="false">
      <c r="B48" s="2" t="s">
        <v>710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30"/>
    <col collapsed="false" customWidth="true" hidden="false" outlineLevel="0" max="4" min="4" style="0" width="60"/>
  </cols>
  <sheetData>
    <row r="1" customFormat="false" ht="17.35" hidden="false" customHeight="false" outlineLevel="0" collapsed="false">
      <c r="B1" s="1" t="s">
        <v>711</v>
      </c>
    </row>
    <row r="2" customFormat="false" ht="15" hidden="false" customHeight="false" outlineLevel="0" collapsed="false">
      <c r="B2" s="2" t="s">
        <v>712</v>
      </c>
    </row>
    <row r="4" customFormat="false" ht="15" hidden="false" customHeight="false" outlineLevel="0" collapsed="false">
      <c r="B4" s="5" t="s">
        <v>713</v>
      </c>
      <c r="C4" s="5" t="s">
        <v>7</v>
      </c>
      <c r="D4" s="5" t="s">
        <v>37</v>
      </c>
    </row>
    <row r="5" customFormat="false" ht="27.75" hidden="false" customHeight="true" outlineLevel="0" collapsed="false">
      <c r="B5" s="6" t="s">
        <v>714</v>
      </c>
      <c r="C5" s="6" t="s">
        <v>715</v>
      </c>
      <c r="D5" s="6" t="s">
        <v>716</v>
      </c>
    </row>
    <row r="6" customFormat="false" ht="27.75" hidden="false" customHeight="true" outlineLevel="0" collapsed="false">
      <c r="B6" s="6" t="s">
        <v>717</v>
      </c>
      <c r="C6" s="6" t="s">
        <v>718</v>
      </c>
      <c r="D6" s="6" t="s">
        <v>719</v>
      </c>
    </row>
    <row r="7" customFormat="false" ht="27.75" hidden="false" customHeight="true" outlineLevel="0" collapsed="false">
      <c r="B7" s="6" t="s">
        <v>720</v>
      </c>
      <c r="C7" s="6" t="s">
        <v>721</v>
      </c>
      <c r="D7" s="6"/>
    </row>
    <row r="8" customFormat="false" ht="27.75" hidden="false" customHeight="true" outlineLevel="0" collapsed="false">
      <c r="B8" s="6" t="s">
        <v>722</v>
      </c>
      <c r="C8" s="6" t="s">
        <v>723</v>
      </c>
      <c r="D8" s="6"/>
    </row>
    <row r="9" customFormat="false" ht="27.75" hidden="false" customHeight="true" outlineLevel="0" collapsed="false">
      <c r="B9" s="6" t="s">
        <v>724</v>
      </c>
      <c r="C9" s="6" t="s">
        <v>203</v>
      </c>
      <c r="D9" s="6"/>
    </row>
    <row r="10" customFormat="false" ht="27.75" hidden="false" customHeight="true" outlineLevel="0" collapsed="false">
      <c r="B10" s="6" t="s">
        <v>725</v>
      </c>
      <c r="C10" s="6" t="s">
        <v>679</v>
      </c>
      <c r="D10" s="6"/>
    </row>
    <row r="11" customFormat="false" ht="27.75" hidden="false" customHeight="true" outlineLevel="0" collapsed="false">
      <c r="B11" s="6" t="s">
        <v>726</v>
      </c>
      <c r="C11" s="6" t="s">
        <v>727</v>
      </c>
      <c r="D11" s="6" t="s">
        <v>728</v>
      </c>
    </row>
    <row r="12" customFormat="false" ht="27.75" hidden="false" customHeight="true" outlineLevel="0" collapsed="false">
      <c r="B12" s="6" t="s">
        <v>729</v>
      </c>
      <c r="C12" s="6" t="s">
        <v>730</v>
      </c>
      <c r="D12" s="6"/>
    </row>
    <row r="13" customFormat="false" ht="27.75" hidden="false" customHeight="true" outlineLevel="0" collapsed="false">
      <c r="B13" s="6" t="s">
        <v>731</v>
      </c>
      <c r="C13" s="6" t="s">
        <v>732</v>
      </c>
      <c r="D13" s="6" t="s">
        <v>733</v>
      </c>
    </row>
    <row r="14" customFormat="false" ht="27.75" hidden="false" customHeight="true" outlineLevel="0" collapsed="false">
      <c r="B14" s="6" t="s">
        <v>734</v>
      </c>
      <c r="C14" s="6" t="s">
        <v>735</v>
      </c>
      <c r="D14" s="6" t="s">
        <v>736</v>
      </c>
    </row>
    <row r="15" customFormat="false" ht="27.75" hidden="false" customHeight="true" outlineLevel="0" collapsed="false">
      <c r="B15" s="6" t="s">
        <v>737</v>
      </c>
      <c r="C15" s="6" t="s">
        <v>738</v>
      </c>
      <c r="D15" s="6" t="s">
        <v>739</v>
      </c>
    </row>
    <row r="18" customFormat="false" ht="15" hidden="false" customHeight="false" outlineLevel="0" collapsed="false">
      <c r="B18" s="5" t="s">
        <v>740</v>
      </c>
      <c r="C18" s="5" t="s">
        <v>741</v>
      </c>
      <c r="D18" s="5" t="s">
        <v>37</v>
      </c>
    </row>
    <row r="19" customFormat="false" ht="27.75" hidden="false" customHeight="true" outlineLevel="0" collapsed="false">
      <c r="B19" s="6" t="s">
        <v>742</v>
      </c>
      <c r="C19" s="6" t="s">
        <v>159</v>
      </c>
      <c r="D19" s="6" t="s">
        <v>743</v>
      </c>
    </row>
    <row r="20" customFormat="false" ht="27.75" hidden="false" customHeight="true" outlineLevel="0" collapsed="false">
      <c r="B20" s="6" t="s">
        <v>744</v>
      </c>
      <c r="C20" s="6" t="s">
        <v>159</v>
      </c>
      <c r="D20" s="6" t="s">
        <v>745</v>
      </c>
    </row>
    <row r="21" customFormat="false" ht="27.75" hidden="false" customHeight="true" outlineLevel="0" collapsed="false">
      <c r="B21" s="6" t="s">
        <v>746</v>
      </c>
      <c r="C21" s="6" t="s">
        <v>747</v>
      </c>
      <c r="D21" s="6" t="s">
        <v>748</v>
      </c>
    </row>
    <row r="22" customFormat="false" ht="27.75" hidden="false" customHeight="true" outlineLevel="0" collapsed="false">
      <c r="B22" s="6" t="s">
        <v>749</v>
      </c>
      <c r="C22" s="6" t="s">
        <v>159</v>
      </c>
      <c r="D22" s="6" t="s">
        <v>750</v>
      </c>
    </row>
    <row r="23" customFormat="false" ht="27.75" hidden="false" customHeight="true" outlineLevel="0" collapsed="false">
      <c r="B23" s="6" t="s">
        <v>751</v>
      </c>
      <c r="C23" s="6" t="s">
        <v>159</v>
      </c>
      <c r="D23" s="6" t="s">
        <v>752</v>
      </c>
    </row>
    <row r="24" customFormat="false" ht="27.75" hidden="false" customHeight="true" outlineLevel="0" collapsed="false">
      <c r="B24" s="6" t="s">
        <v>753</v>
      </c>
      <c r="C24" s="6" t="s">
        <v>159</v>
      </c>
      <c r="D24" s="6" t="s">
        <v>754</v>
      </c>
    </row>
    <row r="25" customFormat="false" ht="27.75" hidden="false" customHeight="true" outlineLevel="0" collapsed="false">
      <c r="B25" s="6" t="s">
        <v>755</v>
      </c>
      <c r="C25" s="6" t="s">
        <v>159</v>
      </c>
      <c r="D25" s="6" t="s">
        <v>756</v>
      </c>
    </row>
    <row r="26" customFormat="false" ht="27.75" hidden="false" customHeight="true" outlineLevel="0" collapsed="false">
      <c r="B26" s="6" t="s">
        <v>757</v>
      </c>
      <c r="C26" s="6" t="s">
        <v>242</v>
      </c>
      <c r="D26" s="6" t="s">
        <v>758</v>
      </c>
    </row>
    <row r="27" customFormat="false" ht="27.75" hidden="false" customHeight="true" outlineLevel="0" collapsed="false">
      <c r="B27" s="6" t="s">
        <v>759</v>
      </c>
      <c r="C27" s="6" t="s">
        <v>159</v>
      </c>
      <c r="D27" s="6" t="s">
        <v>760</v>
      </c>
    </row>
    <row r="28" customFormat="false" ht="27.75" hidden="false" customHeight="true" outlineLevel="0" collapsed="false">
      <c r="B28" s="6" t="s">
        <v>761</v>
      </c>
      <c r="C28" s="6" t="s">
        <v>762</v>
      </c>
      <c r="D28" s="6" t="s">
        <v>763</v>
      </c>
    </row>
    <row r="29" customFormat="false" ht="27.75" hidden="false" customHeight="true" outlineLevel="0" collapsed="false">
      <c r="B29" s="6" t="s">
        <v>764</v>
      </c>
      <c r="C29" s="6" t="s">
        <v>765</v>
      </c>
      <c r="D29" s="6" t="s">
        <v>766</v>
      </c>
    </row>
    <row r="30" customFormat="false" ht="27.75" hidden="false" customHeight="true" outlineLevel="0" collapsed="false">
      <c r="B30" s="6" t="s">
        <v>767</v>
      </c>
      <c r="C30" s="6" t="s">
        <v>159</v>
      </c>
      <c r="D30" s="6" t="s">
        <v>768</v>
      </c>
    </row>
    <row r="31" customFormat="false" ht="27.75" hidden="false" customHeight="true" outlineLevel="0" collapsed="false">
      <c r="B31" s="6" t="s">
        <v>769</v>
      </c>
      <c r="C31" s="6" t="s">
        <v>242</v>
      </c>
      <c r="D31" s="6" t="s">
        <v>770</v>
      </c>
    </row>
    <row r="32" customFormat="false" ht="27.75" hidden="false" customHeight="true" outlineLevel="0" collapsed="false">
      <c r="B32" s="6" t="s">
        <v>771</v>
      </c>
      <c r="C32" s="6" t="s">
        <v>242</v>
      </c>
      <c r="D32" s="6" t="s">
        <v>772</v>
      </c>
    </row>
    <row r="33" customFormat="false" ht="27.75" hidden="false" customHeight="true" outlineLevel="0" collapsed="false">
      <c r="B33" s="6" t="s">
        <v>773</v>
      </c>
      <c r="C33" s="6" t="s">
        <v>239</v>
      </c>
      <c r="D33" s="6" t="s">
        <v>774</v>
      </c>
    </row>
    <row r="34" customFormat="false" ht="27.75" hidden="false" customHeight="true" outlineLevel="0" collapsed="false">
      <c r="B34" s="6" t="s">
        <v>775</v>
      </c>
      <c r="C34" s="6" t="s">
        <v>214</v>
      </c>
      <c r="D34" s="6" t="s">
        <v>776</v>
      </c>
    </row>
    <row r="35" customFormat="false" ht="27.75" hidden="false" customHeight="true" outlineLevel="0" collapsed="false">
      <c r="B35" s="6" t="s">
        <v>777</v>
      </c>
      <c r="C35" s="6" t="s">
        <v>159</v>
      </c>
      <c r="D35" s="6" t="s">
        <v>778</v>
      </c>
    </row>
    <row r="36" customFormat="false" ht="27.75" hidden="false" customHeight="true" outlineLevel="0" collapsed="false">
      <c r="B36" s="6" t="s">
        <v>779</v>
      </c>
      <c r="C36" s="6" t="s">
        <v>242</v>
      </c>
      <c r="D36" s="6" t="s">
        <v>780</v>
      </c>
    </row>
    <row r="37" customFormat="false" ht="27.75" hidden="false" customHeight="true" outlineLevel="0" collapsed="false">
      <c r="B37" s="6" t="s">
        <v>781</v>
      </c>
      <c r="C37" s="6" t="s">
        <v>159</v>
      </c>
      <c r="D37" s="6"/>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1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8"/>
    <col collapsed="false" customWidth="true" hidden="false" outlineLevel="0" max="4" min="4" style="0" width="22"/>
    <col collapsed="false" customWidth="true" hidden="false" outlineLevel="0" max="5" min="5" style="0" width="26"/>
    <col collapsed="false" customWidth="true" hidden="false" outlineLevel="0" max="6" min="6" style="0" width="16"/>
    <col collapsed="false" customWidth="true" hidden="false" outlineLevel="0" max="7" min="7" style="0" width="26"/>
    <col collapsed="false" customWidth="true" hidden="false" outlineLevel="0" max="10" min="8" style="0" width="16"/>
  </cols>
  <sheetData>
    <row r="1" customFormat="false" ht="17.35" hidden="false" customHeight="false" outlineLevel="0" collapsed="false">
      <c r="B1" s="1" t="s">
        <v>782</v>
      </c>
    </row>
    <row r="2" customFormat="false" ht="15" hidden="false" customHeight="false" outlineLevel="0" collapsed="false">
      <c r="B2" s="2" t="s">
        <v>783</v>
      </c>
    </row>
    <row r="4" customFormat="false" ht="15" hidden="false" customHeight="false" outlineLevel="0" collapsed="false">
      <c r="B4" s="3" t="s">
        <v>784</v>
      </c>
      <c r="C4" s="3"/>
      <c r="D4" s="3"/>
      <c r="E4" s="3"/>
      <c r="F4" s="3"/>
      <c r="G4" s="3"/>
      <c r="H4" s="3"/>
      <c r="I4" s="3"/>
    </row>
    <row r="5" customFormat="false" ht="35.05" hidden="false" customHeight="false" outlineLevel="0" collapsed="false">
      <c r="B5" s="5" t="s">
        <v>110</v>
      </c>
      <c r="C5" s="5" t="s">
        <v>785</v>
      </c>
      <c r="D5" s="5" t="s">
        <v>786</v>
      </c>
      <c r="E5" s="5" t="s">
        <v>787</v>
      </c>
      <c r="F5" s="5" t="s">
        <v>788</v>
      </c>
      <c r="G5" s="5" t="s">
        <v>789</v>
      </c>
      <c r="H5" s="5" t="s">
        <v>790</v>
      </c>
    </row>
    <row r="6" customFormat="false" ht="18" hidden="false" customHeight="true" outlineLevel="0" collapsed="false">
      <c r="B6" s="6" t="s">
        <v>114</v>
      </c>
      <c r="C6" s="7" t="n">
        <v>-135092.51921922</v>
      </c>
      <c r="D6" s="7" t="n">
        <v>-740040.838138139</v>
      </c>
      <c r="E6" s="7" t="n">
        <v>5451.87132131867</v>
      </c>
      <c r="F6" s="7" t="n">
        <v>-309812.519219219</v>
      </c>
      <c r="G6" s="7" t="n">
        <v>-914760.838138139</v>
      </c>
      <c r="H6" s="7" t="n">
        <v>-169268.128678682</v>
      </c>
    </row>
    <row r="7" customFormat="false" ht="18" hidden="false" customHeight="true" outlineLevel="0" collapsed="false">
      <c r="B7" s="6" t="s">
        <v>115</v>
      </c>
      <c r="C7" s="7" t="n">
        <v>-2580.4416516521</v>
      </c>
      <c r="D7" s="7" t="n">
        <v>-607528.760570571</v>
      </c>
      <c r="E7" s="7" t="n">
        <v>247985.610510509</v>
      </c>
      <c r="F7" s="7" t="n">
        <v>-177300.441651652</v>
      </c>
      <c r="G7" s="7" t="n">
        <v>-782248.760570572</v>
      </c>
      <c r="H7" s="7" t="n">
        <v>73265.6105105081</v>
      </c>
    </row>
    <row r="8" customFormat="false" ht="18" hidden="false" customHeight="true" outlineLevel="0" collapsed="false">
      <c r="B8" s="6" t="s">
        <v>116</v>
      </c>
      <c r="C8" s="7" t="n">
        <v>132152.062672672</v>
      </c>
      <c r="D8" s="7" t="n">
        <v>-472796.256246247</v>
      </c>
      <c r="E8" s="7" t="n">
        <v>490519.349699698</v>
      </c>
      <c r="F8" s="7" t="n">
        <v>-42567.9373273272</v>
      </c>
      <c r="G8" s="7" t="n">
        <v>-647516.256246247</v>
      </c>
      <c r="H8" s="7" t="n">
        <v>315799.349699698</v>
      </c>
    </row>
    <row r="9" customFormat="false" ht="18" hidden="false" customHeight="true" outlineLevel="0" collapsed="false">
      <c r="B9" s="6" t="s">
        <v>117</v>
      </c>
      <c r="C9" s="7" t="n">
        <v>279484.054159159</v>
      </c>
      <c r="D9" s="7" t="n">
        <v>-404125.293003004</v>
      </c>
      <c r="E9" s="7" t="n">
        <v>405025.864564563</v>
      </c>
      <c r="F9" s="7" t="n">
        <v>104764.054159159</v>
      </c>
      <c r="G9" s="7" t="n">
        <v>-578845.293003004</v>
      </c>
      <c r="H9" s="7" t="n">
        <v>230305.864564563</v>
      </c>
    </row>
    <row r="10" customFormat="false" ht="18" hidden="false" customHeight="true" outlineLevel="0" collapsed="false">
      <c r="B10" s="6" t="s">
        <v>118</v>
      </c>
      <c r="C10" s="7" t="n">
        <v>521560.552672673</v>
      </c>
      <c r="D10" s="7" t="n">
        <v>-210864.811381382</v>
      </c>
      <c r="E10" s="7" t="n">
        <v>584485.568618618</v>
      </c>
      <c r="F10" s="7" t="n">
        <v>346840.552672673</v>
      </c>
      <c r="G10" s="7" t="n">
        <v>-385584.811381382</v>
      </c>
      <c r="H10" s="7" t="n">
        <v>409765.568618618</v>
      </c>
    </row>
    <row r="11" customFormat="false" ht="18" hidden="false" customHeight="true" outlineLevel="0" collapsed="false">
      <c r="B11" s="6" t="s">
        <v>119</v>
      </c>
      <c r="C11" s="7" t="n">
        <v>541571.496321322</v>
      </c>
      <c r="D11" s="7" t="n">
        <v>-239669.884624625</v>
      </c>
      <c r="E11" s="7" t="n">
        <v>521411.533483482</v>
      </c>
      <c r="F11" s="7" t="n">
        <v>366851.496321322</v>
      </c>
      <c r="G11" s="7" t="n">
        <v>-414389.884624626</v>
      </c>
      <c r="H11" s="7" t="n">
        <v>346691.533483482</v>
      </c>
    </row>
    <row r="12" customFormat="false" ht="18" hidden="false" customHeight="true" outlineLevel="0" collapsed="false">
      <c r="B12" s="6" t="s">
        <v>120</v>
      </c>
      <c r="C12" s="7" t="n">
        <v>695332.346321322</v>
      </c>
      <c r="D12" s="7" t="n">
        <v>-153696.057057058</v>
      </c>
      <c r="E12" s="7" t="n">
        <v>660216.652402402</v>
      </c>
      <c r="F12" s="7" t="n">
        <v>520612.346321322</v>
      </c>
      <c r="G12" s="7" t="n">
        <v>-328416.057057058</v>
      </c>
      <c r="H12" s="7" t="n">
        <v>485496.652402401</v>
      </c>
    </row>
    <row r="13" customFormat="false" ht="18" hidden="false" customHeight="true" outlineLevel="0" collapsed="false">
      <c r="B13" s="6" t="s">
        <v>121</v>
      </c>
      <c r="C13" s="7" t="n">
        <v>696138.763483484</v>
      </c>
      <c r="D13" s="7" t="n">
        <v>-223453.668408409</v>
      </c>
      <c r="E13" s="7" t="n">
        <v>633612.887537537</v>
      </c>
      <c r="F13" s="7" t="n">
        <v>521418.763483484</v>
      </c>
      <c r="G13" s="7" t="n">
        <v>-398173.668408409</v>
      </c>
      <c r="H13" s="7" t="n">
        <v>458892.887537536</v>
      </c>
    </row>
    <row r="14" customFormat="false" ht="15" hidden="false" customHeight="false" outlineLevel="0" collapsed="false">
      <c r="B14" s="2" t="s">
        <v>791</v>
      </c>
    </row>
    <row r="16" customFormat="false" ht="15" hidden="false" customHeight="false" outlineLevel="0" collapsed="false">
      <c r="B16" s="3" t="s">
        <v>792</v>
      </c>
      <c r="C16" s="3"/>
      <c r="D16" s="3"/>
      <c r="E16" s="3"/>
      <c r="F16" s="3"/>
      <c r="G16" s="3"/>
      <c r="H16" s="3"/>
      <c r="I16" s="3"/>
      <c r="J16" s="3"/>
    </row>
    <row r="17" customFormat="false" ht="91" hidden="false" customHeight="false" outlineLevel="0" collapsed="false">
      <c r="B17" s="5" t="s">
        <v>110</v>
      </c>
      <c r="C17" s="5" t="s">
        <v>793</v>
      </c>
      <c r="D17" s="5" t="s">
        <v>794</v>
      </c>
      <c r="E17" s="5" t="s">
        <v>305</v>
      </c>
      <c r="F17" s="5" t="s">
        <v>795</v>
      </c>
      <c r="G17" s="5" t="s">
        <v>796</v>
      </c>
      <c r="H17" s="5" t="s">
        <v>797</v>
      </c>
      <c r="I17" s="5" t="s">
        <v>798</v>
      </c>
      <c r="J17" s="5" t="s">
        <v>799</v>
      </c>
      <c r="K17" s="5" t="s">
        <v>800</v>
      </c>
    </row>
    <row r="18" customFormat="false" ht="30" hidden="false" customHeight="true" outlineLevel="0" collapsed="false">
      <c r="B18" s="52" t="n">
        <v>5</v>
      </c>
      <c r="C18" s="6" t="s">
        <v>801</v>
      </c>
      <c r="D18" s="7" t="n">
        <v>132152.062672672</v>
      </c>
      <c r="E18" s="7" t="n">
        <v>3775.77321921921</v>
      </c>
      <c r="F18" s="53" t="n">
        <v>0.00629295536536535</v>
      </c>
      <c r="G18" s="54" t="n">
        <v>2.59325083737583</v>
      </c>
      <c r="H18" s="54" t="n">
        <v>1.34218114760835</v>
      </c>
      <c r="I18" s="54" t="n">
        <v>3.78182413783975</v>
      </c>
      <c r="J18" s="54" t="n">
        <v>0.746758654645664</v>
      </c>
      <c r="K18" s="52" t="n">
        <v>46.9763401662924</v>
      </c>
    </row>
    <row r="19" customFormat="false" ht="30" hidden="false" customHeight="true" outlineLevel="0" collapsed="false">
      <c r="B19" s="52" t="n">
        <v>5</v>
      </c>
      <c r="C19" s="6" t="s">
        <v>112</v>
      </c>
      <c r="D19" s="7" t="n">
        <v>490519.349699698</v>
      </c>
      <c r="E19" s="7" t="n">
        <v>14014.8385628485</v>
      </c>
      <c r="F19" s="53" t="n">
        <v>0.0233580642714142</v>
      </c>
      <c r="G19" s="54" t="n">
        <v>9.62557593602234</v>
      </c>
      <c r="H19" s="54" t="n">
        <v>4.98188079995961</v>
      </c>
      <c r="I19" s="54" t="n">
        <v>14.0372982400326</v>
      </c>
      <c r="J19" s="54" t="n">
        <v>2.02247881610017</v>
      </c>
      <c r="K19" s="52" t="n">
        <v>174.365827998586</v>
      </c>
    </row>
    <row r="20" customFormat="false" ht="30" hidden="false" customHeight="true" outlineLevel="0" collapsed="false">
      <c r="B20" s="52" t="n">
        <v>6</v>
      </c>
      <c r="C20" s="6" t="s">
        <v>801</v>
      </c>
      <c r="D20" s="7" t="n">
        <v>521560.552672673</v>
      </c>
      <c r="E20" s="7" t="n">
        <v>14901.7300763621</v>
      </c>
      <c r="F20" s="53" t="n">
        <v>0.0248362167939368</v>
      </c>
      <c r="G20" s="54" t="n">
        <v>10.2347047227762</v>
      </c>
      <c r="H20" s="54" t="n">
        <v>5.29714578021652</v>
      </c>
      <c r="I20" s="54" t="n">
        <v>14.9256110540486</v>
      </c>
      <c r="J20" s="54" t="n">
        <v>2.94720981839532</v>
      </c>
      <c r="K20" s="52" t="n">
        <v>185.400102307578</v>
      </c>
    </row>
    <row r="21" customFormat="false" ht="30" hidden="false" customHeight="true" outlineLevel="0" collapsed="false">
      <c r="B21" s="52" t="n">
        <v>6</v>
      </c>
      <c r="C21" s="6" t="s">
        <v>112</v>
      </c>
      <c r="D21" s="7" t="n">
        <v>584485.568618618</v>
      </c>
      <c r="E21" s="7" t="n">
        <v>16699.5876748177</v>
      </c>
      <c r="F21" s="53" t="n">
        <v>0.0278326461246961</v>
      </c>
      <c r="G21" s="54" t="n">
        <v>11.4694970294077</v>
      </c>
      <c r="H21" s="54" t="n">
        <v>5.93623357353227</v>
      </c>
      <c r="I21" s="54" t="n">
        <v>16.7263498345529</v>
      </c>
      <c r="J21" s="54" t="n">
        <v>2.40991447446695</v>
      </c>
      <c r="K21" s="52" t="n">
        <v>207.768175073629</v>
      </c>
    </row>
    <row r="22" customFormat="false" ht="15" hidden="false" customHeight="false" outlineLevel="0" collapsed="false">
      <c r="B22" s="2" t="s">
        <v>802</v>
      </c>
    </row>
    <row r="24" customFormat="false" ht="15" hidden="false" customHeight="false" outlineLevel="0" collapsed="false">
      <c r="B24" s="3" t="s">
        <v>803</v>
      </c>
      <c r="C24" s="3"/>
      <c r="D24" s="3"/>
      <c r="E24" s="3"/>
      <c r="F24" s="3"/>
      <c r="G24" s="3"/>
      <c r="H24" s="3"/>
      <c r="I24" s="3"/>
      <c r="J24" s="3"/>
    </row>
    <row r="25" customFormat="false" ht="35.05" hidden="false" customHeight="false" outlineLevel="0" collapsed="false">
      <c r="B25" s="5" t="s">
        <v>804</v>
      </c>
      <c r="C25" s="5" t="s">
        <v>793</v>
      </c>
      <c r="D25" s="5" t="s">
        <v>805</v>
      </c>
      <c r="E25" s="5" t="s">
        <v>806</v>
      </c>
      <c r="F25" s="5" t="s">
        <v>807</v>
      </c>
      <c r="G25" s="5" t="s">
        <v>808</v>
      </c>
      <c r="H25" s="5" t="s">
        <v>809</v>
      </c>
      <c r="I25" s="5" t="s">
        <v>810</v>
      </c>
      <c r="J25" s="5" t="s">
        <v>811</v>
      </c>
    </row>
    <row r="26" customFormat="false" ht="30" hidden="false" customHeight="true" outlineLevel="0" collapsed="false">
      <c r="B26" s="6" t="s">
        <v>812</v>
      </c>
      <c r="C26" s="6" t="s">
        <v>801</v>
      </c>
      <c r="D26" s="7" t="n">
        <v>1045536.86716217</v>
      </c>
      <c r="E26" s="7" t="n">
        <v>1225935.26716217</v>
      </c>
      <c r="F26" s="7" t="n">
        <v>1136023.27391892</v>
      </c>
      <c r="G26" s="52" t="n">
        <v>10</v>
      </c>
      <c r="H26" s="54" t="n">
        <v>66.25</v>
      </c>
      <c r="I26" s="7" t="n">
        <v>89911.9932432432</v>
      </c>
      <c r="J26" s="7" t="n">
        <v>96460</v>
      </c>
    </row>
    <row r="27" customFormat="false" ht="30" hidden="false" customHeight="true" outlineLevel="0" collapsed="false">
      <c r="B27" s="6" t="s">
        <v>812</v>
      </c>
      <c r="C27" s="6" t="s">
        <v>112</v>
      </c>
      <c r="D27" s="7" t="n">
        <v>906138.46756757</v>
      </c>
      <c r="E27" s="7" t="n">
        <v>1086536.86756757</v>
      </c>
      <c r="F27" s="7" t="n">
        <v>996624.874324326</v>
      </c>
      <c r="G27" s="52" t="n">
        <v>10</v>
      </c>
      <c r="H27" s="54" t="n">
        <v>66.25</v>
      </c>
      <c r="I27" s="7" t="n">
        <v>89911.9932432432</v>
      </c>
      <c r="J27" s="7" t="n">
        <v>96460</v>
      </c>
    </row>
    <row r="28" customFormat="false" ht="30" hidden="false" customHeight="true" outlineLevel="0" collapsed="false">
      <c r="B28" s="6" t="s">
        <v>812</v>
      </c>
      <c r="C28" s="6" t="s">
        <v>134</v>
      </c>
      <c r="D28" s="7" t="n">
        <v>-1063638.46945946</v>
      </c>
      <c r="E28" s="7" t="n">
        <v>-883240.069459457</v>
      </c>
      <c r="F28" s="7" t="n">
        <v>-973152.062702698</v>
      </c>
      <c r="G28" s="52" t="n">
        <v>10</v>
      </c>
      <c r="H28" s="54" t="n">
        <v>66.25</v>
      </c>
      <c r="I28" s="7" t="n">
        <v>89911.9932432432</v>
      </c>
      <c r="J28" s="7" t="n">
        <v>96460</v>
      </c>
    </row>
    <row r="29" customFormat="false" ht="30" hidden="false" customHeight="true" outlineLevel="0" collapsed="false">
      <c r="B29" s="6" t="s">
        <v>813</v>
      </c>
      <c r="C29" s="6" t="s">
        <v>801</v>
      </c>
      <c r="D29" s="7" t="n">
        <v>160847.460000001</v>
      </c>
      <c r="E29" s="7" t="n">
        <v>56743.4600000018</v>
      </c>
      <c r="F29" s="7" t="n">
        <v>-70829.7832432417</v>
      </c>
      <c r="G29" s="52" t="n">
        <v>15</v>
      </c>
      <c r="H29" s="54" t="n">
        <v>94</v>
      </c>
      <c r="I29" s="7" t="n">
        <v>127573.243243243</v>
      </c>
      <c r="J29" s="7" t="n">
        <v>136864</v>
      </c>
    </row>
    <row r="30" customFormat="false" ht="30" hidden="false" customHeight="true" outlineLevel="0" collapsed="false">
      <c r="B30" s="6" t="s">
        <v>813</v>
      </c>
      <c r="C30" s="6" t="s">
        <v>112</v>
      </c>
      <c r="D30" s="7" t="n">
        <v>152514.339189188</v>
      </c>
      <c r="E30" s="7" t="n">
        <v>48410.3391891886</v>
      </c>
      <c r="F30" s="7" t="n">
        <v>-79162.9040540531</v>
      </c>
      <c r="G30" s="52" t="n">
        <v>15</v>
      </c>
      <c r="H30" s="54" t="n">
        <v>94</v>
      </c>
      <c r="I30" s="7" t="n">
        <v>127573.243243243</v>
      </c>
      <c r="J30" s="7" t="n">
        <v>136864</v>
      </c>
    </row>
    <row r="31" customFormat="false" ht="30" hidden="false" customHeight="true" outlineLevel="0" collapsed="false">
      <c r="B31" s="6" t="s">
        <v>813</v>
      </c>
      <c r="C31" s="6" t="s">
        <v>134</v>
      </c>
      <c r="D31" s="7" t="n">
        <v>-1217009.95486486</v>
      </c>
      <c r="E31" s="7" t="n">
        <v>-1321113.95486486</v>
      </c>
      <c r="F31" s="7" t="n">
        <v>-1448687.1981081</v>
      </c>
      <c r="G31" s="52" t="n">
        <v>15</v>
      </c>
      <c r="H31" s="54" t="n">
        <v>94</v>
      </c>
      <c r="I31" s="7" t="n">
        <v>127573.243243243</v>
      </c>
      <c r="J31" s="7" t="n">
        <v>136864</v>
      </c>
    </row>
    <row r="32" customFormat="false" ht="15" hidden="false" customHeight="false" outlineLevel="0" collapsed="false">
      <c r="B32" s="2" t="s">
        <v>814</v>
      </c>
    </row>
    <row r="34" customFormat="false" ht="15" hidden="false" customHeight="false" outlineLevel="0" collapsed="false">
      <c r="B34" s="3" t="s">
        <v>815</v>
      </c>
      <c r="C34" s="3"/>
      <c r="D34" s="3"/>
      <c r="E34" s="3"/>
      <c r="F34" s="3"/>
      <c r="G34" s="3"/>
      <c r="H34" s="3"/>
      <c r="I34" s="3"/>
    </row>
    <row r="35" customFormat="false" ht="15" hidden="false" customHeight="false" outlineLevel="0" collapsed="false">
      <c r="B35" s="5" t="s">
        <v>153</v>
      </c>
      <c r="C35" s="5" t="s">
        <v>156</v>
      </c>
      <c r="D35" s="5" t="s">
        <v>816</v>
      </c>
      <c r="E35" s="5" t="s">
        <v>817</v>
      </c>
      <c r="F35" s="5" t="s">
        <v>818</v>
      </c>
      <c r="G35" s="5" t="s">
        <v>819</v>
      </c>
      <c r="H35" s="5" t="s">
        <v>818</v>
      </c>
      <c r="I35" s="5" t="s">
        <v>820</v>
      </c>
    </row>
    <row r="36" customFormat="false" ht="27.75" hidden="false" customHeight="true" outlineLevel="0" collapsed="false">
      <c r="B36" s="6" t="s">
        <v>225</v>
      </c>
      <c r="C36" s="6" t="s">
        <v>821</v>
      </c>
      <c r="D36" s="6" t="s">
        <v>822</v>
      </c>
      <c r="E36" s="6" t="s">
        <v>823</v>
      </c>
      <c r="F36" s="7" t="n">
        <v>521560.552672673</v>
      </c>
      <c r="G36" s="6" t="s">
        <v>822</v>
      </c>
      <c r="H36" s="7" t="n">
        <v>132152.062672672</v>
      </c>
      <c r="I36" s="7" t="n">
        <v>389408.49</v>
      </c>
    </row>
    <row r="37" customFormat="false" ht="27.75" hidden="false" customHeight="true" outlineLevel="0" collapsed="false">
      <c r="B37" s="6" t="s">
        <v>824</v>
      </c>
      <c r="C37" s="6" t="s">
        <v>825</v>
      </c>
      <c r="D37" s="6" t="s">
        <v>826</v>
      </c>
      <c r="E37" s="6" t="s">
        <v>826</v>
      </c>
      <c r="F37" s="7" t="n">
        <v>132152.062672672</v>
      </c>
      <c r="G37" s="6" t="s">
        <v>827</v>
      </c>
      <c r="H37" s="7" t="n">
        <v>-239489.28867868</v>
      </c>
      <c r="I37" s="7" t="n">
        <v>371641.351351352</v>
      </c>
    </row>
    <row r="38" customFormat="false" ht="27.75" hidden="false" customHeight="true" outlineLevel="0" collapsed="false">
      <c r="B38" s="6" t="s">
        <v>828</v>
      </c>
      <c r="C38" s="6" t="s">
        <v>829</v>
      </c>
      <c r="D38" s="6" t="s">
        <v>830</v>
      </c>
      <c r="E38" s="6" t="s">
        <v>831</v>
      </c>
      <c r="F38" s="7" t="n">
        <v>418819.829429429</v>
      </c>
      <c r="G38" s="6" t="s">
        <v>832</v>
      </c>
      <c r="H38" s="7" t="n">
        <v>132152.062672672</v>
      </c>
      <c r="I38" s="7" t="n">
        <v>286667.766756757</v>
      </c>
    </row>
    <row r="39" customFormat="false" ht="27.75" hidden="false" customHeight="true" outlineLevel="0" collapsed="false">
      <c r="B39" s="6" t="s">
        <v>833</v>
      </c>
      <c r="C39" s="6" t="s">
        <v>834</v>
      </c>
      <c r="D39" s="6" t="s">
        <v>835</v>
      </c>
      <c r="E39" s="6" t="s">
        <v>835</v>
      </c>
      <c r="F39" s="7" t="n">
        <v>132152.062672672</v>
      </c>
      <c r="G39" s="6" t="s">
        <v>836</v>
      </c>
      <c r="H39" s="7" t="n">
        <v>-135092.51921922</v>
      </c>
      <c r="I39" s="7" t="n">
        <v>267244.581891892</v>
      </c>
    </row>
    <row r="40" customFormat="false" ht="27.75" hidden="false" customHeight="true" outlineLevel="0" collapsed="false">
      <c r="B40" s="6" t="s">
        <v>837</v>
      </c>
      <c r="C40" s="6" t="s">
        <v>825</v>
      </c>
      <c r="D40" s="6" t="s">
        <v>826</v>
      </c>
      <c r="E40" s="6" t="s">
        <v>826</v>
      </c>
      <c r="F40" s="7" t="n">
        <v>132152.062672672</v>
      </c>
      <c r="G40" s="6" t="s">
        <v>838</v>
      </c>
      <c r="H40" s="7" t="n">
        <v>-117458.950840842</v>
      </c>
      <c r="I40" s="7" t="n">
        <v>249611.013513514</v>
      </c>
    </row>
    <row r="41" customFormat="false" ht="27.75" hidden="false" customHeight="true" outlineLevel="0" collapsed="false">
      <c r="B41" s="6" t="s">
        <v>839</v>
      </c>
      <c r="C41" s="6" t="s">
        <v>762</v>
      </c>
      <c r="D41" s="6" t="s">
        <v>840</v>
      </c>
      <c r="E41" s="6" t="s">
        <v>840</v>
      </c>
      <c r="F41" s="7" t="n">
        <v>132152.062672672</v>
      </c>
      <c r="G41" s="6" t="s">
        <v>841</v>
      </c>
      <c r="H41" s="7" t="n">
        <v>-44815.504894895</v>
      </c>
      <c r="I41" s="7" t="n">
        <v>176967.567567567</v>
      </c>
    </row>
    <row r="42" customFormat="false" ht="27.75" hidden="false" customHeight="true" outlineLevel="0" collapsed="false">
      <c r="B42" s="6" t="s">
        <v>842</v>
      </c>
      <c r="C42" s="6" t="s">
        <v>843</v>
      </c>
      <c r="D42" s="6" t="s">
        <v>844</v>
      </c>
      <c r="E42" s="6" t="s">
        <v>844</v>
      </c>
      <c r="F42" s="7" t="n">
        <v>132152.062672672</v>
      </c>
      <c r="G42" s="6" t="s">
        <v>845</v>
      </c>
      <c r="H42" s="7" t="n">
        <v>-42567.9373273272</v>
      </c>
      <c r="I42" s="7" t="n">
        <v>174720</v>
      </c>
    </row>
    <row r="43" customFormat="false" ht="27.75" hidden="false" customHeight="true" outlineLevel="0" collapsed="false">
      <c r="B43" s="6" t="s">
        <v>424</v>
      </c>
      <c r="C43" s="6" t="s">
        <v>165</v>
      </c>
      <c r="D43" s="6" t="s">
        <v>846</v>
      </c>
      <c r="E43" s="6" t="s">
        <v>847</v>
      </c>
      <c r="F43" s="7" t="n">
        <v>213295.751561562</v>
      </c>
      <c r="G43" s="6" t="s">
        <v>848</v>
      </c>
      <c r="H43" s="7" t="n">
        <v>51008.3737837854</v>
      </c>
      <c r="I43" s="7" t="n">
        <v>162287.377777776</v>
      </c>
    </row>
    <row r="44" customFormat="false" ht="27.75" hidden="false" customHeight="true" outlineLevel="0" collapsed="false">
      <c r="B44" s="6" t="s">
        <v>849</v>
      </c>
      <c r="C44" s="6" t="s">
        <v>850</v>
      </c>
      <c r="D44" s="6" t="s">
        <v>851</v>
      </c>
      <c r="E44" s="6" t="s">
        <v>851</v>
      </c>
      <c r="F44" s="7" t="n">
        <v>132152.062672672</v>
      </c>
      <c r="G44" s="6" t="s">
        <v>852</v>
      </c>
      <c r="H44" s="7" t="n">
        <v>-23242.4373273291</v>
      </c>
      <c r="I44" s="7" t="n">
        <v>155394.500000001</v>
      </c>
    </row>
    <row r="45" customFormat="false" ht="27.75" hidden="false" customHeight="true" outlineLevel="0" collapsed="false">
      <c r="B45" s="6" t="s">
        <v>853</v>
      </c>
      <c r="C45" s="6" t="s">
        <v>854</v>
      </c>
      <c r="D45" s="6" t="s">
        <v>855</v>
      </c>
      <c r="E45" s="6" t="s">
        <v>826</v>
      </c>
      <c r="F45" s="7" t="n">
        <v>180835.396756757</v>
      </c>
      <c r="G45" s="6" t="s">
        <v>856</v>
      </c>
      <c r="H45" s="7" t="n">
        <v>83468.7285885885</v>
      </c>
      <c r="I45" s="7" t="n">
        <v>97366.6681681681</v>
      </c>
    </row>
    <row r="46" customFormat="false" ht="27.75" hidden="false" customHeight="true" outlineLevel="0" collapsed="false">
      <c r="B46" s="6" t="s">
        <v>857</v>
      </c>
      <c r="C46" s="6" t="s">
        <v>159</v>
      </c>
      <c r="D46" s="6" t="s">
        <v>858</v>
      </c>
      <c r="E46" s="6" t="s">
        <v>859</v>
      </c>
      <c r="F46" s="7" t="n">
        <v>132152.062672672</v>
      </c>
      <c r="G46" s="6" t="s">
        <v>860</v>
      </c>
      <c r="H46" s="7" t="n">
        <v>44005.5316591603</v>
      </c>
      <c r="I46" s="7" t="n">
        <v>88146.5310135121</v>
      </c>
    </row>
    <row r="47" customFormat="false" ht="27.75" hidden="false" customHeight="true" outlineLevel="0" collapsed="false">
      <c r="B47" s="6" t="s">
        <v>861</v>
      </c>
      <c r="C47" s="6" t="s">
        <v>159</v>
      </c>
      <c r="D47" s="6" t="s">
        <v>862</v>
      </c>
      <c r="E47" s="6" t="s">
        <v>862</v>
      </c>
      <c r="F47" s="7" t="n">
        <v>132152.062672672</v>
      </c>
      <c r="G47" s="6" t="s">
        <v>863</v>
      </c>
      <c r="H47" s="7" t="n">
        <v>109854.765375374</v>
      </c>
      <c r="I47" s="7" t="n">
        <v>22297.2972972984</v>
      </c>
    </row>
    <row r="48" customFormat="false" ht="27.75" hidden="false" customHeight="true" outlineLevel="0" collapsed="false">
      <c r="B48" s="6" t="s">
        <v>386</v>
      </c>
      <c r="C48" s="6" t="s">
        <v>159</v>
      </c>
      <c r="D48" s="6" t="s">
        <v>864</v>
      </c>
      <c r="E48" s="6" t="s">
        <v>865</v>
      </c>
      <c r="F48" s="7" t="n">
        <v>151070.981591592</v>
      </c>
      <c r="G48" s="6" t="s">
        <v>864</v>
      </c>
      <c r="H48" s="7" t="n">
        <v>132152.062672672</v>
      </c>
      <c r="I48" s="7" t="n">
        <v>18918.9189189198</v>
      </c>
    </row>
    <row r="50" customFormat="false" ht="15" hidden="false" customHeight="false" outlineLevel="0" collapsed="false">
      <c r="B50" s="3" t="s">
        <v>866</v>
      </c>
      <c r="C50" s="3"/>
      <c r="D50" s="3"/>
      <c r="E50" s="3"/>
      <c r="F50" s="3"/>
      <c r="G50" s="3"/>
      <c r="H50" s="3"/>
      <c r="I50" s="3"/>
    </row>
    <row r="51" customFormat="false" ht="15" hidden="false" customHeight="false" outlineLevel="0" collapsed="false">
      <c r="B51" s="5" t="s">
        <v>153</v>
      </c>
      <c r="C51" s="5" t="s">
        <v>156</v>
      </c>
      <c r="D51" s="5" t="s">
        <v>816</v>
      </c>
      <c r="E51" s="5" t="s">
        <v>817</v>
      </c>
      <c r="F51" s="5" t="s">
        <v>818</v>
      </c>
      <c r="G51" s="5" t="s">
        <v>819</v>
      </c>
      <c r="H51" s="5" t="s">
        <v>818</v>
      </c>
      <c r="I51" s="5" t="s">
        <v>820</v>
      </c>
    </row>
    <row r="52" customFormat="false" ht="27.75" hidden="false" customHeight="true" outlineLevel="0" collapsed="false">
      <c r="B52" s="6" t="s">
        <v>824</v>
      </c>
      <c r="C52" s="6" t="s">
        <v>825</v>
      </c>
      <c r="D52" s="6" t="s">
        <v>826</v>
      </c>
      <c r="E52" s="6" t="s">
        <v>826</v>
      </c>
      <c r="F52" s="7" t="n">
        <v>-472796.256246247</v>
      </c>
      <c r="G52" s="6" t="s">
        <v>827</v>
      </c>
      <c r="H52" s="7" t="n">
        <v>-844437.607597597</v>
      </c>
      <c r="I52" s="7" t="n">
        <v>371641.35135135</v>
      </c>
    </row>
    <row r="53" customFormat="false" ht="27.75" hidden="false" customHeight="true" outlineLevel="0" collapsed="false">
      <c r="B53" s="6" t="s">
        <v>828</v>
      </c>
      <c r="C53" s="6" t="s">
        <v>829</v>
      </c>
      <c r="D53" s="6" t="s">
        <v>830</v>
      </c>
      <c r="E53" s="6" t="s">
        <v>831</v>
      </c>
      <c r="F53" s="7" t="n">
        <v>-186128.48948949</v>
      </c>
      <c r="G53" s="6" t="s">
        <v>832</v>
      </c>
      <c r="H53" s="7" t="n">
        <v>-472796.256246247</v>
      </c>
      <c r="I53" s="7" t="n">
        <v>286667.766756757</v>
      </c>
    </row>
    <row r="54" customFormat="false" ht="27.75" hidden="false" customHeight="true" outlineLevel="0" collapsed="false">
      <c r="B54" s="6" t="s">
        <v>833</v>
      </c>
      <c r="C54" s="6" t="s">
        <v>834</v>
      </c>
      <c r="D54" s="6" t="s">
        <v>835</v>
      </c>
      <c r="E54" s="6" t="s">
        <v>835</v>
      </c>
      <c r="F54" s="7" t="n">
        <v>-472796.256246247</v>
      </c>
      <c r="G54" s="6" t="s">
        <v>836</v>
      </c>
      <c r="H54" s="7" t="n">
        <v>-740040.838138139</v>
      </c>
      <c r="I54" s="7" t="n">
        <v>267244.581891892</v>
      </c>
    </row>
    <row r="55" customFormat="false" ht="27.75" hidden="false" customHeight="true" outlineLevel="0" collapsed="false">
      <c r="B55" s="6" t="s">
        <v>225</v>
      </c>
      <c r="C55" s="6" t="s">
        <v>821</v>
      </c>
      <c r="D55" s="6" t="s">
        <v>822</v>
      </c>
      <c r="E55" s="6" t="s">
        <v>823</v>
      </c>
      <c r="F55" s="7" t="n">
        <v>-210864.811381382</v>
      </c>
      <c r="G55" s="6" t="s">
        <v>822</v>
      </c>
      <c r="H55" s="7" t="n">
        <v>-472796.256246247</v>
      </c>
      <c r="I55" s="7" t="n">
        <v>261931.444864865</v>
      </c>
    </row>
    <row r="56" customFormat="false" ht="27.75" hidden="false" customHeight="true" outlineLevel="0" collapsed="false">
      <c r="B56" s="6" t="s">
        <v>837</v>
      </c>
      <c r="C56" s="6" t="s">
        <v>825</v>
      </c>
      <c r="D56" s="6" t="s">
        <v>826</v>
      </c>
      <c r="E56" s="6" t="s">
        <v>826</v>
      </c>
      <c r="F56" s="7" t="n">
        <v>-472796.256246247</v>
      </c>
      <c r="G56" s="6" t="s">
        <v>838</v>
      </c>
      <c r="H56" s="7" t="n">
        <v>-722407.269759762</v>
      </c>
      <c r="I56" s="7" t="n">
        <v>249611.013513515</v>
      </c>
    </row>
    <row r="57" customFormat="false" ht="27.75" hidden="false" customHeight="true" outlineLevel="0" collapsed="false">
      <c r="B57" s="6" t="s">
        <v>839</v>
      </c>
      <c r="C57" s="6" t="s">
        <v>762</v>
      </c>
      <c r="D57" s="6" t="s">
        <v>840</v>
      </c>
      <c r="E57" s="6" t="s">
        <v>840</v>
      </c>
      <c r="F57" s="7" t="n">
        <v>-472796.256246247</v>
      </c>
      <c r="G57" s="6" t="s">
        <v>841</v>
      </c>
      <c r="H57" s="7" t="n">
        <v>-649763.823813814</v>
      </c>
      <c r="I57" s="7" t="n">
        <v>176967.567567567</v>
      </c>
    </row>
    <row r="58" customFormat="false" ht="27.75" hidden="false" customHeight="true" outlineLevel="0" collapsed="false">
      <c r="B58" s="6" t="s">
        <v>842</v>
      </c>
      <c r="C58" s="6" t="s">
        <v>843</v>
      </c>
      <c r="D58" s="6" t="s">
        <v>844</v>
      </c>
      <c r="E58" s="6" t="s">
        <v>844</v>
      </c>
      <c r="F58" s="7" t="n">
        <v>-472796.256246247</v>
      </c>
      <c r="G58" s="6" t="s">
        <v>845</v>
      </c>
      <c r="H58" s="7" t="n">
        <v>-647516.256246247</v>
      </c>
      <c r="I58" s="7" t="n">
        <v>174720.000000001</v>
      </c>
    </row>
    <row r="59" customFormat="false" ht="27.75" hidden="false" customHeight="true" outlineLevel="0" collapsed="false">
      <c r="B59" s="6" t="s">
        <v>424</v>
      </c>
      <c r="C59" s="6" t="s">
        <v>165</v>
      </c>
      <c r="D59" s="6" t="s">
        <v>846</v>
      </c>
      <c r="E59" s="6" t="s">
        <v>847</v>
      </c>
      <c r="F59" s="7" t="n">
        <v>-391652.567357356</v>
      </c>
      <c r="G59" s="6" t="s">
        <v>848</v>
      </c>
      <c r="H59" s="7" t="n">
        <v>-553939.945135136</v>
      </c>
      <c r="I59" s="7" t="n">
        <v>162287.37777778</v>
      </c>
    </row>
    <row r="60" customFormat="false" ht="27.75" hidden="false" customHeight="true" outlineLevel="0" collapsed="false">
      <c r="B60" s="6" t="s">
        <v>849</v>
      </c>
      <c r="C60" s="6" t="s">
        <v>850</v>
      </c>
      <c r="D60" s="6" t="s">
        <v>851</v>
      </c>
      <c r="E60" s="6" t="s">
        <v>851</v>
      </c>
      <c r="F60" s="7" t="n">
        <v>-472796.256246247</v>
      </c>
      <c r="G60" s="6" t="s">
        <v>852</v>
      </c>
      <c r="H60" s="7" t="n">
        <v>-628190.756246248</v>
      </c>
      <c r="I60" s="7" t="n">
        <v>155394.500000001</v>
      </c>
    </row>
    <row r="61" customFormat="false" ht="27.75" hidden="false" customHeight="true" outlineLevel="0" collapsed="false">
      <c r="B61" s="6" t="s">
        <v>857</v>
      </c>
      <c r="C61" s="6" t="s">
        <v>159</v>
      </c>
      <c r="D61" s="6" t="s">
        <v>858</v>
      </c>
      <c r="E61" s="6" t="s">
        <v>859</v>
      </c>
      <c r="F61" s="7" t="n">
        <v>-472796.256246247</v>
      </c>
      <c r="G61" s="6" t="s">
        <v>860</v>
      </c>
      <c r="H61" s="7" t="n">
        <v>-591190.203205706</v>
      </c>
      <c r="I61" s="7" t="n">
        <v>118393.946959459</v>
      </c>
    </row>
    <row r="62" customFormat="false" ht="27.75" hidden="false" customHeight="true" outlineLevel="0" collapsed="false">
      <c r="B62" s="6" t="s">
        <v>853</v>
      </c>
      <c r="C62" s="6" t="s">
        <v>854</v>
      </c>
      <c r="D62" s="6" t="s">
        <v>855</v>
      </c>
      <c r="E62" s="6" t="s">
        <v>826</v>
      </c>
      <c r="F62" s="7" t="n">
        <v>-424112.922162163</v>
      </c>
      <c r="G62" s="6" t="s">
        <v>856</v>
      </c>
      <c r="H62" s="7" t="n">
        <v>-521479.590330331</v>
      </c>
      <c r="I62" s="7" t="n">
        <v>97366.6681681681</v>
      </c>
    </row>
    <row r="63" customFormat="false" ht="27.75" hidden="false" customHeight="true" outlineLevel="0" collapsed="false">
      <c r="B63" s="6" t="s">
        <v>861</v>
      </c>
      <c r="C63" s="6" t="s">
        <v>159</v>
      </c>
      <c r="D63" s="6" t="s">
        <v>862</v>
      </c>
      <c r="E63" s="6" t="s">
        <v>862</v>
      </c>
      <c r="F63" s="7" t="n">
        <v>-472796.256246247</v>
      </c>
      <c r="G63" s="6" t="s">
        <v>863</v>
      </c>
      <c r="H63" s="7" t="n">
        <v>-495093.553543545</v>
      </c>
      <c r="I63" s="7" t="n">
        <v>22297.2972972984</v>
      </c>
    </row>
    <row r="64" customFormat="false" ht="27.75" hidden="false" customHeight="true" outlineLevel="0" collapsed="false">
      <c r="B64" s="6" t="s">
        <v>386</v>
      </c>
      <c r="C64" s="6" t="s">
        <v>159</v>
      </c>
      <c r="D64" s="6" t="s">
        <v>864</v>
      </c>
      <c r="E64" s="6" t="s">
        <v>865</v>
      </c>
      <c r="F64" s="7" t="n">
        <v>-453877.337327328</v>
      </c>
      <c r="G64" s="6" t="s">
        <v>864</v>
      </c>
      <c r="H64" s="7" t="n">
        <v>-472796.256246247</v>
      </c>
      <c r="I64" s="7" t="n">
        <v>18918.9189189193</v>
      </c>
    </row>
    <row r="66" customFormat="false" ht="15" hidden="false" customHeight="false" outlineLevel="0" collapsed="false">
      <c r="B66" s="3" t="s">
        <v>867</v>
      </c>
      <c r="C66" s="3"/>
      <c r="D66" s="3"/>
      <c r="E66" s="3"/>
      <c r="F66" s="3"/>
      <c r="G66" s="3"/>
      <c r="H66" s="3"/>
      <c r="I66" s="3"/>
    </row>
    <row r="67" customFormat="false" ht="15" hidden="false" customHeight="false" outlineLevel="0" collapsed="false">
      <c r="B67" s="5" t="s">
        <v>153</v>
      </c>
      <c r="C67" s="5" t="s">
        <v>156</v>
      </c>
      <c r="D67" s="5" t="s">
        <v>816</v>
      </c>
      <c r="E67" s="5" t="s">
        <v>817</v>
      </c>
      <c r="F67" s="5" t="s">
        <v>818</v>
      </c>
      <c r="G67" s="5" t="s">
        <v>819</v>
      </c>
      <c r="H67" s="5" t="s">
        <v>818</v>
      </c>
      <c r="I67" s="5" t="s">
        <v>820</v>
      </c>
    </row>
    <row r="68" customFormat="false" ht="27.75" hidden="false" customHeight="true" outlineLevel="0" collapsed="false">
      <c r="B68" s="6" t="s">
        <v>833</v>
      </c>
      <c r="C68" s="6" t="s">
        <v>834</v>
      </c>
      <c r="D68" s="6" t="s">
        <v>835</v>
      </c>
      <c r="E68" s="6" t="s">
        <v>835</v>
      </c>
      <c r="F68" s="7" t="n">
        <v>490519.349699698</v>
      </c>
      <c r="G68" s="6" t="s">
        <v>836</v>
      </c>
      <c r="H68" s="7" t="n">
        <v>5451.87132131867</v>
      </c>
      <c r="I68" s="7" t="n">
        <v>485067.47837838</v>
      </c>
    </row>
    <row r="69" customFormat="false" ht="27.75" hidden="false" customHeight="true" outlineLevel="0" collapsed="false">
      <c r="B69" s="6" t="s">
        <v>824</v>
      </c>
      <c r="C69" s="6" t="s">
        <v>825</v>
      </c>
      <c r="D69" s="6" t="s">
        <v>826</v>
      </c>
      <c r="E69" s="6" t="s">
        <v>826</v>
      </c>
      <c r="F69" s="7" t="n">
        <v>490519.349699698</v>
      </c>
      <c r="G69" s="6" t="s">
        <v>827</v>
      </c>
      <c r="H69" s="7" t="n">
        <v>118877.998348348</v>
      </c>
      <c r="I69" s="7" t="n">
        <v>371641.351351351</v>
      </c>
    </row>
    <row r="70" customFormat="false" ht="27.75" hidden="false" customHeight="true" outlineLevel="0" collapsed="false">
      <c r="B70" s="6" t="s">
        <v>837</v>
      </c>
      <c r="C70" s="6" t="s">
        <v>825</v>
      </c>
      <c r="D70" s="6" t="s">
        <v>826</v>
      </c>
      <c r="E70" s="6" t="s">
        <v>826</v>
      </c>
      <c r="F70" s="7" t="n">
        <v>490519.349699698</v>
      </c>
      <c r="G70" s="6" t="s">
        <v>838</v>
      </c>
      <c r="H70" s="7" t="n">
        <v>240908.336186186</v>
      </c>
      <c r="I70" s="7" t="n">
        <v>249611.013513513</v>
      </c>
    </row>
    <row r="71" customFormat="false" ht="27.75" hidden="false" customHeight="true" outlineLevel="0" collapsed="false">
      <c r="B71" s="6" t="s">
        <v>839</v>
      </c>
      <c r="C71" s="6" t="s">
        <v>762</v>
      </c>
      <c r="D71" s="6" t="s">
        <v>840</v>
      </c>
      <c r="E71" s="6" t="s">
        <v>840</v>
      </c>
      <c r="F71" s="7" t="n">
        <v>490519.349699698</v>
      </c>
      <c r="G71" s="6" t="s">
        <v>841</v>
      </c>
      <c r="H71" s="7" t="n">
        <v>247985.610510509</v>
      </c>
      <c r="I71" s="7" t="n">
        <v>242533.739189189</v>
      </c>
    </row>
    <row r="72" customFormat="false" ht="27.75" hidden="false" customHeight="true" outlineLevel="0" collapsed="false">
      <c r="B72" s="6" t="s">
        <v>842</v>
      </c>
      <c r="C72" s="6" t="s">
        <v>843</v>
      </c>
      <c r="D72" s="6" t="s">
        <v>844</v>
      </c>
      <c r="E72" s="6" t="s">
        <v>844</v>
      </c>
      <c r="F72" s="7" t="n">
        <v>490519.349699698</v>
      </c>
      <c r="G72" s="6" t="s">
        <v>845</v>
      </c>
      <c r="H72" s="7" t="n">
        <v>315799.349699698</v>
      </c>
      <c r="I72" s="7" t="n">
        <v>174720.000000001</v>
      </c>
    </row>
    <row r="73" customFormat="false" ht="27.75" hidden="false" customHeight="true" outlineLevel="0" collapsed="false">
      <c r="B73" s="6" t="s">
        <v>424</v>
      </c>
      <c r="C73" s="6" t="s">
        <v>165</v>
      </c>
      <c r="D73" s="6" t="s">
        <v>846</v>
      </c>
      <c r="E73" s="6" t="s">
        <v>847</v>
      </c>
      <c r="F73" s="7" t="n">
        <v>571663.03858859</v>
      </c>
      <c r="G73" s="6" t="s">
        <v>848</v>
      </c>
      <c r="H73" s="7" t="n">
        <v>409375.660810812</v>
      </c>
      <c r="I73" s="7" t="n">
        <v>162287.377777778</v>
      </c>
    </row>
    <row r="74" customFormat="false" ht="27.75" hidden="false" customHeight="true" outlineLevel="0" collapsed="false">
      <c r="B74" s="6" t="s">
        <v>849</v>
      </c>
      <c r="C74" s="6" t="s">
        <v>850</v>
      </c>
      <c r="D74" s="6" t="s">
        <v>851</v>
      </c>
      <c r="E74" s="6" t="s">
        <v>851</v>
      </c>
      <c r="F74" s="7" t="n">
        <v>490519.349699698</v>
      </c>
      <c r="G74" s="6" t="s">
        <v>852</v>
      </c>
      <c r="H74" s="7" t="n">
        <v>335124.849699697</v>
      </c>
      <c r="I74" s="7" t="n">
        <v>155394.500000001</v>
      </c>
    </row>
    <row r="75" customFormat="false" ht="27.75" hidden="false" customHeight="true" outlineLevel="0" collapsed="false">
      <c r="B75" s="6" t="s">
        <v>853</v>
      </c>
      <c r="C75" s="6" t="s">
        <v>854</v>
      </c>
      <c r="D75" s="6" t="s">
        <v>855</v>
      </c>
      <c r="E75" s="6" t="s">
        <v>826</v>
      </c>
      <c r="F75" s="7" t="n">
        <v>539202.683783783</v>
      </c>
      <c r="G75" s="6" t="s">
        <v>856</v>
      </c>
      <c r="H75" s="7" t="n">
        <v>441836.015615615</v>
      </c>
      <c r="I75" s="7" t="n">
        <v>97366.6681681681</v>
      </c>
    </row>
    <row r="76" customFormat="false" ht="27.75" hidden="false" customHeight="true" outlineLevel="0" collapsed="false">
      <c r="B76" s="6" t="s">
        <v>225</v>
      </c>
      <c r="C76" s="6" t="s">
        <v>821</v>
      </c>
      <c r="D76" s="6" t="s">
        <v>822</v>
      </c>
      <c r="E76" s="6" t="s">
        <v>823</v>
      </c>
      <c r="F76" s="7" t="n">
        <v>584485.568618618</v>
      </c>
      <c r="G76" s="6" t="s">
        <v>822</v>
      </c>
      <c r="H76" s="7" t="n">
        <v>490519.349699698</v>
      </c>
      <c r="I76" s="7" t="n">
        <v>93966.2189189196</v>
      </c>
    </row>
    <row r="77" customFormat="false" ht="27.75" hidden="false" customHeight="true" outlineLevel="0" collapsed="false">
      <c r="B77" s="6" t="s">
        <v>857</v>
      </c>
      <c r="C77" s="6" t="s">
        <v>159</v>
      </c>
      <c r="D77" s="6" t="s">
        <v>858</v>
      </c>
      <c r="E77" s="6" t="s">
        <v>859</v>
      </c>
      <c r="F77" s="7" t="n">
        <v>490519.349699698</v>
      </c>
      <c r="G77" s="6" t="s">
        <v>860</v>
      </c>
      <c r="H77" s="7" t="n">
        <v>405957.794699699</v>
      </c>
      <c r="I77" s="7" t="n">
        <v>84561.5549999992</v>
      </c>
    </row>
    <row r="78" customFormat="false" ht="27.75" hidden="false" customHeight="true" outlineLevel="0" collapsed="false">
      <c r="B78" s="6" t="s">
        <v>861</v>
      </c>
      <c r="C78" s="6" t="s">
        <v>159</v>
      </c>
      <c r="D78" s="6" t="s">
        <v>862</v>
      </c>
      <c r="E78" s="6" t="s">
        <v>862</v>
      </c>
      <c r="F78" s="7" t="n">
        <v>490519.349699698</v>
      </c>
      <c r="G78" s="6" t="s">
        <v>863</v>
      </c>
      <c r="H78" s="7" t="n">
        <v>468222.0524024</v>
      </c>
      <c r="I78" s="7" t="n">
        <v>22297.2972972984</v>
      </c>
    </row>
    <row r="79" customFormat="false" ht="27.75" hidden="false" customHeight="true" outlineLevel="0" collapsed="false">
      <c r="B79" s="6" t="s">
        <v>386</v>
      </c>
      <c r="C79" s="6" t="s">
        <v>159</v>
      </c>
      <c r="D79" s="6" t="s">
        <v>864</v>
      </c>
      <c r="E79" s="6" t="s">
        <v>865</v>
      </c>
      <c r="F79" s="7" t="n">
        <v>509438.268618619</v>
      </c>
      <c r="G79" s="6" t="s">
        <v>864</v>
      </c>
      <c r="H79" s="7" t="n">
        <v>490519.349699698</v>
      </c>
      <c r="I79" s="7" t="n">
        <v>18918.9189189207</v>
      </c>
    </row>
    <row r="81" customFormat="false" ht="15" hidden="false" customHeight="false" outlineLevel="0" collapsed="false">
      <c r="B81" s="3" t="s">
        <v>868</v>
      </c>
      <c r="C81" s="3"/>
      <c r="D81" s="3"/>
      <c r="E81" s="3"/>
      <c r="F81" s="3"/>
      <c r="G81" s="3"/>
      <c r="H81" s="3"/>
      <c r="I81" s="3"/>
    </row>
    <row r="82" customFormat="false" ht="15" hidden="false" customHeight="false" outlineLevel="0" collapsed="false">
      <c r="B82" s="5" t="s">
        <v>153</v>
      </c>
      <c r="C82" s="5" t="s">
        <v>156</v>
      </c>
      <c r="D82" s="5" t="s">
        <v>816</v>
      </c>
      <c r="E82" s="5" t="s">
        <v>817</v>
      </c>
      <c r="F82" s="5" t="s">
        <v>818</v>
      </c>
      <c r="G82" s="5" t="s">
        <v>819</v>
      </c>
      <c r="H82" s="5" t="s">
        <v>818</v>
      </c>
      <c r="I82" s="5" t="s">
        <v>820</v>
      </c>
    </row>
    <row r="83" customFormat="false" ht="27.75" hidden="false" customHeight="true" outlineLevel="0" collapsed="false">
      <c r="B83" s="6" t="s">
        <v>833</v>
      </c>
      <c r="C83" s="6" t="s">
        <v>834</v>
      </c>
      <c r="D83" s="6" t="s">
        <v>835</v>
      </c>
      <c r="E83" s="6" t="s">
        <v>835</v>
      </c>
      <c r="F83" s="7" t="n">
        <v>521560.552672673</v>
      </c>
      <c r="G83" s="6" t="s">
        <v>836</v>
      </c>
      <c r="H83" s="7" t="n">
        <v>-10228.8427327331</v>
      </c>
      <c r="I83" s="7" t="n">
        <v>531789.395405406</v>
      </c>
    </row>
    <row r="84" customFormat="false" ht="27.75" hidden="false" customHeight="true" outlineLevel="0" collapsed="false">
      <c r="B84" s="6" t="s">
        <v>225</v>
      </c>
      <c r="C84" s="6" t="s">
        <v>821</v>
      </c>
      <c r="D84" s="6" t="s">
        <v>823</v>
      </c>
      <c r="E84" s="6" t="s">
        <v>823</v>
      </c>
      <c r="F84" s="7" t="n">
        <v>521560.552672673</v>
      </c>
      <c r="G84" s="6" t="s">
        <v>822</v>
      </c>
      <c r="H84" s="7" t="n">
        <v>132152.062672672</v>
      </c>
      <c r="I84" s="7" t="n">
        <v>389408.49</v>
      </c>
    </row>
    <row r="85" customFormat="false" ht="27.75" hidden="false" customHeight="true" outlineLevel="0" collapsed="false">
      <c r="B85" s="6" t="s">
        <v>824</v>
      </c>
      <c r="C85" s="6" t="s">
        <v>825</v>
      </c>
      <c r="D85" s="6" t="s">
        <v>826</v>
      </c>
      <c r="E85" s="6" t="s">
        <v>826</v>
      </c>
      <c r="F85" s="7" t="n">
        <v>521560.552672673</v>
      </c>
      <c r="G85" s="6" t="s">
        <v>827</v>
      </c>
      <c r="H85" s="7" t="n">
        <v>149919.201321321</v>
      </c>
      <c r="I85" s="7" t="n">
        <v>371641.351351352</v>
      </c>
    </row>
    <row r="86" customFormat="false" ht="27.75" hidden="false" customHeight="true" outlineLevel="0" collapsed="false">
      <c r="B86" s="6" t="s">
        <v>837</v>
      </c>
      <c r="C86" s="6" t="s">
        <v>825</v>
      </c>
      <c r="D86" s="6" t="s">
        <v>826</v>
      </c>
      <c r="E86" s="6" t="s">
        <v>826</v>
      </c>
      <c r="F86" s="7" t="n">
        <v>521560.552672673</v>
      </c>
      <c r="G86" s="6" t="s">
        <v>838</v>
      </c>
      <c r="H86" s="7" t="n">
        <v>271949.539159159</v>
      </c>
      <c r="I86" s="7" t="n">
        <v>249611.013513514</v>
      </c>
    </row>
    <row r="87" customFormat="false" ht="27.75" hidden="false" customHeight="true" outlineLevel="0" collapsed="false">
      <c r="B87" s="6" t="s">
        <v>839</v>
      </c>
      <c r="C87" s="6" t="s">
        <v>762</v>
      </c>
      <c r="D87" s="6" t="s">
        <v>840</v>
      </c>
      <c r="E87" s="6" t="s">
        <v>840</v>
      </c>
      <c r="F87" s="7" t="n">
        <v>521560.552672673</v>
      </c>
      <c r="G87" s="6" t="s">
        <v>841</v>
      </c>
      <c r="H87" s="7" t="n">
        <v>344592.985105105</v>
      </c>
      <c r="I87" s="7" t="n">
        <v>176967.567567568</v>
      </c>
    </row>
    <row r="88" customFormat="false" ht="27.75" hidden="false" customHeight="true" outlineLevel="0" collapsed="false">
      <c r="B88" s="6" t="s">
        <v>842</v>
      </c>
      <c r="C88" s="6" t="s">
        <v>843</v>
      </c>
      <c r="D88" s="6" t="s">
        <v>844</v>
      </c>
      <c r="E88" s="6" t="s">
        <v>844</v>
      </c>
      <c r="F88" s="7" t="n">
        <v>521560.552672673</v>
      </c>
      <c r="G88" s="6" t="s">
        <v>845</v>
      </c>
      <c r="H88" s="7" t="n">
        <v>346840.552672673</v>
      </c>
      <c r="I88" s="7" t="n">
        <v>174720</v>
      </c>
    </row>
    <row r="89" customFormat="false" ht="27.75" hidden="false" customHeight="true" outlineLevel="0" collapsed="false">
      <c r="B89" s="6" t="s">
        <v>424</v>
      </c>
      <c r="C89" s="6" t="s">
        <v>165</v>
      </c>
      <c r="D89" s="6" t="s">
        <v>846</v>
      </c>
      <c r="E89" s="6" t="s">
        <v>847</v>
      </c>
      <c r="F89" s="7" t="n">
        <v>602704.241561562</v>
      </c>
      <c r="G89" s="6" t="s">
        <v>848</v>
      </c>
      <c r="H89" s="7" t="n">
        <v>440416.863783785</v>
      </c>
      <c r="I89" s="7" t="n">
        <v>162287.377777777</v>
      </c>
    </row>
    <row r="90" customFormat="false" ht="27.75" hidden="false" customHeight="true" outlineLevel="0" collapsed="false">
      <c r="B90" s="6" t="s">
        <v>849</v>
      </c>
      <c r="C90" s="6" t="s">
        <v>850</v>
      </c>
      <c r="D90" s="6" t="s">
        <v>851</v>
      </c>
      <c r="E90" s="6" t="s">
        <v>851</v>
      </c>
      <c r="F90" s="7" t="n">
        <v>521560.552672673</v>
      </c>
      <c r="G90" s="6" t="s">
        <v>852</v>
      </c>
      <c r="H90" s="7" t="n">
        <v>366166.052672671</v>
      </c>
      <c r="I90" s="7" t="n">
        <v>155394.500000001</v>
      </c>
    </row>
    <row r="91" customFormat="false" ht="27.75" hidden="false" customHeight="true" outlineLevel="0" collapsed="false">
      <c r="B91" s="6" t="s">
        <v>853</v>
      </c>
      <c r="C91" s="6" t="s">
        <v>854</v>
      </c>
      <c r="D91" s="6" t="s">
        <v>855</v>
      </c>
      <c r="E91" s="6" t="s">
        <v>826</v>
      </c>
      <c r="F91" s="7" t="n">
        <v>570243.886756757</v>
      </c>
      <c r="G91" s="6" t="s">
        <v>856</v>
      </c>
      <c r="H91" s="7" t="n">
        <v>472877.218588589</v>
      </c>
      <c r="I91" s="7" t="n">
        <v>97366.6681681681</v>
      </c>
    </row>
    <row r="92" customFormat="false" ht="27.75" hidden="false" customHeight="true" outlineLevel="0" collapsed="false">
      <c r="B92" s="6" t="s">
        <v>857</v>
      </c>
      <c r="C92" s="6" t="s">
        <v>159</v>
      </c>
      <c r="D92" s="6" t="s">
        <v>858</v>
      </c>
      <c r="E92" s="6" t="s">
        <v>859</v>
      </c>
      <c r="F92" s="7" t="n">
        <v>521560.552672673</v>
      </c>
      <c r="G92" s="6" t="s">
        <v>860</v>
      </c>
      <c r="H92" s="7" t="n">
        <v>439787.873915917</v>
      </c>
      <c r="I92" s="7" t="n">
        <v>81772.6787567558</v>
      </c>
    </row>
    <row r="93" customFormat="false" ht="27.75" hidden="false" customHeight="true" outlineLevel="0" collapsed="false">
      <c r="B93" s="6" t="s">
        <v>869</v>
      </c>
      <c r="C93" s="6" t="s">
        <v>242</v>
      </c>
      <c r="D93" s="6" t="s">
        <v>870</v>
      </c>
      <c r="E93" s="6" t="s">
        <v>871</v>
      </c>
      <c r="F93" s="7" t="n">
        <v>543308.564294294</v>
      </c>
      <c r="G93" s="6" t="s">
        <v>872</v>
      </c>
      <c r="H93" s="7" t="n">
        <v>488938.53524024</v>
      </c>
      <c r="I93" s="7" t="n">
        <v>54370.0290540536</v>
      </c>
    </row>
    <row r="94" customFormat="false" ht="27.75" hidden="false" customHeight="true" outlineLevel="0" collapsed="false">
      <c r="B94" s="6" t="s">
        <v>828</v>
      </c>
      <c r="C94" s="6" t="s">
        <v>829</v>
      </c>
      <c r="D94" s="6" t="s">
        <v>830</v>
      </c>
      <c r="E94" s="6" t="s">
        <v>831</v>
      </c>
      <c r="F94" s="7" t="n">
        <v>562513.090780781</v>
      </c>
      <c r="G94" s="6" t="s">
        <v>832</v>
      </c>
      <c r="H94" s="7" t="n">
        <v>521560.552672673</v>
      </c>
      <c r="I94" s="7" t="n">
        <v>40952.5381081081</v>
      </c>
    </row>
    <row r="95" customFormat="false" ht="27.75" hidden="false" customHeight="true" outlineLevel="0" collapsed="false">
      <c r="B95" s="6" t="s">
        <v>861</v>
      </c>
      <c r="C95" s="6" t="s">
        <v>159</v>
      </c>
      <c r="D95" s="6" t="s">
        <v>862</v>
      </c>
      <c r="E95" s="6" t="s">
        <v>862</v>
      </c>
      <c r="F95" s="7" t="n">
        <v>521560.552672673</v>
      </c>
      <c r="G95" s="6" t="s">
        <v>863</v>
      </c>
      <c r="H95" s="7" t="n">
        <v>499263.255375374</v>
      </c>
      <c r="I95" s="7" t="n">
        <v>22297.2972972984</v>
      </c>
    </row>
    <row r="96" customFormat="false" ht="27.75" hidden="false" customHeight="true" outlineLevel="0" collapsed="false">
      <c r="B96" s="6" t="s">
        <v>386</v>
      </c>
      <c r="C96" s="6" t="s">
        <v>159</v>
      </c>
      <c r="D96" s="6" t="s">
        <v>864</v>
      </c>
      <c r="E96" s="6" t="s">
        <v>865</v>
      </c>
      <c r="F96" s="7" t="n">
        <v>524263.255375376</v>
      </c>
      <c r="G96" s="6" t="s">
        <v>864</v>
      </c>
      <c r="H96" s="7" t="n">
        <v>521560.552672673</v>
      </c>
      <c r="I96" s="7" t="n">
        <v>2702.70270270295</v>
      </c>
    </row>
    <row r="98" customFormat="false" ht="15" hidden="false" customHeight="false" outlineLevel="0" collapsed="false">
      <c r="B98" s="3" t="s">
        <v>873</v>
      </c>
      <c r="C98" s="3"/>
      <c r="D98" s="3"/>
      <c r="E98" s="3"/>
      <c r="F98" s="3"/>
      <c r="G98" s="3"/>
      <c r="H98" s="3"/>
      <c r="I98" s="3"/>
    </row>
    <row r="99" customFormat="false" ht="15" hidden="false" customHeight="false" outlineLevel="0" collapsed="false">
      <c r="B99" s="5" t="s">
        <v>153</v>
      </c>
      <c r="C99" s="5" t="s">
        <v>156</v>
      </c>
      <c r="D99" s="5" t="s">
        <v>816</v>
      </c>
      <c r="E99" s="5" t="s">
        <v>817</v>
      </c>
      <c r="F99" s="5" t="s">
        <v>818</v>
      </c>
      <c r="G99" s="5" t="s">
        <v>819</v>
      </c>
      <c r="H99" s="5" t="s">
        <v>818</v>
      </c>
      <c r="I99" s="5" t="s">
        <v>820</v>
      </c>
    </row>
    <row r="100" customFormat="false" ht="27.75" hidden="false" customHeight="true" outlineLevel="0" collapsed="false">
      <c r="B100" s="6" t="s">
        <v>833</v>
      </c>
      <c r="C100" s="6" t="s">
        <v>834</v>
      </c>
      <c r="D100" s="6" t="s">
        <v>835</v>
      </c>
      <c r="E100" s="6" t="s">
        <v>835</v>
      </c>
      <c r="F100" s="7" t="n">
        <v>-210864.811381382</v>
      </c>
      <c r="G100" s="6" t="s">
        <v>836</v>
      </c>
      <c r="H100" s="7" t="n">
        <v>-615177.161651652</v>
      </c>
      <c r="I100" s="7" t="n">
        <v>404312.35027027</v>
      </c>
    </row>
    <row r="101" customFormat="false" ht="27.75" hidden="false" customHeight="true" outlineLevel="0" collapsed="false">
      <c r="B101" s="6" t="s">
        <v>824</v>
      </c>
      <c r="C101" s="6" t="s">
        <v>825</v>
      </c>
      <c r="D101" s="6" t="s">
        <v>826</v>
      </c>
      <c r="E101" s="6" t="s">
        <v>826</v>
      </c>
      <c r="F101" s="7" t="n">
        <v>-210864.811381382</v>
      </c>
      <c r="G101" s="6" t="s">
        <v>827</v>
      </c>
      <c r="H101" s="7" t="n">
        <v>-582506.162732732</v>
      </c>
      <c r="I101" s="7" t="n">
        <v>371641.35135135</v>
      </c>
    </row>
    <row r="102" customFormat="false" ht="27.75" hidden="false" customHeight="true" outlineLevel="0" collapsed="false">
      <c r="B102" s="6" t="s">
        <v>225</v>
      </c>
      <c r="C102" s="6" t="s">
        <v>821</v>
      </c>
      <c r="D102" s="6" t="s">
        <v>823</v>
      </c>
      <c r="E102" s="6" t="s">
        <v>823</v>
      </c>
      <c r="F102" s="7" t="n">
        <v>-210864.811381382</v>
      </c>
      <c r="G102" s="6" t="s">
        <v>822</v>
      </c>
      <c r="H102" s="7" t="n">
        <v>-472796.256246247</v>
      </c>
      <c r="I102" s="7" t="n">
        <v>261931.444864865</v>
      </c>
    </row>
    <row r="103" customFormat="false" ht="27.75" hidden="false" customHeight="true" outlineLevel="0" collapsed="false">
      <c r="B103" s="6" t="s">
        <v>837</v>
      </c>
      <c r="C103" s="6" t="s">
        <v>825</v>
      </c>
      <c r="D103" s="6" t="s">
        <v>826</v>
      </c>
      <c r="E103" s="6" t="s">
        <v>826</v>
      </c>
      <c r="F103" s="7" t="n">
        <v>-210864.811381382</v>
      </c>
      <c r="G103" s="6" t="s">
        <v>838</v>
      </c>
      <c r="H103" s="7" t="n">
        <v>-460475.824894897</v>
      </c>
      <c r="I103" s="7" t="n">
        <v>249611.013513515</v>
      </c>
    </row>
    <row r="104" customFormat="false" ht="27.75" hidden="false" customHeight="true" outlineLevel="0" collapsed="false">
      <c r="B104" s="6" t="s">
        <v>839</v>
      </c>
      <c r="C104" s="6" t="s">
        <v>762</v>
      </c>
      <c r="D104" s="6" t="s">
        <v>840</v>
      </c>
      <c r="E104" s="6" t="s">
        <v>840</v>
      </c>
      <c r="F104" s="7" t="n">
        <v>-210864.811381382</v>
      </c>
      <c r="G104" s="6" t="s">
        <v>841</v>
      </c>
      <c r="H104" s="7" t="n">
        <v>-387832.378948949</v>
      </c>
      <c r="I104" s="7" t="n">
        <v>176967.567567567</v>
      </c>
    </row>
    <row r="105" customFormat="false" ht="27.75" hidden="false" customHeight="true" outlineLevel="0" collapsed="false">
      <c r="B105" s="6" t="s">
        <v>842</v>
      </c>
      <c r="C105" s="6" t="s">
        <v>843</v>
      </c>
      <c r="D105" s="6" t="s">
        <v>844</v>
      </c>
      <c r="E105" s="6" t="s">
        <v>844</v>
      </c>
      <c r="F105" s="7" t="n">
        <v>-210864.811381382</v>
      </c>
      <c r="G105" s="6" t="s">
        <v>845</v>
      </c>
      <c r="H105" s="7" t="n">
        <v>-385584.811381382</v>
      </c>
      <c r="I105" s="7" t="n">
        <v>174720.000000001</v>
      </c>
    </row>
    <row r="106" customFormat="false" ht="27.75" hidden="false" customHeight="true" outlineLevel="0" collapsed="false">
      <c r="B106" s="6" t="s">
        <v>424</v>
      </c>
      <c r="C106" s="6" t="s">
        <v>165</v>
      </c>
      <c r="D106" s="6" t="s">
        <v>846</v>
      </c>
      <c r="E106" s="6" t="s">
        <v>847</v>
      </c>
      <c r="F106" s="7" t="n">
        <v>-129721.122492491</v>
      </c>
      <c r="G106" s="6" t="s">
        <v>848</v>
      </c>
      <c r="H106" s="7" t="n">
        <v>-292008.500270271</v>
      </c>
      <c r="I106" s="7" t="n">
        <v>162287.37777778</v>
      </c>
    </row>
    <row r="107" customFormat="false" ht="27.75" hidden="false" customHeight="true" outlineLevel="0" collapsed="false">
      <c r="B107" s="6" t="s">
        <v>849</v>
      </c>
      <c r="C107" s="6" t="s">
        <v>850</v>
      </c>
      <c r="D107" s="6" t="s">
        <v>851</v>
      </c>
      <c r="E107" s="6" t="s">
        <v>851</v>
      </c>
      <c r="F107" s="7" t="n">
        <v>-210864.811381382</v>
      </c>
      <c r="G107" s="6" t="s">
        <v>852</v>
      </c>
      <c r="H107" s="7" t="n">
        <v>-366259.311381383</v>
      </c>
      <c r="I107" s="7" t="n">
        <v>155394.500000001</v>
      </c>
    </row>
    <row r="108" customFormat="false" ht="27.75" hidden="false" customHeight="true" outlineLevel="0" collapsed="false">
      <c r="B108" s="6" t="s">
        <v>857</v>
      </c>
      <c r="C108" s="6" t="s">
        <v>159</v>
      </c>
      <c r="D108" s="6" t="s">
        <v>858</v>
      </c>
      <c r="E108" s="6" t="s">
        <v>859</v>
      </c>
      <c r="F108" s="7" t="n">
        <v>-210864.811381382</v>
      </c>
      <c r="G108" s="6" t="s">
        <v>860</v>
      </c>
      <c r="H108" s="7" t="n">
        <v>-329258.758340841</v>
      </c>
      <c r="I108" s="7" t="n">
        <v>118393.946959459</v>
      </c>
    </row>
    <row r="109" customFormat="false" ht="27.75" hidden="false" customHeight="true" outlineLevel="0" collapsed="false">
      <c r="B109" s="6" t="s">
        <v>853</v>
      </c>
      <c r="C109" s="6" t="s">
        <v>854</v>
      </c>
      <c r="D109" s="6" t="s">
        <v>855</v>
      </c>
      <c r="E109" s="6" t="s">
        <v>826</v>
      </c>
      <c r="F109" s="7" t="n">
        <v>-162181.477297298</v>
      </c>
      <c r="G109" s="6" t="s">
        <v>856</v>
      </c>
      <c r="H109" s="7" t="n">
        <v>-259548.145465466</v>
      </c>
      <c r="I109" s="7" t="n">
        <v>97366.6681681681</v>
      </c>
    </row>
    <row r="110" customFormat="false" ht="27.75" hidden="false" customHeight="true" outlineLevel="0" collapsed="false">
      <c r="B110" s="6" t="s">
        <v>828</v>
      </c>
      <c r="C110" s="6" t="s">
        <v>829</v>
      </c>
      <c r="D110" s="6" t="s">
        <v>830</v>
      </c>
      <c r="E110" s="6" t="s">
        <v>831</v>
      </c>
      <c r="F110" s="7" t="n">
        <v>-169912.273273274</v>
      </c>
      <c r="G110" s="6" t="s">
        <v>832</v>
      </c>
      <c r="H110" s="7" t="n">
        <v>-210864.811381382</v>
      </c>
      <c r="I110" s="7" t="n">
        <v>40952.5381081081</v>
      </c>
    </row>
    <row r="111" customFormat="false" ht="27.75" hidden="false" customHeight="true" outlineLevel="0" collapsed="false">
      <c r="B111" s="6" t="s">
        <v>861</v>
      </c>
      <c r="C111" s="6" t="s">
        <v>159</v>
      </c>
      <c r="D111" s="6" t="s">
        <v>862</v>
      </c>
      <c r="E111" s="6" t="s">
        <v>862</v>
      </c>
      <c r="F111" s="7" t="n">
        <v>-210864.811381382</v>
      </c>
      <c r="G111" s="6" t="s">
        <v>863</v>
      </c>
      <c r="H111" s="7" t="n">
        <v>-233162.10867868</v>
      </c>
      <c r="I111" s="7" t="n">
        <v>22297.2972972984</v>
      </c>
    </row>
    <row r="112" customFormat="false" ht="27.75" hidden="false" customHeight="true" outlineLevel="0" collapsed="false">
      <c r="B112" s="6" t="s">
        <v>386</v>
      </c>
      <c r="C112" s="6" t="s">
        <v>159</v>
      </c>
      <c r="D112" s="6" t="s">
        <v>864</v>
      </c>
      <c r="E112" s="6" t="s">
        <v>865</v>
      </c>
      <c r="F112" s="7" t="n">
        <v>-208162.108678679</v>
      </c>
      <c r="G112" s="6" t="s">
        <v>864</v>
      </c>
      <c r="H112" s="7" t="n">
        <v>-210864.811381382</v>
      </c>
      <c r="I112" s="7" t="n">
        <v>2702.70270270295</v>
      </c>
    </row>
    <row r="114" customFormat="false" ht="15" hidden="false" customHeight="false" outlineLevel="0" collapsed="false">
      <c r="B114" s="3" t="s">
        <v>874</v>
      </c>
      <c r="C114" s="3"/>
      <c r="D114" s="3"/>
      <c r="E114" s="3"/>
      <c r="F114" s="3"/>
      <c r="G114" s="3"/>
      <c r="H114" s="3"/>
      <c r="I114" s="3"/>
    </row>
    <row r="115" customFormat="false" ht="15" hidden="false" customHeight="false" outlineLevel="0" collapsed="false">
      <c r="B115" s="5" t="s">
        <v>153</v>
      </c>
      <c r="C115" s="5" t="s">
        <v>156</v>
      </c>
      <c r="D115" s="5" t="s">
        <v>816</v>
      </c>
      <c r="E115" s="5" t="s">
        <v>817</v>
      </c>
      <c r="F115" s="5" t="s">
        <v>818</v>
      </c>
      <c r="G115" s="5" t="s">
        <v>819</v>
      </c>
      <c r="H115" s="5" t="s">
        <v>818</v>
      </c>
      <c r="I115" s="5" t="s">
        <v>820</v>
      </c>
    </row>
    <row r="116" customFormat="false" ht="27.75" hidden="false" customHeight="true" outlineLevel="0" collapsed="false">
      <c r="B116" s="6" t="s">
        <v>824</v>
      </c>
      <c r="C116" s="6" t="s">
        <v>825</v>
      </c>
      <c r="D116" s="6" t="s">
        <v>826</v>
      </c>
      <c r="E116" s="6" t="s">
        <v>826</v>
      </c>
      <c r="F116" s="7" t="n">
        <v>584485.568618618</v>
      </c>
      <c r="G116" s="6" t="s">
        <v>827</v>
      </c>
      <c r="H116" s="7" t="n">
        <v>212844.217267267</v>
      </c>
      <c r="I116" s="7" t="n">
        <v>371641.351351352</v>
      </c>
    </row>
    <row r="117" customFormat="false" ht="27.75" hidden="false" customHeight="true" outlineLevel="0" collapsed="false">
      <c r="B117" s="6" t="s">
        <v>833</v>
      </c>
      <c r="C117" s="6" t="s">
        <v>834</v>
      </c>
      <c r="D117" s="6" t="s">
        <v>835</v>
      </c>
      <c r="E117" s="6" t="s">
        <v>835</v>
      </c>
      <c r="F117" s="7" t="n">
        <v>584485.568618618</v>
      </c>
      <c r="G117" s="6" t="s">
        <v>836</v>
      </c>
      <c r="H117" s="7" t="n">
        <v>247985.610510509</v>
      </c>
      <c r="I117" s="7" t="n">
        <v>336499.958108109</v>
      </c>
    </row>
    <row r="118" customFormat="false" ht="27.75" hidden="false" customHeight="true" outlineLevel="0" collapsed="false">
      <c r="B118" s="6" t="s">
        <v>837</v>
      </c>
      <c r="C118" s="6" t="s">
        <v>825</v>
      </c>
      <c r="D118" s="6" t="s">
        <v>826</v>
      </c>
      <c r="E118" s="6" t="s">
        <v>826</v>
      </c>
      <c r="F118" s="7" t="n">
        <v>584485.568618618</v>
      </c>
      <c r="G118" s="6" t="s">
        <v>838</v>
      </c>
      <c r="H118" s="7" t="n">
        <v>334874.555105105</v>
      </c>
      <c r="I118" s="7" t="n">
        <v>249611.013513513</v>
      </c>
    </row>
    <row r="119" customFormat="false" ht="27.75" hidden="false" customHeight="true" outlineLevel="0" collapsed="false">
      <c r="B119" s="6" t="s">
        <v>839</v>
      </c>
      <c r="C119" s="6" t="s">
        <v>762</v>
      </c>
      <c r="D119" s="6" t="s">
        <v>840</v>
      </c>
      <c r="E119" s="6" t="s">
        <v>840</v>
      </c>
      <c r="F119" s="7" t="n">
        <v>584485.568618618</v>
      </c>
      <c r="G119" s="6" t="s">
        <v>841</v>
      </c>
      <c r="H119" s="7" t="n">
        <v>341951.829429429</v>
      </c>
      <c r="I119" s="7" t="n">
        <v>242533.739189189</v>
      </c>
    </row>
    <row r="120" customFormat="false" ht="27.75" hidden="false" customHeight="true" outlineLevel="0" collapsed="false">
      <c r="B120" s="6" t="s">
        <v>842</v>
      </c>
      <c r="C120" s="6" t="s">
        <v>843</v>
      </c>
      <c r="D120" s="6" t="s">
        <v>844</v>
      </c>
      <c r="E120" s="6" t="s">
        <v>844</v>
      </c>
      <c r="F120" s="7" t="n">
        <v>584485.568618618</v>
      </c>
      <c r="G120" s="6" t="s">
        <v>845</v>
      </c>
      <c r="H120" s="7" t="n">
        <v>409765.568618618</v>
      </c>
      <c r="I120" s="7" t="n">
        <v>174720.000000001</v>
      </c>
    </row>
    <row r="121" customFormat="false" ht="27.75" hidden="false" customHeight="true" outlineLevel="0" collapsed="false">
      <c r="B121" s="6" t="s">
        <v>424</v>
      </c>
      <c r="C121" s="6" t="s">
        <v>165</v>
      </c>
      <c r="D121" s="6" t="s">
        <v>846</v>
      </c>
      <c r="E121" s="6" t="s">
        <v>847</v>
      </c>
      <c r="F121" s="7" t="n">
        <v>665629.257507509</v>
      </c>
      <c r="G121" s="6" t="s">
        <v>848</v>
      </c>
      <c r="H121" s="7" t="n">
        <v>503341.879729731</v>
      </c>
      <c r="I121" s="7" t="n">
        <v>162287.377777778</v>
      </c>
    </row>
    <row r="122" customFormat="false" ht="27.75" hidden="false" customHeight="true" outlineLevel="0" collapsed="false">
      <c r="B122" s="6" t="s">
        <v>849</v>
      </c>
      <c r="C122" s="6" t="s">
        <v>850</v>
      </c>
      <c r="D122" s="6" t="s">
        <v>851</v>
      </c>
      <c r="E122" s="6" t="s">
        <v>851</v>
      </c>
      <c r="F122" s="7" t="n">
        <v>584485.568618618</v>
      </c>
      <c r="G122" s="6" t="s">
        <v>852</v>
      </c>
      <c r="H122" s="7" t="n">
        <v>429091.068618617</v>
      </c>
      <c r="I122" s="7" t="n">
        <v>155394.500000001</v>
      </c>
    </row>
    <row r="123" customFormat="false" ht="27.75" hidden="false" customHeight="true" outlineLevel="0" collapsed="false">
      <c r="B123" s="6" t="s">
        <v>853</v>
      </c>
      <c r="C123" s="6" t="s">
        <v>854</v>
      </c>
      <c r="D123" s="6" t="s">
        <v>855</v>
      </c>
      <c r="E123" s="6" t="s">
        <v>826</v>
      </c>
      <c r="F123" s="7" t="n">
        <v>633168.902702702</v>
      </c>
      <c r="G123" s="6" t="s">
        <v>856</v>
      </c>
      <c r="H123" s="7" t="n">
        <v>535802.234534534</v>
      </c>
      <c r="I123" s="7" t="n">
        <v>97366.6681681681</v>
      </c>
    </row>
    <row r="124" customFormat="false" ht="27.75" hidden="false" customHeight="true" outlineLevel="0" collapsed="false">
      <c r="B124" s="6" t="s">
        <v>225</v>
      </c>
      <c r="C124" s="6" t="s">
        <v>821</v>
      </c>
      <c r="D124" s="6" t="s">
        <v>823</v>
      </c>
      <c r="E124" s="6" t="s">
        <v>823</v>
      </c>
      <c r="F124" s="7" t="n">
        <v>584485.568618618</v>
      </c>
      <c r="G124" s="6" t="s">
        <v>822</v>
      </c>
      <c r="H124" s="7" t="n">
        <v>490519.349699698</v>
      </c>
      <c r="I124" s="7" t="n">
        <v>93966.2189189196</v>
      </c>
    </row>
    <row r="125" customFormat="false" ht="27.75" hidden="false" customHeight="true" outlineLevel="0" collapsed="false">
      <c r="B125" s="6" t="s">
        <v>869</v>
      </c>
      <c r="C125" s="6" t="s">
        <v>242</v>
      </c>
      <c r="D125" s="6" t="s">
        <v>870</v>
      </c>
      <c r="E125" s="6" t="s">
        <v>871</v>
      </c>
      <c r="F125" s="7" t="n">
        <v>620955.838888888</v>
      </c>
      <c r="G125" s="6" t="s">
        <v>872</v>
      </c>
      <c r="H125" s="7" t="n">
        <v>529780.163213212</v>
      </c>
      <c r="I125" s="7" t="n">
        <v>91175.6756756762</v>
      </c>
    </row>
    <row r="126" customFormat="false" ht="27.75" hidden="false" customHeight="true" outlineLevel="0" collapsed="false">
      <c r="B126" s="6" t="s">
        <v>857</v>
      </c>
      <c r="C126" s="6" t="s">
        <v>159</v>
      </c>
      <c r="D126" s="6" t="s">
        <v>858</v>
      </c>
      <c r="E126" s="6" t="s">
        <v>859</v>
      </c>
      <c r="F126" s="7" t="n">
        <v>584485.568618618</v>
      </c>
      <c r="G126" s="6" t="s">
        <v>860</v>
      </c>
      <c r="H126" s="7" t="n">
        <v>503811.513753754</v>
      </c>
      <c r="I126" s="7" t="n">
        <v>80674.0548648643</v>
      </c>
    </row>
    <row r="127" customFormat="false" ht="27.75" hidden="false" customHeight="true" outlineLevel="0" collapsed="false">
      <c r="B127" s="6" t="s">
        <v>861</v>
      </c>
      <c r="C127" s="6" t="s">
        <v>159</v>
      </c>
      <c r="D127" s="6" t="s">
        <v>862</v>
      </c>
      <c r="E127" s="6" t="s">
        <v>862</v>
      </c>
      <c r="F127" s="7" t="n">
        <v>584485.568618618</v>
      </c>
      <c r="G127" s="6" t="s">
        <v>863</v>
      </c>
      <c r="H127" s="7" t="n">
        <v>562188.27132132</v>
      </c>
      <c r="I127" s="7" t="n">
        <v>22297.2972972984</v>
      </c>
    </row>
    <row r="128" customFormat="false" ht="27.75" hidden="false" customHeight="true" outlineLevel="0" collapsed="false">
      <c r="B128" s="6" t="s">
        <v>875</v>
      </c>
      <c r="C128" s="6" t="s">
        <v>242</v>
      </c>
      <c r="D128" s="6" t="s">
        <v>876</v>
      </c>
      <c r="E128" s="6" t="s">
        <v>876</v>
      </c>
      <c r="F128" s="7" t="n">
        <v>584485.568618618</v>
      </c>
      <c r="G128" s="6" t="s">
        <v>877</v>
      </c>
      <c r="H128" s="7" t="n">
        <v>575267.729699699</v>
      </c>
      <c r="I128" s="7" t="n">
        <v>9217.83891891921</v>
      </c>
    </row>
    <row r="129" customFormat="false" ht="27.75" hidden="false" customHeight="true" outlineLevel="0" collapsed="false">
      <c r="B129" s="6" t="s">
        <v>386</v>
      </c>
      <c r="C129" s="6" t="s">
        <v>159</v>
      </c>
      <c r="D129" s="6" t="s">
        <v>864</v>
      </c>
      <c r="E129" s="6" t="s">
        <v>865</v>
      </c>
      <c r="F129" s="7" t="n">
        <v>587188.271321322</v>
      </c>
      <c r="G129" s="6" t="s">
        <v>864</v>
      </c>
      <c r="H129" s="7" t="n">
        <v>584485.568618618</v>
      </c>
      <c r="I129" s="7" t="n">
        <v>2702.70270270435</v>
      </c>
    </row>
  </sheetData>
  <mergeCells count="9">
    <mergeCell ref="B4:I4"/>
    <mergeCell ref="B16:J16"/>
    <mergeCell ref="B24:J24"/>
    <mergeCell ref="B34:I34"/>
    <mergeCell ref="B50:I50"/>
    <mergeCell ref="B66:I66"/>
    <mergeCell ref="B81:I81"/>
    <mergeCell ref="B98:I98"/>
    <mergeCell ref="B114:I11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0"/>
    <col collapsed="false" customWidth="true" hidden="false" outlineLevel="0" max="3" min="3" style="0" width="24"/>
    <col collapsed="false" customWidth="true" hidden="false" outlineLevel="0" max="4" min="4" style="0" width="28"/>
    <col collapsed="false" customWidth="true" hidden="false" outlineLevel="0" max="5" min="5" style="0" width="18"/>
    <col collapsed="false" customWidth="true" hidden="false" outlineLevel="0" max="7" min="6" style="0" width="16"/>
    <col collapsed="false" customWidth="true" hidden="false" outlineLevel="0" max="8" min="8" style="0" width="34"/>
  </cols>
  <sheetData>
    <row r="1" customFormat="false" ht="17.35" hidden="false" customHeight="false" outlineLevel="0" collapsed="false">
      <c r="B1" s="1" t="s">
        <v>878</v>
      </c>
    </row>
    <row r="2" customFormat="false" ht="15" hidden="false" customHeight="false" outlineLevel="0" collapsed="false">
      <c r="B2" s="2" t="s">
        <v>879</v>
      </c>
    </row>
    <row r="4" customFormat="false" ht="23.85" hidden="false" customHeight="false" outlineLevel="0" collapsed="false">
      <c r="B4" s="5" t="s">
        <v>880</v>
      </c>
      <c r="C4" s="5" t="s">
        <v>881</v>
      </c>
      <c r="D4" s="5" t="s">
        <v>882</v>
      </c>
      <c r="E4" s="5" t="s">
        <v>883</v>
      </c>
      <c r="F4" s="5" t="s">
        <v>884</v>
      </c>
      <c r="G4" s="5" t="s">
        <v>885</v>
      </c>
      <c r="H4" s="5" t="s">
        <v>886</v>
      </c>
    </row>
    <row r="5" customFormat="false" ht="31.5" hidden="false" customHeight="true" outlineLevel="0" collapsed="false">
      <c r="B5" s="6" t="s">
        <v>887</v>
      </c>
      <c r="C5" s="6" t="s">
        <v>888</v>
      </c>
      <c r="D5" s="6" t="s">
        <v>889</v>
      </c>
      <c r="E5" s="6" t="s">
        <v>890</v>
      </c>
      <c r="F5" s="7" t="n">
        <v>-155394.499999999</v>
      </c>
      <c r="G5" s="7" t="n">
        <v>-155394.499999999</v>
      </c>
      <c r="H5" s="6" t="s">
        <v>891</v>
      </c>
    </row>
    <row r="6" customFormat="false" ht="31.5" hidden="false" customHeight="true" outlineLevel="0" collapsed="false">
      <c r="B6" s="6" t="s">
        <v>892</v>
      </c>
      <c r="C6" s="6" t="s">
        <v>844</v>
      </c>
      <c r="D6" s="6" t="s">
        <v>845</v>
      </c>
      <c r="E6" s="6" t="s">
        <v>893</v>
      </c>
      <c r="F6" s="7" t="n">
        <v>-174720</v>
      </c>
      <c r="G6" s="7" t="n">
        <v>-174720</v>
      </c>
      <c r="H6" s="6" t="s">
        <v>894</v>
      </c>
    </row>
    <row r="7" customFormat="false" ht="31.5" hidden="false" customHeight="true" outlineLevel="0" collapsed="false">
      <c r="B7" s="6" t="s">
        <v>895</v>
      </c>
      <c r="C7" s="6" t="s">
        <v>896</v>
      </c>
      <c r="D7" s="6" t="s">
        <v>841</v>
      </c>
      <c r="E7" s="6" t="s">
        <v>897</v>
      </c>
      <c r="F7" s="7" t="n">
        <v>-176967.567567567</v>
      </c>
      <c r="G7" s="7" t="n">
        <v>-176967.567567568</v>
      </c>
      <c r="H7" s="6" t="s">
        <v>898</v>
      </c>
    </row>
    <row r="8" customFormat="false" ht="31.5" hidden="false" customHeight="true" outlineLevel="0" collapsed="false">
      <c r="B8" s="6" t="s">
        <v>895</v>
      </c>
      <c r="C8" s="6" t="s">
        <v>896</v>
      </c>
      <c r="D8" s="6" t="s">
        <v>841</v>
      </c>
      <c r="E8" s="6" t="s">
        <v>112</v>
      </c>
      <c r="F8" s="7" t="n">
        <v>-242533.739189189</v>
      </c>
      <c r="G8" s="7" t="n">
        <v>-242533.739189189</v>
      </c>
      <c r="H8" s="6" t="s">
        <v>899</v>
      </c>
    </row>
    <row r="9" customFormat="false" ht="31.5" hidden="false" customHeight="true" outlineLevel="0" collapsed="false">
      <c r="B9" s="6" t="s">
        <v>900</v>
      </c>
      <c r="C9" s="6" t="s">
        <v>901</v>
      </c>
      <c r="D9" s="6" t="s">
        <v>902</v>
      </c>
      <c r="E9" s="6" t="s">
        <v>903</v>
      </c>
      <c r="F9" s="7" t="n">
        <v>-2813.16216216216</v>
      </c>
      <c r="G9" s="7" t="n">
        <v>-2813.16216216216</v>
      </c>
      <c r="H9" s="6" t="s">
        <v>904</v>
      </c>
    </row>
    <row r="10" customFormat="false" ht="31.5" hidden="false" customHeight="true" outlineLevel="0" collapsed="false">
      <c r="B10" s="6" t="s">
        <v>905</v>
      </c>
      <c r="C10" s="6" t="s">
        <v>835</v>
      </c>
      <c r="D10" s="6" t="s">
        <v>836</v>
      </c>
      <c r="E10" s="6" t="s">
        <v>801</v>
      </c>
      <c r="F10" s="7" t="n">
        <v>-267244.581891892</v>
      </c>
      <c r="G10" s="7" t="n">
        <v>-531789.395405406</v>
      </c>
      <c r="H10" s="6" t="s">
        <v>906</v>
      </c>
    </row>
    <row r="11" customFormat="false" ht="31.5" hidden="false" customHeight="true" outlineLevel="0" collapsed="false">
      <c r="B11" s="6" t="s">
        <v>905</v>
      </c>
      <c r="C11" s="6" t="s">
        <v>835</v>
      </c>
      <c r="D11" s="6" t="s">
        <v>836</v>
      </c>
      <c r="E11" s="6" t="s">
        <v>112</v>
      </c>
      <c r="F11" s="7" t="n">
        <v>-485067.47837838</v>
      </c>
      <c r="G11" s="7" t="n">
        <v>-336499.958108109</v>
      </c>
      <c r="H11" s="6" t="s">
        <v>906</v>
      </c>
    </row>
    <row r="12" customFormat="false" ht="31.5" hidden="false" customHeight="true" outlineLevel="0" collapsed="false">
      <c r="B12" s="6" t="s">
        <v>907</v>
      </c>
      <c r="C12" s="6" t="s">
        <v>908</v>
      </c>
      <c r="D12" s="6" t="s">
        <v>735</v>
      </c>
      <c r="E12" s="6" t="s">
        <v>134</v>
      </c>
      <c r="F12" s="7" t="n">
        <v>441153.140540543</v>
      </c>
      <c r="G12" s="7" t="n">
        <v>441153.140540543</v>
      </c>
      <c r="H12" s="6" t="s">
        <v>909</v>
      </c>
    </row>
    <row r="13" customFormat="false" ht="31.5" hidden="false" customHeight="true" outlineLevel="0" collapsed="false">
      <c r="B13" s="6" t="s">
        <v>910</v>
      </c>
      <c r="C13" s="6" t="s">
        <v>911</v>
      </c>
      <c r="D13" s="6" t="s">
        <v>912</v>
      </c>
      <c r="E13" s="6" t="s">
        <v>134</v>
      </c>
      <c r="F13" s="7" t="n">
        <v>0</v>
      </c>
      <c r="G13" s="7" t="n">
        <v>171565.113513514</v>
      </c>
      <c r="H13" s="6" t="s">
        <v>913</v>
      </c>
    </row>
    <row r="14" customFormat="false" ht="31.5" hidden="false" customHeight="true" outlineLevel="0" collapsed="false">
      <c r="B14" s="6" t="s">
        <v>914</v>
      </c>
      <c r="C14" s="6" t="s">
        <v>915</v>
      </c>
      <c r="D14" s="6" t="s">
        <v>916</v>
      </c>
      <c r="E14" s="6" t="s">
        <v>897</v>
      </c>
      <c r="F14" s="7" t="n">
        <v>286667.766756757</v>
      </c>
      <c r="G14" s="7" t="n">
        <v>40952.5381081081</v>
      </c>
      <c r="H14" s="6" t="s">
        <v>913</v>
      </c>
    </row>
    <row r="15" customFormat="false" ht="31.5" hidden="false" customHeight="true" outlineLevel="0" collapsed="false">
      <c r="B15" s="6" t="s">
        <v>875</v>
      </c>
      <c r="C15" s="6" t="s">
        <v>917</v>
      </c>
      <c r="D15" s="6" t="s">
        <v>918</v>
      </c>
      <c r="E15" s="6" t="s">
        <v>112</v>
      </c>
      <c r="F15" s="7" t="n">
        <v>0</v>
      </c>
      <c r="G15" s="7" t="n">
        <v>-9217.83891891921</v>
      </c>
      <c r="H15" s="6" t="s">
        <v>112</v>
      </c>
    </row>
    <row r="16" customFormat="false" ht="31.5" hidden="false" customHeight="true" outlineLevel="0" collapsed="false">
      <c r="B16" s="6" t="s">
        <v>919</v>
      </c>
      <c r="C16" s="6" t="s">
        <v>920</v>
      </c>
      <c r="D16" s="6" t="s">
        <v>162</v>
      </c>
      <c r="E16" s="6" t="s">
        <v>112</v>
      </c>
      <c r="F16" s="7"/>
      <c r="G16" s="7"/>
      <c r="H16" s="6" t="s">
        <v>921</v>
      </c>
    </row>
    <row r="17" customFormat="false" ht="31.5" hidden="false" customHeight="true" outlineLevel="0" collapsed="false">
      <c r="B17" s="6" t="s">
        <v>386</v>
      </c>
      <c r="C17" s="6" t="s">
        <v>864</v>
      </c>
      <c r="D17" s="6" t="s">
        <v>922</v>
      </c>
      <c r="E17" s="6" t="s">
        <v>893</v>
      </c>
      <c r="F17" s="7" t="n">
        <v>18918.9189189198</v>
      </c>
      <c r="G17" s="7" t="n">
        <v>2702.70270270295</v>
      </c>
      <c r="H17" s="6" t="s">
        <v>923</v>
      </c>
    </row>
    <row r="18" customFormat="false" ht="31.5" hidden="false" customHeight="true" outlineLevel="0" collapsed="false">
      <c r="B18" s="6" t="s">
        <v>924</v>
      </c>
      <c r="C18" s="6" t="s">
        <v>925</v>
      </c>
      <c r="D18" s="6" t="s">
        <v>926</v>
      </c>
      <c r="E18" s="6" t="s">
        <v>801</v>
      </c>
      <c r="F18" s="7" t="n">
        <v>-88146.5310135121</v>
      </c>
      <c r="G18" s="7" t="n">
        <v>-81772.6787567558</v>
      </c>
      <c r="H18" s="6" t="s">
        <v>923</v>
      </c>
    </row>
    <row r="19" customFormat="false" ht="31.5" hidden="false" customHeight="true" outlineLevel="0" collapsed="false">
      <c r="B19" s="6" t="s">
        <v>861</v>
      </c>
      <c r="C19" s="6" t="s">
        <v>927</v>
      </c>
      <c r="D19" s="6" t="s">
        <v>928</v>
      </c>
      <c r="E19" s="6" t="s">
        <v>893</v>
      </c>
      <c r="F19" s="7" t="n">
        <v>-22297.2972972984</v>
      </c>
      <c r="G19" s="7" t="n">
        <v>-22297.2972972984</v>
      </c>
      <c r="H19" s="6" t="s">
        <v>929</v>
      </c>
    </row>
    <row r="20" customFormat="false" ht="31.5" hidden="false" customHeight="true" outlineLevel="0" collapsed="false">
      <c r="B20" s="6" t="s">
        <v>930</v>
      </c>
      <c r="C20" s="6" t="s">
        <v>931</v>
      </c>
      <c r="D20" s="6" t="s">
        <v>932</v>
      </c>
      <c r="E20" s="6" t="s">
        <v>913</v>
      </c>
      <c r="F20" s="7"/>
      <c r="G20" s="7"/>
      <c r="H20" s="6" t="s">
        <v>933</v>
      </c>
    </row>
    <row r="21" customFormat="false" ht="31.5" hidden="false" customHeight="true" outlineLevel="0" collapsed="false">
      <c r="B21" s="6" t="s">
        <v>934</v>
      </c>
      <c r="C21" s="6" t="s">
        <v>935</v>
      </c>
      <c r="D21" s="6" t="s">
        <v>936</v>
      </c>
      <c r="E21" s="6" t="s">
        <v>112</v>
      </c>
      <c r="F21" s="7"/>
      <c r="G21" s="7"/>
      <c r="H21" s="6" t="s">
        <v>937</v>
      </c>
    </row>
    <row r="22" customFormat="false" ht="31.5" hidden="false" customHeight="true" outlineLevel="0" collapsed="false">
      <c r="B22" s="6" t="s">
        <v>938</v>
      </c>
      <c r="C22" s="6" t="s">
        <v>939</v>
      </c>
      <c r="D22" s="6" t="s">
        <v>940</v>
      </c>
      <c r="E22" s="6" t="s">
        <v>903</v>
      </c>
      <c r="F22" s="7"/>
      <c r="G22" s="7"/>
      <c r="H22" s="6" t="s">
        <v>941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4"/>
    <col collapsed="false" customWidth="true" hidden="false" outlineLevel="0" max="4" min="4" style="0" width="34"/>
    <col collapsed="false" customWidth="true" hidden="false" outlineLevel="0" max="9" min="5" style="0" width="16"/>
    <col collapsed="false" customWidth="true" hidden="false" outlineLevel="0" max="10" min="10" style="0" width="14"/>
    <col collapsed="false" customWidth="true" hidden="false" outlineLevel="0" max="11" min="11" style="0" width="40"/>
  </cols>
  <sheetData>
    <row r="1" customFormat="false" ht="17.35" hidden="false" customHeight="false" outlineLevel="0" collapsed="false">
      <c r="B1" s="1" t="s">
        <v>942</v>
      </c>
    </row>
    <row r="2" customFormat="false" ht="15" hidden="false" customHeight="false" outlineLevel="0" collapsed="false">
      <c r="B2" s="2" t="s">
        <v>943</v>
      </c>
    </row>
    <row r="4" customFormat="false" ht="35.05" hidden="false" customHeight="false" outlineLevel="0" collapsed="false">
      <c r="B4" s="5" t="s">
        <v>944</v>
      </c>
      <c r="C4" s="5" t="s">
        <v>793</v>
      </c>
      <c r="D4" s="5" t="s">
        <v>945</v>
      </c>
      <c r="E4" s="5" t="s">
        <v>946</v>
      </c>
      <c r="F4" s="5" t="s">
        <v>947</v>
      </c>
      <c r="G4" s="5" t="s">
        <v>948</v>
      </c>
      <c r="H4" s="5" t="s">
        <v>949</v>
      </c>
      <c r="I4" s="5" t="s">
        <v>950</v>
      </c>
      <c r="J4" s="5" t="s">
        <v>304</v>
      </c>
      <c r="K4" s="5" t="s">
        <v>37</v>
      </c>
    </row>
    <row r="5" customFormat="false" ht="30" hidden="false" customHeight="true" outlineLevel="0" collapsed="false">
      <c r="B5" s="6" t="s">
        <v>234</v>
      </c>
      <c r="C5" s="6" t="s">
        <v>111</v>
      </c>
      <c r="D5" s="6" t="s">
        <v>951</v>
      </c>
      <c r="E5" s="51" t="n">
        <v>37942.0110810811</v>
      </c>
      <c r="F5" s="7" t="n">
        <v>17472</v>
      </c>
      <c r="G5" s="51" t="n">
        <v>2702.7027027027</v>
      </c>
      <c r="H5" s="51" t="n">
        <v>58116.7137837838</v>
      </c>
      <c r="I5" s="51" t="n">
        <v>76047.4054054054</v>
      </c>
      <c r="J5" s="6" t="s">
        <v>952</v>
      </c>
      <c r="K5" s="6" t="s">
        <v>953</v>
      </c>
    </row>
    <row r="6" customFormat="false" ht="30" hidden="false" customHeight="true" outlineLevel="0" collapsed="false">
      <c r="B6" s="6" t="s">
        <v>234</v>
      </c>
      <c r="C6" s="6" t="s">
        <v>113</v>
      </c>
      <c r="D6" s="6" t="s">
        <v>954</v>
      </c>
      <c r="E6" s="51" t="n">
        <v>48206.4554054054</v>
      </c>
      <c r="F6" s="7" t="n">
        <v>17472</v>
      </c>
      <c r="G6" s="51" t="n">
        <v>2702.7027027027</v>
      </c>
      <c r="H6" s="51" t="n">
        <v>68381.1581081081</v>
      </c>
      <c r="I6" s="51" t="n">
        <v>76047.4054054054</v>
      </c>
      <c r="J6" s="6" t="s">
        <v>952</v>
      </c>
      <c r="K6" s="6" t="s">
        <v>955</v>
      </c>
    </row>
    <row r="7" customFormat="false" ht="30" hidden="false" customHeight="true" outlineLevel="0" collapsed="false">
      <c r="B7" s="6" t="s">
        <v>234</v>
      </c>
      <c r="C7" s="6" t="s">
        <v>112</v>
      </c>
      <c r="D7" s="6" t="s">
        <v>956</v>
      </c>
      <c r="E7" s="51" t="n">
        <v>37900.8113513514</v>
      </c>
      <c r="F7" s="7" t="n">
        <v>17472</v>
      </c>
      <c r="G7" s="51" t="n">
        <v>2702.7027027027</v>
      </c>
      <c r="H7" s="51" t="n">
        <v>58075.5140540541</v>
      </c>
      <c r="I7" s="51" t="n">
        <v>76047.4054054054</v>
      </c>
      <c r="J7" s="6" t="s">
        <v>952</v>
      </c>
      <c r="K7" s="6" t="s">
        <v>953</v>
      </c>
    </row>
    <row r="8" customFormat="false" ht="30" hidden="false" customHeight="true" outlineLevel="0" collapsed="false">
      <c r="B8" s="6" t="s">
        <v>235</v>
      </c>
      <c r="C8" s="6" t="s">
        <v>111</v>
      </c>
      <c r="D8" s="6" t="s">
        <v>957</v>
      </c>
      <c r="E8" s="51" t="n">
        <v>59690.0227027027</v>
      </c>
      <c r="F8" s="7" t="n">
        <v>26208</v>
      </c>
      <c r="G8" s="51" t="n">
        <v>2702.7027027027</v>
      </c>
      <c r="H8" s="51" t="n">
        <v>88600.7254054054</v>
      </c>
      <c r="I8" s="51" t="n">
        <v>99473.8108108108</v>
      </c>
      <c r="J8" s="6" t="s">
        <v>952</v>
      </c>
      <c r="K8" s="6" t="s">
        <v>953</v>
      </c>
    </row>
    <row r="9" customFormat="false" ht="30" hidden="false" customHeight="true" outlineLevel="0" collapsed="false">
      <c r="B9" s="6" t="s">
        <v>235</v>
      </c>
      <c r="C9" s="6" t="s">
        <v>113</v>
      </c>
      <c r="D9" s="6" t="s">
        <v>958</v>
      </c>
      <c r="E9" s="51" t="n">
        <v>82239.1054054054</v>
      </c>
      <c r="F9" s="7" t="n">
        <v>26208</v>
      </c>
      <c r="G9" s="51" t="n">
        <v>2702.7027027027</v>
      </c>
      <c r="H9" s="51" t="n">
        <v>111149.808108108</v>
      </c>
      <c r="I9" s="51" t="n">
        <v>99473.8108108108</v>
      </c>
      <c r="J9" s="6" t="s">
        <v>952</v>
      </c>
      <c r="K9" s="6" t="s">
        <v>955</v>
      </c>
    </row>
    <row r="10" customFormat="false" ht="30" hidden="false" customHeight="true" outlineLevel="0" collapsed="false">
      <c r="B10" s="6" t="s">
        <v>235</v>
      </c>
      <c r="C10" s="6" t="s">
        <v>112</v>
      </c>
      <c r="D10" s="6" t="s">
        <v>959</v>
      </c>
      <c r="E10" s="51" t="n">
        <v>56135.9464864865</v>
      </c>
      <c r="F10" s="7" t="n">
        <v>26208</v>
      </c>
      <c r="G10" s="51" t="n">
        <v>2702.7027027027</v>
      </c>
      <c r="H10" s="51" t="n">
        <v>85046.6491891892</v>
      </c>
      <c r="I10" s="51" t="n">
        <v>99473.8108108108</v>
      </c>
      <c r="J10" s="6" t="s">
        <v>952</v>
      </c>
      <c r="K10" s="6" t="s">
        <v>953</v>
      </c>
    </row>
    <row r="11" customFormat="false" ht="30" hidden="false" customHeight="true" outlineLevel="0" collapsed="false">
      <c r="B11" s="6" t="s">
        <v>236</v>
      </c>
      <c r="C11" s="6" t="s">
        <v>111</v>
      </c>
      <c r="D11" s="6" t="s">
        <v>960</v>
      </c>
      <c r="E11" s="51" t="n">
        <v>64449.4589189189</v>
      </c>
      <c r="F11" s="7" t="n">
        <v>34944</v>
      </c>
      <c r="G11" s="51" t="n">
        <v>2702.7027027027</v>
      </c>
      <c r="H11" s="51" t="n">
        <v>102096.161621622</v>
      </c>
      <c r="I11" s="51" t="n">
        <v>96184.8108108108</v>
      </c>
      <c r="J11" s="6" t="s">
        <v>952</v>
      </c>
      <c r="K11" s="6" t="s">
        <v>953</v>
      </c>
    </row>
    <row r="12" customFormat="false" ht="30" hidden="false" customHeight="true" outlineLevel="0" collapsed="false">
      <c r="B12" s="6" t="s">
        <v>236</v>
      </c>
      <c r="C12" s="6" t="s">
        <v>113</v>
      </c>
      <c r="D12" s="6" t="s">
        <v>961</v>
      </c>
      <c r="E12" s="51" t="n">
        <v>100986.452432432</v>
      </c>
      <c r="F12" s="7" t="n">
        <v>34944</v>
      </c>
      <c r="G12" s="51" t="n">
        <v>2702.7027027027</v>
      </c>
      <c r="H12" s="51" t="n">
        <v>138633.155135135</v>
      </c>
      <c r="I12" s="51" t="n">
        <v>96184.8108108108</v>
      </c>
      <c r="J12" s="6" t="s">
        <v>952</v>
      </c>
      <c r="K12" s="6" t="s">
        <v>955</v>
      </c>
    </row>
    <row r="13" customFormat="false" ht="30" hidden="false" customHeight="true" outlineLevel="0" collapsed="false">
      <c r="B13" s="6" t="s">
        <v>236</v>
      </c>
      <c r="C13" s="6" t="s">
        <v>112</v>
      </c>
      <c r="D13" s="6" t="s">
        <v>962</v>
      </c>
      <c r="E13" s="51" t="n">
        <v>67298.1086486487</v>
      </c>
      <c r="F13" s="7" t="n">
        <v>34944</v>
      </c>
      <c r="G13" s="51" t="n">
        <v>2702.7027027027</v>
      </c>
      <c r="H13" s="51" t="n">
        <v>104944.811351351</v>
      </c>
      <c r="I13" s="51" t="n">
        <v>96184.8108108108</v>
      </c>
      <c r="J13" s="6" t="s">
        <v>952</v>
      </c>
      <c r="K13" s="6" t="s">
        <v>953</v>
      </c>
    </row>
    <row r="14" customFormat="false" ht="30" hidden="false" customHeight="true" outlineLevel="0" collapsed="false">
      <c r="B14" s="6" t="s">
        <v>237</v>
      </c>
      <c r="C14" s="6" t="s">
        <v>111</v>
      </c>
      <c r="D14" s="6" t="s">
        <v>963</v>
      </c>
      <c r="E14" s="51" t="n">
        <v>66611.6210810811</v>
      </c>
      <c r="F14" s="7" t="n">
        <v>40768</v>
      </c>
      <c r="G14" s="51" t="n">
        <v>2702.7027027027</v>
      </c>
      <c r="H14" s="51" t="n">
        <v>110082.323783784</v>
      </c>
      <c r="I14" s="51" t="n">
        <v>110984.810810811</v>
      </c>
      <c r="J14" s="6" t="s">
        <v>952</v>
      </c>
      <c r="K14" s="6" t="s">
        <v>953</v>
      </c>
    </row>
    <row r="15" customFormat="false" ht="30" hidden="false" customHeight="true" outlineLevel="0" collapsed="false">
      <c r="B15" s="6" t="s">
        <v>237</v>
      </c>
      <c r="C15" s="6" t="s">
        <v>113</v>
      </c>
      <c r="D15" s="6" t="s">
        <v>964</v>
      </c>
      <c r="E15" s="51" t="n">
        <v>112108.358918919</v>
      </c>
      <c r="F15" s="7" t="n">
        <v>40768</v>
      </c>
      <c r="G15" s="51" t="n">
        <v>2702.7027027027</v>
      </c>
      <c r="H15" s="51" t="n">
        <v>155579.061621622</v>
      </c>
      <c r="I15" s="51" t="n">
        <v>110984.810810811</v>
      </c>
      <c r="J15" s="6" t="s">
        <v>952</v>
      </c>
      <c r="K15" s="6" t="s">
        <v>955</v>
      </c>
    </row>
    <row r="16" customFormat="false" ht="30" hidden="false" customHeight="true" outlineLevel="0" collapsed="false">
      <c r="B16" s="6" t="s">
        <v>237</v>
      </c>
      <c r="C16" s="6" t="s">
        <v>112</v>
      </c>
      <c r="D16" s="6" t="s">
        <v>965</v>
      </c>
      <c r="E16" s="51" t="n">
        <v>68394.5951351351</v>
      </c>
      <c r="F16" s="7" t="n">
        <v>40768</v>
      </c>
      <c r="G16" s="51" t="n">
        <v>2702.7027027027</v>
      </c>
      <c r="H16" s="51" t="n">
        <v>111865.297837838</v>
      </c>
      <c r="I16" s="51" t="n">
        <v>110984.810810811</v>
      </c>
      <c r="J16" s="6" t="s">
        <v>952</v>
      </c>
      <c r="K16" s="6" t="s">
        <v>953</v>
      </c>
    </row>
    <row r="18" customFormat="false" ht="15" hidden="false" customHeight="false" outlineLevel="0" collapsed="false">
      <c r="B18" s="3" t="s">
        <v>966</v>
      </c>
      <c r="C18" s="3"/>
      <c r="D18" s="3"/>
      <c r="E18" s="3"/>
      <c r="F18" s="3"/>
      <c r="G18" s="3"/>
      <c r="H18" s="3"/>
      <c r="I18" s="3"/>
      <c r="J18" s="3"/>
      <c r="K18" s="3"/>
    </row>
    <row r="19" customFormat="false" ht="23.85" hidden="false" customHeight="false" outlineLevel="0" collapsed="false">
      <c r="B19" s="5" t="s">
        <v>124</v>
      </c>
      <c r="C19" s="5" t="s">
        <v>967</v>
      </c>
    </row>
    <row r="20" customFormat="false" ht="60" hidden="false" customHeight="true" outlineLevel="0" collapsed="false">
      <c r="B20" s="6" t="s">
        <v>426</v>
      </c>
      <c r="C20" s="6" t="s">
        <v>968</v>
      </c>
      <c r="D20" s="6"/>
      <c r="E20" s="6"/>
      <c r="F20" s="6"/>
      <c r="G20" s="6"/>
      <c r="H20" s="6"/>
      <c r="I20" s="6"/>
      <c r="J20" s="6"/>
      <c r="K20" s="6"/>
    </row>
    <row r="21" customFormat="false" ht="60" hidden="false" customHeight="true" outlineLevel="0" collapsed="false">
      <c r="B21" s="6" t="s">
        <v>969</v>
      </c>
      <c r="C21" s="6" t="s">
        <v>970</v>
      </c>
      <c r="D21" s="6"/>
      <c r="E21" s="6"/>
      <c r="F21" s="6"/>
      <c r="G21" s="6"/>
      <c r="H21" s="6"/>
      <c r="I21" s="6"/>
      <c r="J21" s="6"/>
      <c r="K21" s="6"/>
    </row>
    <row r="22" customFormat="false" ht="60" hidden="false" customHeight="true" outlineLevel="0" collapsed="false">
      <c r="B22" s="6" t="s">
        <v>134</v>
      </c>
      <c r="C22" s="6" t="s">
        <v>971</v>
      </c>
      <c r="D22" s="6"/>
      <c r="E22" s="6"/>
      <c r="F22" s="6"/>
      <c r="G22" s="6"/>
      <c r="H22" s="6"/>
      <c r="I22" s="6"/>
      <c r="J22" s="6"/>
      <c r="K22" s="6"/>
    </row>
    <row r="23" customFormat="false" ht="60" hidden="false" customHeight="true" outlineLevel="0" collapsed="false">
      <c r="B23" s="6" t="s">
        <v>112</v>
      </c>
      <c r="C23" s="6" t="s">
        <v>972</v>
      </c>
      <c r="D23" s="6"/>
      <c r="E23" s="6"/>
      <c r="F23" s="6"/>
      <c r="G23" s="6"/>
      <c r="H23" s="6"/>
      <c r="I23" s="6"/>
      <c r="J23" s="6"/>
      <c r="K23" s="6"/>
    </row>
    <row r="24" customFormat="false" ht="60" hidden="false" customHeight="true" outlineLevel="0" collapsed="false">
      <c r="B24" s="6" t="s">
        <v>973</v>
      </c>
      <c r="C24" s="6" t="s">
        <v>974</v>
      </c>
      <c r="D24" s="6"/>
      <c r="E24" s="6"/>
      <c r="F24" s="6"/>
      <c r="G24" s="6"/>
      <c r="H24" s="6"/>
      <c r="I24" s="6"/>
      <c r="J24" s="6"/>
      <c r="K24" s="6"/>
    </row>
    <row r="25" customFormat="false" ht="60" hidden="false" customHeight="true" outlineLevel="0" collapsed="false">
      <c r="B25" s="6" t="s">
        <v>809</v>
      </c>
      <c r="C25" s="6" t="s">
        <v>975</v>
      </c>
      <c r="D25" s="6"/>
      <c r="E25" s="6"/>
      <c r="F25" s="6"/>
      <c r="G25" s="6"/>
      <c r="H25" s="6"/>
      <c r="I25" s="6"/>
      <c r="J25" s="6"/>
      <c r="K25" s="6"/>
    </row>
    <row r="26" customFormat="false" ht="60" hidden="false" customHeight="true" outlineLevel="0" collapsed="false">
      <c r="B26" s="6" t="s">
        <v>976</v>
      </c>
      <c r="C26" s="6" t="s">
        <v>977</v>
      </c>
      <c r="D26" s="6"/>
      <c r="E26" s="6"/>
      <c r="F26" s="6"/>
      <c r="G26" s="6"/>
      <c r="H26" s="6"/>
      <c r="I26" s="6"/>
      <c r="J26" s="6"/>
      <c r="K26" s="6"/>
    </row>
  </sheetData>
  <mergeCells count="8">
    <mergeCell ref="B18:K18"/>
    <mergeCell ref="C20:K20"/>
    <mergeCell ref="C21:K21"/>
    <mergeCell ref="C22:K22"/>
    <mergeCell ref="C23:K23"/>
    <mergeCell ref="C24:K24"/>
    <mergeCell ref="C25:K25"/>
    <mergeCell ref="C26:K2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2026-10-12T17:25:52Z</dcterms:created>
  <dc:creator>openpyxl</dc:creator>
  <dc:description/>
  <dc:language>en-US</dc:language>
  <cp:lastModifiedBy/>
  <dcterms:modified xsi:type="dcterms:W3CDTF">2026-10-12T17:25:55Z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