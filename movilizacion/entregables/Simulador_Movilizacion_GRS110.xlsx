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ulador" sheetId="1" state="visible" r:id="rId3"/>
    <sheet name="Real 2024" sheetId="2" state="visible" r:id="rId4"/>
    <sheet name="Real 2025" sheetId="3" state="visible" r:id="rId5"/>
    <sheet name="Método" sheetId="4" state="visible" r:id="rId6"/>
    <sheet name="Reconciliación" sheetId="5" state="visible" r:id="rId7"/>
    <sheet name="Medido y supuesto" sheetId="6" state="visible" r:id="rId8"/>
    <sheet name="Sensibilidad" sheetId="7" state="visible" r:id="rId9"/>
    <sheet name="Pendi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<sst xmlns="http://schemas.openxmlformats.org/spreadsheetml/2006/main" count="1447" uniqueCount="726">
  <si>
    <t xml:space="preserve">Simulador de movilización del taladro GRS 110 · La Cira Infantas</t>
  </si>
  <si>
    <t xml:space="preserve">Work Order (suma global por movilización) frente a modelo tercerizado (transportador + taladro por hora + Truck Manager). Todo en USD salvo donde dice COP.</t>
  </si>
  <si>
    <t xml:space="preserve">Cómo leerlo: azul = dato editable · fondo amarillo = supuesto clave a confirmar · verde = viene de otra hoja · negro = cálculo. Ahorro positivo = el tercerizado cuesta menos que el Work Order.</t>
  </si>
  <si>
    <t xml:space="preserve">1. PARÁMETROS GENERALES</t>
  </si>
  <si>
    <t xml:space="preserve">Variable</t>
  </si>
  <si>
    <t xml:space="preserve">Valor</t>
  </si>
  <si>
    <t xml:space="preserve">Unidad</t>
  </si>
  <si>
    <t xml:space="preserve">Clase</t>
  </si>
  <si>
    <t xml:space="preserve">Fuente</t>
  </si>
  <si>
    <t xml:space="preserve">TRM</t>
  </si>
  <si>
    <t xml:space="preserve">COP/USD</t>
  </si>
  <si>
    <t xml:space="preserve">Medido</t>
  </si>
  <si>
    <t xml:space="preserve">Tarifas.xlsx · E3</t>
  </si>
  <si>
    <t xml:space="preserve">Tarifa del taladro (24 h)</t>
  </si>
  <si>
    <t xml:space="preserve">USD/día</t>
  </si>
  <si>
    <t xml:space="preserve">Tarifas.xlsx · E5</t>
  </si>
  <si>
    <t xml:space="preserve">Tarifa del taladro por hora</t>
  </si>
  <si>
    <t xml:space="preserve">USD/h</t>
  </si>
  <si>
    <t xml:space="preserve">Cálculo</t>
  </si>
  <si>
    <t xml:space="preserve">Tarifas.xlsx · E6 (= E5/24)</t>
  </si>
  <si>
    <t xml:space="preserve">Oferta que se destaca en el resultado</t>
  </si>
  <si>
    <t xml:space="preserve">Petro Star tarifa normal</t>
  </si>
  <si>
    <t xml:space="preserve">Selección</t>
  </si>
  <si>
    <t xml:space="preserve">Lista: las 3 ofertas (Lump Sum con y sin descuento)</t>
  </si>
  <si>
    <t xml:space="preserve">Adicionales sobre tarifa base (Petro Star normal y Ecotransur)</t>
  </si>
  <si>
    <t xml:space="preserve">%</t>
  </si>
  <si>
    <t xml:space="preserve">Premisa SierraCol</t>
  </si>
  <si>
    <t xml:space="preserve">Tarifas.xlsx · E7. Se cancela con el WO; ver Pendientes</t>
  </si>
  <si>
    <t xml:space="preserve">Adicionales sobre Lump Sum</t>
  </si>
  <si>
    <t xml:space="preserve">Tarifas.xlsx · E8</t>
  </si>
  <si>
    <t xml:space="preserve">Adicionales sobre Work Order</t>
  </si>
  <si>
    <t xml:space="preserve">Simetría: los imprevistos también se pagan en el WO</t>
  </si>
  <si>
    <t xml:space="preserve">Truck Manager: valor mensual</t>
  </si>
  <si>
    <t xml:space="preserve">COP/mes</t>
  </si>
  <si>
    <t xml:space="preserve">Tarifas.xlsx · C29 = (60.000.000/E3)/6</t>
  </si>
  <si>
    <t xml:space="preserve">Truck Manager: movilizaciones/mes con que se prorratea</t>
  </si>
  <si>
    <t xml:space="preserve">movs/mes</t>
  </si>
  <si>
    <t xml:space="preserve">Medido (fórmula Excel)</t>
  </si>
  <si>
    <t xml:space="preserve">Tarifas.xlsx · C29</t>
  </si>
  <si>
    <t xml:space="preserve">Truck Manager: forma de cobro</t>
  </si>
  <si>
    <t xml:space="preserve">Por movilización (Excel)</t>
  </si>
  <si>
    <t xml:space="preserve">Por movilización = 2.702,70 USD fijo por mov. Mensual fijo = 60 M COP por mes con movilizaciones</t>
  </si>
  <si>
    <t xml:space="preserve">Descuento Petro Star tarifa normal desde la 6ª del mes</t>
  </si>
  <si>
    <t xml:space="preserve">Cot. 1255 p. 2: '50% de cada escenario'</t>
  </si>
  <si>
    <t xml:space="preserve">Descuento Lump Sum (solo para la columna de referencia)</t>
  </si>
  <si>
    <t xml:space="preserve">Referencia aparte</t>
  </si>
  <si>
    <t xml:space="preserve">Evaluación principal: Lump Sum SIN descuento (SierraCol). Esta columna se muestra aparte</t>
  </si>
  <si>
    <t xml:space="preserve">Movilización del mes desde la que aplica el descuento</t>
  </si>
  <si>
    <t xml:space="preserve">nº</t>
  </si>
  <si>
    <t xml:space="preserve">Cot. 1255 p. 2 · Ecotransur p. 3–4</t>
  </si>
  <si>
    <t xml:space="preserve">Señalizadoras que faltan en el WO, por turno</t>
  </si>
  <si>
    <t xml:space="preserve">personas</t>
  </si>
  <si>
    <t xml:space="preserve">Ofertas: 10 por turno · WO: 6 por turno (dato SierraCol)</t>
  </si>
  <si>
    <t xml:space="preserve">Tarifa señalizador vial, turno 12 h</t>
  </si>
  <si>
    <t xml:space="preserve">COP/persona</t>
  </si>
  <si>
    <t xml:space="preserve">Cot. 1255 p. 5, fila Señalizador vial, columna Turno 12 horas</t>
  </si>
  <si>
    <t xml:space="preserve">¿Cargar el recargo de señalizadoras al Work Order?</t>
  </si>
  <si>
    <t xml:space="preserve">Sí</t>
  </si>
  <si>
    <t xml:space="preserve">Decisión de modelo</t>
  </si>
  <si>
    <t xml:space="preserve">Aplica a toda movilización: misma loc. 1 turno, demás rangos 2 turnos</t>
  </si>
  <si>
    <t xml:space="preserve">Reducción de la frecuencia por NPT de perforación</t>
  </si>
  <si>
    <t xml:space="preserve">Supuesto (sin dato)</t>
  </si>
  <si>
    <t xml:space="preserve">No hay plan de pozos ni NPT operativo en los archivos: se deja en 0 y se sensibiliza</t>
  </si>
  <si>
    <t xml:space="preserve">2. CAMPAÑA A EVALUAR</t>
  </si>
  <si>
    <t xml:space="preserve">Pozos en la misma localización</t>
  </si>
  <si>
    <t xml:space="preserve">pozos</t>
  </si>
  <si>
    <t xml:space="preserve">Proyección de campaña entregada por SierraCol</t>
  </si>
  <si>
    <t xml:space="preserve">Pozos en otra localización</t>
  </si>
  <si>
    <t xml:space="preserve">Rango de los pozos en otra localización (2 = 0,1–5 km · 3 = 5–10 km · 4 = más de 10 km)</t>
  </si>
  <si>
    <t xml:space="preserve">1–4</t>
  </si>
  <si>
    <t xml:space="preserve">Supuesto</t>
  </si>
  <si>
    <t xml:space="preserve">La proyección dice 'Dif. Loc' sin distancia; los logs reparten esos movimientos en 3 rangos</t>
  </si>
  <si>
    <t xml:space="preserve">Total de pozos (movilizaciones)</t>
  </si>
  <si>
    <t xml:space="preserve">Máximo 60 en la tabla de detalle</t>
  </si>
  <si>
    <t xml:space="preserve">Frecuencia mensual</t>
  </si>
  <si>
    <t xml:space="preserve">Perfil 2024</t>
  </si>
  <si>
    <t xml:space="preserve">Medido (logs)</t>
  </si>
  <si>
    <t xml:space="preserve">Perfil 2024 / Perfil 2025 = movilizaciones de cada mes del log, en orden · Constante = valor de abajo</t>
  </si>
  <si>
    <t xml:space="preserve">Movilizaciones por mes si la frecuencia es constante</t>
  </si>
  <si>
    <t xml:space="preserve">Solo se usa con 'Constante'</t>
  </si>
  <si>
    <t xml:space="preserve">Perfil 2024: movilizaciones por mes (ene–nov, log)</t>
  </si>
  <si>
    <t xml:space="preserve">Perfil 2025: movilizaciones por mes (feb–oct, log)</t>
  </si>
  <si>
    <t xml:space="preserve">Los perfiles salen de Movilizaciones_2024.xlsx (C11:C21) y Movilizaciones_2025.xlsx (C11:C19). Los meses sin registro se tratan como campaña parada (premisa SierraCol) y no entran.</t>
  </si>
  <si>
    <t xml:space="preserve">3. TARIFAS Y COSTO POR MOVILIZACIÓN, POR RANGO DE DISTANCIA</t>
  </si>
  <si>
    <t xml:space="preserve">Concepto</t>
  </si>
  <si>
    <t xml:space="preserve">Misma localización</t>
  </si>
  <si>
    <t xml:space="preserve">0,1–5 km</t>
  </si>
  <si>
    <t xml:space="preserve">5–10 km</t>
  </si>
  <si>
    <t xml:space="preserve">Más de 10 km</t>
  </si>
  <si>
    <t xml:space="preserve">Horas de movilización que se le pagan al taladro (tercerizado)</t>
  </si>
  <si>
    <t xml:space="preserve">Dato del Excel</t>
  </si>
  <si>
    <t xml:space="preserve">Tarifas.xlsx · C26, C52, C78, C104</t>
  </si>
  <si>
    <t xml:space="preserve">Horas extra por movilización (NPT de movilización)</t>
  </si>
  <si>
    <t xml:space="preserve">Supuesto (0)</t>
  </si>
  <si>
    <t xml:space="preserve">Logs: ver hojas Real 2024 / Real 2025</t>
  </si>
  <si>
    <t xml:space="preserve">Referencia: horas totales que declara Petro Star (no se usan)</t>
  </si>
  <si>
    <t xml:space="preserve">Cot. 1255 p. 1–2, 'Tiempo total de movilización'</t>
  </si>
  <si>
    <t xml:space="preserve">Turnos de señalizadoras por movilización</t>
  </si>
  <si>
    <t xml:space="preserve">12 h = 1 turno; 18/24/28 h = 2 turnos</t>
  </si>
  <si>
    <t xml:space="preserve">Work Order base (USD por movilización)</t>
  </si>
  <si>
    <t xml:space="preserve">Tarifas.xlsx · K4:K7 (dato SierraCol)</t>
  </si>
  <si>
    <t xml:space="preserve">Tarifa Petro Star normal (COP)</t>
  </si>
  <si>
    <t xml:space="preserve">Tarifas.xlsx · E25, E51, E77, E103</t>
  </si>
  <si>
    <t xml:space="preserve">Tarifa Petro Star Lump Sum (COP)</t>
  </si>
  <si>
    <t xml:space="preserve">Tarifas.xlsx · F25, F51, F77, F103 (≠ Cot. 1255: ver Pendientes)</t>
  </si>
  <si>
    <t xml:space="preserve">Tarifa Ecotransur (COP)</t>
  </si>
  <si>
    <t xml:space="preserve">Tarifas.xlsx · G25, G51, G77, G103</t>
  </si>
  <si>
    <t xml:space="preserve">Ecotransur desde la 6ª: solo equipos (COP)</t>
  </si>
  <si>
    <t xml:space="preserve">Medido · misma loc. = supuesto</t>
  </si>
  <si>
    <t xml:space="preserve">Ecotransur p. 3–4 (no trae valor para misma localización)</t>
  </si>
  <si>
    <t xml:space="preserve">Work Order (USD por movilización)</t>
  </si>
  <si>
    <t xml:space="preserve">Recargo de señalizadoras faltantes</t>
  </si>
  <si>
    <t xml:space="preserve">Personas por turno × tarifa turno × turnos / TRM</t>
  </si>
  <si>
    <t xml:space="preserve">Work Order total por movilización</t>
  </si>
  <si>
    <t xml:space="preserve">Tercerizado (USD por movilización)</t>
  </si>
  <si>
    <t xml:space="preserve">Taladro durante la movilización</t>
  </si>
  <si>
    <t xml:space="preserve">(Horas + horas extra) × tarifa por hora</t>
  </si>
  <si>
    <t xml:space="preserve">Truck Manager por movilización</t>
  </si>
  <si>
    <t xml:space="preserve">Si es mensual fijo se suma por mes (sección 6)</t>
  </si>
  <si>
    <t xml:space="preserve">Petro Star normal: tarifa, 1ª a 5ª del mes</t>
  </si>
  <si>
    <t xml:space="preserve">Petro Star normal: tarifa, 6ª en adelante</t>
  </si>
  <si>
    <t xml:space="preserve">Lump Sum: tarifa (sin descuento)</t>
  </si>
  <si>
    <t xml:space="preserve">Lump Sum: tarifa 6ª en adelante (columna con descuento)</t>
  </si>
  <si>
    <t xml:space="preserve">Ecotransur: tarifa, 1ª a 5ª del mes</t>
  </si>
  <si>
    <t xml:space="preserve">Ecotransur: 6ª en adelante (solo equipos)</t>
  </si>
  <si>
    <t xml:space="preserve">Costo total por movilización tercerizada = tarifa + taladro + Truck Manager</t>
  </si>
  <si>
    <t xml:space="preserve">Petro Star normal, 1ª a 5ª  (= fila amarilla del Excel)</t>
  </si>
  <si>
    <t xml:space="preserve">Petro Star normal, 6ª en adelante</t>
  </si>
  <si>
    <t xml:space="preserve">Lump Sum sin descuento  (= fila amarilla del Excel)</t>
  </si>
  <si>
    <t xml:space="preserve">Lump Sum con descuento, 6ª en adelante</t>
  </si>
  <si>
    <t xml:space="preserve">Ecotransur, 1ª a 5ª  (= fila amarilla del Excel)</t>
  </si>
  <si>
    <t xml:space="preserve">Ecotransur, 6ª en adelante</t>
  </si>
  <si>
    <t xml:space="preserve">Con los valores por defecto, las filas 62, 64 y 66 reproducen al centavo la fila amarilla 'Costo Suma Global (USD)' del Excel (filas 31, 57, 83 y 109). Ver hoja Reconciliación.</t>
  </si>
  <si>
    <t xml:space="preserve">4. CARGO FIJO MENSUAL DEL TRANSPORTADOR (nómina + disponibilidad o stand-by), según movilizaciones del mes</t>
  </si>
  <si>
    <t xml:space="preserve">Movilizaciones en el mes</t>
  </si>
  <si>
    <t xml:space="preserve">Petro Star (COP)</t>
  </si>
  <si>
    <t xml:space="preserve">Ecotransur (COP)</t>
  </si>
  <si>
    <t xml:space="preserve">Petro Star (USD)</t>
  </si>
  <si>
    <t xml:space="preserve">Ecotransur (USD)</t>
  </si>
  <si>
    <t xml:space="preserve">Cot. 1255 p. 4 · Ecotransur p. 2–3 (0 movs: el mes no cuenta, campaña parada)</t>
  </si>
  <si>
    <t xml:space="preserve">Nómina + disponibilidad (PS) · nómina 80% + stand-by 80% (EC)</t>
  </si>
  <si>
    <t xml:space="preserve">PS: la tabla de 5 movs aún cobra (amarillo). EC: desde la 5ª no cobra</t>
  </si>
  <si>
    <t xml:space="preserve">6 o más</t>
  </si>
  <si>
    <t xml:space="preserve">Sin cargo fijo</t>
  </si>
  <si>
    <t xml:space="preserve">El cargo de Petro Star aplica igual a la tarifa normal y al Lump Sum (la tabla de la p. 4 es condición general de la oferta). Un mes sin movilizaciones no se cobra porque SierraCol lo trata como campaña parada; si el contrato sigue vigente, se cobraría la fila 0 (ver Pendientes).</t>
  </si>
  <si>
    <t xml:space="preserve">5. RESULTADO DE LA CAMPAÑA</t>
  </si>
  <si>
    <t xml:space="preserve">Modelo</t>
  </si>
  <si>
    <t xml:space="preserve">Costo de la campaña (USD)</t>
  </si>
  <si>
    <t xml:space="preserve">Ahorro frente al WO (USD)</t>
  </si>
  <si>
    <t xml:space="preserve">Ahorro %</t>
  </si>
  <si>
    <t xml:space="preserve">Movilizaciones con descuento</t>
  </si>
  <si>
    <t xml:space="preserve">Cargo fijo pagado (USD)</t>
  </si>
  <si>
    <t xml:space="preserve">Meses de campaña</t>
  </si>
  <si>
    <t xml:space="preserve">Work Order (modelo directo)</t>
  </si>
  <si>
    <t xml:space="preserve">Petro Star Lump Sum (sin descuento)</t>
  </si>
  <si>
    <t xml:space="preserve">Lump Sum con descuento (solo referencia)</t>
  </si>
  <si>
    <t xml:space="preserve">Ecotransur</t>
  </si>
  <si>
    <t xml:space="preserve">Oferta destacada (C10)</t>
  </si>
  <si>
    <t xml:space="preserve">La fila 'Lump Sum con descuento' es solo referencia; la evaluación principal usa el Lump Sum sin descuento. Esta cifra depende de la frecuencia, de la mezcla por rango y del orden de los pozos dentro del mes. No es el resultado del estudio: el resultado es la frontera (sección 6).</t>
  </si>
  <si>
    <t xml:space="preserve">6. FRONTERA DE DECISIÓN · ahorro del mes si en él hay n movilizaciones, todas del mismo rango (USD)</t>
  </si>
  <si>
    <t xml:space="preserve">Oferta · rango   /   movilizaciones en el mes →</t>
  </si>
  <si>
    <t xml:space="preserve">Equilibrio (movs/mes)</t>
  </si>
  <si>
    <t xml:space="preserve">Petro Star tarifa normal · Misma localización</t>
  </si>
  <si>
    <t xml:space="preserve">Petro Star tarifa normal · 0,1–5 km</t>
  </si>
  <si>
    <t xml:space="preserve">Petro Star tarifa normal · 5–10 km</t>
  </si>
  <si>
    <t xml:space="preserve">Petro Star tarifa normal · Más de 10 km</t>
  </si>
  <si>
    <t xml:space="preserve">Petro Star Lump Sum (sin descuento) · Misma localización</t>
  </si>
  <si>
    <t xml:space="preserve">Petro Star Lump Sum (sin descuento) · 0,1–5 km</t>
  </si>
  <si>
    <t xml:space="preserve">Petro Star Lump Sum (sin descuento) · 5–10 km</t>
  </si>
  <si>
    <t xml:space="preserve">Petro Star Lump Sum (sin descuento) · Más de 10 km</t>
  </si>
  <si>
    <t xml:space="preserve">Lump Sum con descuento (solo referencia) · Misma localización</t>
  </si>
  <si>
    <t xml:space="preserve">Lump Sum con descuento (solo referencia) · 0,1–5 km</t>
  </si>
  <si>
    <t xml:space="preserve">Lump Sum con descuento (solo referencia) · 5–10 km</t>
  </si>
  <si>
    <t xml:space="preserve">Lump Sum con descuento (solo referencia) · Más de 10 km</t>
  </si>
  <si>
    <t xml:space="preserve">Ecotransur · Misma localización</t>
  </si>
  <si>
    <t xml:space="preserve">Ecotransur · 0,1–5 km</t>
  </si>
  <si>
    <t xml:space="preserve">Ecotransur · 5–10 km</t>
  </si>
  <si>
    <t xml:space="preserve">Ecotransur · Más de 10 km</t>
  </si>
  <si>
    <t xml:space="preserve">Verde = el tercerizado cuesta menos ese mes; rojo = cuesta más. Equilibrio = primera frecuencia mensual en que el tercerizado deja de perder. Los saltos entre columnas son los umbrales (cargo fijo hasta la 4ª/5ª, descuento desde la 6ª).</t>
  </si>
  <si>
    <t xml:space="preserve">7. DETALLE DE LA CAMPAÑA · meses (asignación de movilizaciones según la frecuencia)</t>
  </si>
  <si>
    <t xml:space="preserve">Cada mes recibe las movilizaciones del perfil elegido (C31), reducidas por el NPT de perforación (C23). Con NPT la capacidad acumulada crece más lento y la campaña se alarga.</t>
  </si>
  <si>
    <t xml:space="preserve">Mes de campaña</t>
  </si>
  <si>
    <t xml:space="preserve">Movs/mes del perfil</t>
  </si>
  <si>
    <t xml:space="preserve">Capacidad con NPT</t>
  </si>
  <si>
    <t xml:space="preserve">Capacidad acumulada</t>
  </si>
  <si>
    <t xml:space="preserve">Movilizaciones del mes</t>
  </si>
  <si>
    <t xml:space="preserve">Cargo fijo Petro Star (USD)</t>
  </si>
  <si>
    <t xml:space="preserve">Cargo fijo Ecotransur (USD)</t>
  </si>
  <si>
    <t xml:space="preserve">Truck Manager mensual (USD)</t>
  </si>
  <si>
    <t xml:space="preserve">Total</t>
  </si>
  <si>
    <t xml:space="preserve">8. DETALLE DE LA CAMPAÑA · movilización por movilización (USD)</t>
  </si>
  <si>
    <t xml:space="preserve">Tipo de pozo: los pozos en la misma localización se intercalan en proporción a lo largo de la campaña (supuesto de orden). Puede escribir encima de Rango o Mes para modelar cualquier campaña.</t>
  </si>
  <si>
    <t xml:space="preserve">Pozo nº</t>
  </si>
  <si>
    <t xml:space="preserve">Tipo de pozo</t>
  </si>
  <si>
    <t xml:space="preserve">Rango (1–4)</t>
  </si>
  <si>
    <t xml:space="preserve">Nº de la movilización en el mes</t>
  </si>
  <si>
    <t xml:space="preserve">Work Order</t>
  </si>
  <si>
    <t xml:space="preserve">Total movilizaciones (sin cargo fijo ni TM mensual)</t>
  </si>
  <si>
    <t xml:space="preserve">Campaña real 2024 · taladro GRS 110 · cómo habría funcionado cada modelo</t>
  </si>
  <si>
    <t xml:space="preserve">Movimientos de Movilizaciones_2024.xlsx (detalle, columnas D, C, F, G, H), en orden de fecha. Los meses sin registro no se cuentan (campaña parada). Parámetros y tarifas vienen de la hoja Simulador (verde). Bloque A usa las horas del Excel; bloque B, las horas reales del log.</t>
  </si>
  <si>
    <t xml:space="preserve">A · horas Excel (USD)</t>
  </si>
  <si>
    <t xml:space="preserve">Ahorro A (USD)</t>
  </si>
  <si>
    <t xml:space="preserve">B · horas reales (USD)</t>
  </si>
  <si>
    <t xml:space="preserve">Ahorro B (USD)</t>
  </si>
  <si>
    <t xml:space="preserve">Resumen</t>
  </si>
  <si>
    <t xml:space="preserve">PS normal</t>
  </si>
  <si>
    <t xml:space="preserve">LS sin desc.</t>
  </si>
  <si>
    <t xml:space="preserve">Fecha</t>
  </si>
  <si>
    <t xml:space="preserve">Pozo</t>
  </si>
  <si>
    <t xml:space="preserve">Km</t>
  </si>
  <si>
    <t xml:space="preserve">Rango (log)</t>
  </si>
  <si>
    <t xml:space="preserve">Rango nº</t>
  </si>
  <si>
    <t xml:space="preserve">Mes</t>
  </si>
  <si>
    <t xml:space="preserve">Nº en el mes</t>
  </si>
  <si>
    <t xml:space="preserve">Horas reales</t>
  </si>
  <si>
    <t xml:space="preserve">Horas Excel</t>
  </si>
  <si>
    <t xml:space="preserve">Sobretiempo (h)</t>
  </si>
  <si>
    <t xml:space="preserve">A · PS normal</t>
  </si>
  <si>
    <t xml:space="preserve">A · LS sin desc.</t>
  </si>
  <si>
    <t xml:space="preserve">A · LS con desc.</t>
  </si>
  <si>
    <t xml:space="preserve">A · Ecotransur</t>
  </si>
  <si>
    <t xml:space="preserve">B · PS normal</t>
  </si>
  <si>
    <t xml:space="preserve">B · LS sin desc.</t>
  </si>
  <si>
    <t xml:space="preserve">B · LS con desc.</t>
  </si>
  <si>
    <t xml:space="preserve">B · Ecotransur</t>
  </si>
  <si>
    <t xml:space="preserve">Nota</t>
  </si>
  <si>
    <t xml:space="preserve">LS con desc.</t>
  </si>
  <si>
    <t xml:space="preserve">5681</t>
  </si>
  <si>
    <t xml:space="preserve">10+ km</t>
  </si>
  <si>
    <t xml:space="preserve">Más de 20 km: Petro Star no tiene tarifa (se usa la de 10–20 km)</t>
  </si>
  <si>
    <t xml:space="preserve">5270</t>
  </si>
  <si>
    <t xml:space="preserve">0.15 - 5 km</t>
  </si>
  <si>
    <t xml:space="preserve">Movilizaciones</t>
  </si>
  <si>
    <t xml:space="preserve">5077</t>
  </si>
  <si>
    <t xml:space="preserve">Meses con movilizaciones</t>
  </si>
  <si>
    <t xml:space="preserve">5136</t>
  </si>
  <si>
    <t xml:space="preserve">Sin horas en el log: se usan las del Excel</t>
  </si>
  <si>
    <t xml:space="preserve">Promedio movs/mes (meses activos)</t>
  </si>
  <si>
    <t xml:space="preserve">5106</t>
  </si>
  <si>
    <t xml:space="preserve">Meses con 6 o más movilizaciones</t>
  </si>
  <si>
    <t xml:space="preserve">5067</t>
  </si>
  <si>
    <t xml:space="preserve">Meses con menos de 5 movilizaciones</t>
  </si>
  <si>
    <t xml:space="preserve">5023</t>
  </si>
  <si>
    <t xml:space="preserve">5 - 10 km</t>
  </si>
  <si>
    <t xml:space="preserve">5002</t>
  </si>
  <si>
    <t xml:space="preserve">Misma locación</t>
  </si>
  <si>
    <t xml:space="preserve">5009</t>
  </si>
  <si>
    <t xml:space="preserve">5200</t>
  </si>
  <si>
    <t xml:space="preserve">5013</t>
  </si>
  <si>
    <t xml:space="preserve">5675</t>
  </si>
  <si>
    <t xml:space="preserve">5141</t>
  </si>
  <si>
    <t xml:space="preserve">5032</t>
  </si>
  <si>
    <t xml:space="preserve">5856</t>
  </si>
  <si>
    <t xml:space="preserve">5083</t>
  </si>
  <si>
    <t xml:space="preserve">5078</t>
  </si>
  <si>
    <t xml:space="preserve">5027</t>
  </si>
  <si>
    <t xml:space="preserve">5187</t>
  </si>
  <si>
    <t xml:space="preserve">5079</t>
  </si>
  <si>
    <t xml:space="preserve">5265</t>
  </si>
  <si>
    <t xml:space="preserve">5268</t>
  </si>
  <si>
    <t xml:space="preserve">5089</t>
  </si>
  <si>
    <t xml:space="preserve">5111</t>
  </si>
  <si>
    <t xml:space="preserve">5205</t>
  </si>
  <si>
    <t xml:space="preserve">5198</t>
  </si>
  <si>
    <t xml:space="preserve">5044</t>
  </si>
  <si>
    <t xml:space="preserve">5019</t>
  </si>
  <si>
    <t xml:space="preserve">5033</t>
  </si>
  <si>
    <t xml:space="preserve">5239</t>
  </si>
  <si>
    <t xml:space="preserve">5193</t>
  </si>
  <si>
    <t xml:space="preserve">5029</t>
  </si>
  <si>
    <t xml:space="preserve">5231</t>
  </si>
  <si>
    <t xml:space="preserve">5118</t>
  </si>
  <si>
    <t xml:space="preserve">5117</t>
  </si>
  <si>
    <t xml:space="preserve">5204</t>
  </si>
  <si>
    <t xml:space="preserve">5194</t>
  </si>
  <si>
    <t xml:space="preserve">5022</t>
  </si>
  <si>
    <t xml:space="preserve">5191</t>
  </si>
  <si>
    <t xml:space="preserve">5273</t>
  </si>
  <si>
    <t xml:space="preserve">5203</t>
  </si>
  <si>
    <t xml:space="preserve">5113</t>
  </si>
  <si>
    <t xml:space="preserve">5226</t>
  </si>
  <si>
    <t xml:space="preserve">5112</t>
  </si>
  <si>
    <t xml:space="preserve">5130</t>
  </si>
  <si>
    <t xml:space="preserve">4690</t>
  </si>
  <si>
    <t xml:space="preserve">5223</t>
  </si>
  <si>
    <t xml:space="preserve">5224</t>
  </si>
  <si>
    <t xml:space="preserve">5094</t>
  </si>
  <si>
    <t xml:space="preserve">5068</t>
  </si>
  <si>
    <t xml:space="preserve">5069</t>
  </si>
  <si>
    <t xml:space="preserve">4626</t>
  </si>
  <si>
    <t xml:space="preserve">5093</t>
  </si>
  <si>
    <t xml:space="preserve">5043</t>
  </si>
  <si>
    <t xml:space="preserve">3771</t>
  </si>
  <si>
    <t xml:space="preserve">5225</t>
  </si>
  <si>
    <t xml:space="preserve">4686</t>
  </si>
  <si>
    <t xml:space="preserve">3423</t>
  </si>
  <si>
    <t xml:space="preserve">4024</t>
  </si>
  <si>
    <t xml:space="preserve">4665</t>
  </si>
  <si>
    <t xml:space="preserve">3479</t>
  </si>
  <si>
    <t xml:space="preserve">5227</t>
  </si>
  <si>
    <t xml:space="preserve">5233</t>
  </si>
  <si>
    <t xml:space="preserve">5071</t>
  </si>
  <si>
    <t xml:space="preserve">5115</t>
  </si>
  <si>
    <t xml:space="preserve">3598</t>
  </si>
  <si>
    <t xml:space="preserve">5797</t>
  </si>
  <si>
    <t xml:space="preserve">2780</t>
  </si>
  <si>
    <t xml:space="preserve">4019</t>
  </si>
  <si>
    <t xml:space="preserve">3932</t>
  </si>
  <si>
    <t xml:space="preserve">Totales por movimiento (sin cargo fijo)</t>
  </si>
  <si>
    <t xml:space="preserve">Misma loc.</t>
  </si>
  <si>
    <t xml:space="preserve">0,15–5 km</t>
  </si>
  <si>
    <t xml:space="preserve">Cargo fijo PS (USD)</t>
  </si>
  <si>
    <t xml:space="preserve">Cargo fijo EC (USD)</t>
  </si>
  <si>
    <t xml:space="preserve">TM mensual (USD)</t>
  </si>
  <si>
    <t xml:space="preserve">Campaña real 2025 · taladro GRS 110 · cómo habría funcionado cada modelo</t>
  </si>
  <si>
    <t xml:space="preserve">Movimientos de Movilizaciones_2025.xlsx (detalle, columnas D, C, F, G, H), en orden de fecha. Los meses sin registro no se cuentan (campaña parada). Parámetros y tarifas vienen de la hoja Simulador (verde). Bloque A usa las horas del Excel; bloque B, las horas reales del log.</t>
  </si>
  <si>
    <t xml:space="preserve">INFA4562</t>
  </si>
  <si>
    <t xml:space="preserve">CIRA5216</t>
  </si>
  <si>
    <t xml:space="preserve">CIRA5260</t>
  </si>
  <si>
    <t xml:space="preserve">CIRA5131</t>
  </si>
  <si>
    <t xml:space="preserve">CIRA5087</t>
  </si>
  <si>
    <t xml:space="preserve">CIRA5116</t>
  </si>
  <si>
    <t xml:space="preserve">CIRA5822</t>
  </si>
  <si>
    <t xml:space="preserve">CIRA5297</t>
  </si>
  <si>
    <t xml:space="preserve">CIRA5293</t>
  </si>
  <si>
    <t xml:space="preserve">CIRA5107</t>
  </si>
  <si>
    <t xml:space="preserve">CIRA5885</t>
  </si>
  <si>
    <t xml:space="preserve">CIRA5234</t>
  </si>
  <si>
    <t xml:space="preserve">CIRA5139</t>
  </si>
  <si>
    <t xml:space="preserve">CIRA5038</t>
  </si>
  <si>
    <t xml:space="preserve">CIRA2715</t>
  </si>
  <si>
    <t xml:space="preserve">CIRA3921</t>
  </si>
  <si>
    <t xml:space="preserve">CIRA 5844</t>
  </si>
  <si>
    <t xml:space="preserve">CIRA 5665</t>
  </si>
  <si>
    <t xml:space="preserve">CIRA 6277</t>
  </si>
  <si>
    <t xml:space="preserve">CIRA 6096</t>
  </si>
  <si>
    <t xml:space="preserve">CIRA 4810</t>
  </si>
  <si>
    <t xml:space="preserve">CIRA 5138</t>
  </si>
  <si>
    <t xml:space="preserve">CIRA 4661</t>
  </si>
  <si>
    <t xml:space="preserve">CIRA 5288</t>
  </si>
  <si>
    <t xml:space="preserve">CIRA 5057</t>
  </si>
  <si>
    <t xml:space="preserve">CIRA 5088</t>
  </si>
  <si>
    <t xml:space="preserve">CIRA 5056</t>
  </si>
  <si>
    <t xml:space="preserve">CIRA 5282</t>
  </si>
  <si>
    <t xml:space="preserve">CIRA 6252</t>
  </si>
  <si>
    <t xml:space="preserve">CIRA 5238</t>
  </si>
  <si>
    <t xml:space="preserve">CIRA 5080</t>
  </si>
  <si>
    <t xml:space="preserve">CIRA 5402</t>
  </si>
  <si>
    <t xml:space="preserve">CIRA 5417</t>
  </si>
  <si>
    <t xml:space="preserve">CIRA 5401</t>
  </si>
  <si>
    <t xml:space="preserve">CIRA 5418</t>
  </si>
  <si>
    <t xml:space="preserve">CIRA 3499</t>
  </si>
  <si>
    <t xml:space="preserve">CIRA 4648</t>
  </si>
  <si>
    <t xml:space="preserve">CIRA 5612</t>
  </si>
  <si>
    <t xml:space="preserve">CIRA 5065</t>
  </si>
  <si>
    <t xml:space="preserve">CIRA 5192</t>
  </si>
  <si>
    <t xml:space="preserve">CIRA 5290</t>
  </si>
  <si>
    <t xml:space="preserve">CIRA 5296</t>
  </si>
  <si>
    <t xml:space="preserve">CIRA 5276</t>
  </si>
  <si>
    <t xml:space="preserve">CIRA 3477</t>
  </si>
  <si>
    <t xml:space="preserve">INFA 3340</t>
  </si>
  <si>
    <t xml:space="preserve">Método: cómo está armado el costo de cada modelo y qué se cancela</t>
  </si>
  <si>
    <t xml:space="preserve">Se lee antes del simulador. Los umbrales son el estudio; el promedio no.</t>
  </si>
  <si>
    <t xml:space="preserve">1. CLASIFICACIÓN DE CADA RENGLÓN DE COSTO</t>
  </si>
  <si>
    <t xml:space="preserve">Renglón</t>
  </si>
  <si>
    <t xml:space="preserve">Tipo</t>
  </si>
  <si>
    <t xml:space="preserve">Umbral</t>
  </si>
  <si>
    <t xml:space="preserve">Tarifa por movilización (Work Order)</t>
  </si>
  <si>
    <t xml:space="preserve">Variable por movilización; escalón por rango</t>
  </si>
  <si>
    <t xml:space="preserve">Límites de rango 0,2 / 5 / 10 km</t>
  </si>
  <si>
    <t xml:space="preserve">No es monótona: 5–10 km (95.374) cuesta menos que 0,1–5 km (98.663).</t>
  </si>
  <si>
    <t xml:space="preserve">Variable; escalón 1 o 2 turnos</t>
  </si>
  <si>
    <t xml:space="preserve">12 h = 1 turno; más de 12 h = 2 turnos</t>
  </si>
  <si>
    <t xml:space="preserve">4 personas por turno × 375.000 COP (Cot. 1255 p. 5).</t>
  </si>
  <si>
    <t xml:space="preserve">Tarifa del transportador</t>
  </si>
  <si>
    <t xml:space="preserve">Tercerizado</t>
  </si>
  <si>
    <t xml:space="preserve">Variable; escalón por rango</t>
  </si>
  <si>
    <t xml:space="preserve">0,2 / 5 / 10 / 20 km</t>
  </si>
  <si>
    <t xml:space="preserve">Petro Star no cotiza más de 20 km: acantilado de cobertura.</t>
  </si>
  <si>
    <t xml:space="preserve">Descuento desde la 6ª del mes</t>
  </si>
  <si>
    <t xml:space="preserve">Acantilado por número de movilización del mes</t>
  </si>
  <si>
    <t xml:space="preserve">6ª movilización del mes</t>
  </si>
  <si>
    <t xml:space="preserve">Petro Star: 50 % de la tarifa. Ecotransur: solo equipos. Lump Sum: sin descuento (evaluación principal).</t>
  </si>
  <si>
    <t xml:space="preserve">Cargo fijo mensual (nómina + disponibilidad)</t>
  </si>
  <si>
    <t xml:space="preserve">Escalón decreciente; fijo mensual</t>
  </si>
  <si>
    <t xml:space="preserve">Petro Star 0–5 movs; Ecotransur 0–4 movs</t>
  </si>
  <si>
    <t xml:space="preserve">Petro Star todavía cobra con 5 movs (p. 4); Ecotransur no cobra desde la 5ª.</t>
  </si>
  <si>
    <t xml:space="preserve">Variable por hora</t>
  </si>
  <si>
    <t xml:space="preserve">Horas por rango (12/18/24/28)</t>
  </si>
  <si>
    <t xml:space="preserve">34.944 USD/día. Bajo el WO no se paga (premisa SierraCol).</t>
  </si>
  <si>
    <t xml:space="preserve">Truck Manager</t>
  </si>
  <si>
    <t xml:space="preserve">Fijo mensual en la realidad; variable por mov. en el Excel</t>
  </si>
  <si>
    <t xml:space="preserve">60 M COP/mes ÷ 6 movs</t>
  </si>
  <si>
    <t xml:space="preserve">Por debajo de 6 movs/mes el prorrateo del Excel lo subestima; por encima lo sobreestima.</t>
  </si>
  <si>
    <t xml:space="preserve">Horas excedidas sobre el tiempo declarado</t>
  </si>
  <si>
    <t xml:space="preserve">Tercerizado (Petro Star)</t>
  </si>
  <si>
    <t xml:space="preserve">Acantilado</t>
  </si>
  <si>
    <t xml:space="preserve">Tiempo total 12/24/36/36 h</t>
  </si>
  <si>
    <t xml:space="preserve">Cot. 1255 p. 5 y cláusula 7: equipos y nómina por hora si la demora no es atribuible al transportador.</t>
  </si>
  <si>
    <t xml:space="preserve">Bandas de horas por ítem (Opción A/B)</t>
  </si>
  <si>
    <t xml:space="preserve">Tercerizado (Ecotransur)</t>
  </si>
  <si>
    <t xml:space="preserve">8–12 / ≤14 / 14–18 / 18–24 / ≤22 h</t>
  </si>
  <si>
    <t xml:space="preserve">El formato del Ítem 1 no viene adjunto: el Excel usa ítems 'más de X horas'.</t>
  </si>
  <si>
    <t xml:space="preserve">Personal, turnos o equipos fuera del mínimo</t>
  </si>
  <si>
    <t xml:space="preserve">Ambos</t>
  </si>
  <si>
    <t xml:space="preserve">Lo que exceda el equipo mínimo</t>
  </si>
  <si>
    <t xml:space="preserve">Premisa: se cancela entre modelos (adicionales 0 %). Ver Pendientes.</t>
  </si>
  <si>
    <t xml:space="preserve">2. ¿QUÉ VARIABLE AFECTA A LOS DOS MODELOS Y QUÉ SE CANCELA?</t>
  </si>
  <si>
    <t xml:space="preserve">¿A quién afecta?</t>
  </si>
  <si>
    <t xml:space="preserve">¿Se cancela?</t>
  </si>
  <si>
    <t xml:space="preserve">Por qué</t>
  </si>
  <si>
    <t xml:space="preserve">Número de pozos de la campaña</t>
  </si>
  <si>
    <t xml:space="preserve">No</t>
  </si>
  <si>
    <t xml:space="preserve">El WO crece lineal; el tercerizado tiene umbrales mensuales. Entra completo al diferencial.</t>
  </si>
  <si>
    <t xml:space="preserve">Frecuencia mensual de movilizaciones</t>
  </si>
  <si>
    <t xml:space="preserve">Solo tercerizado</t>
  </si>
  <si>
    <t xml:space="preserve">El WO cobra por movilización, no por mes. Es la variable que define la frontera.</t>
  </si>
  <si>
    <t xml:space="preserve">Rango de distancia</t>
  </si>
  <si>
    <t xml:space="preserve">Ambos, distinto</t>
  </si>
  <si>
    <t xml:space="preserve">Las tarifas no se mueven igual: pasar de 0,1–5 a 5–10 km abarata el WO y encarece el tercerizado.</t>
  </si>
  <si>
    <t xml:space="preserve">Adicionales / imprevistos</t>
  </si>
  <si>
    <t xml:space="preserve">Sí (premisa)</t>
  </si>
  <si>
    <t xml:space="preserve">Se pone 0 % en ambos. Si no se cancelan, el residuo cae sobre el tercerizado (ver Sensibilidad).</t>
  </si>
  <si>
    <t xml:space="preserve">Taladro parado por NPT de perforación</t>
  </si>
  <si>
    <t xml:space="preserve">La tarifa del taladro durante la perforación la rige su contrato en los dos modelos.</t>
  </si>
  <si>
    <t xml:space="preserve">Demoras dentro de la movilización</t>
  </si>
  <si>
    <t xml:space="preserve">El WO es suma cerrada. En el tercerizado se paga el taladro por hora y, con Petro Star, equipos y nómina (cláusula 7).</t>
  </si>
  <si>
    <t xml:space="preserve">Las ofertas están en COP; el WO en USD. TRM alta favorece al tercerizado.</t>
  </si>
  <si>
    <t xml:space="preserve">Tarifa del taladro</t>
  </si>
  <si>
    <t xml:space="preserve">Bajo el WO no se pagan horas de taladro.</t>
  </si>
  <si>
    <t xml:space="preserve">Señalizadoras</t>
  </si>
  <si>
    <t xml:space="preserve">Solo WO (recargo)</t>
  </si>
  <si>
    <t xml:space="preserve">Las ofertas ya incluyen 20; el WO tiene 12.</t>
  </si>
  <si>
    <t xml:space="preserve">Premisa SierraCol.</t>
  </si>
  <si>
    <t xml:space="preserve">3. NPT: POR QUÉ CANAL AFECTA A CADA MODELO</t>
  </si>
  <si>
    <t xml:space="preserve">NPT de perforación (pozo): el taladro está parado o perforando más días. Su tarifa diaria se paga igual en los dos modelos, así que ese costo se cancela. Lo que NO se cancela es el efecto sobre la frecuencia: menos movilizaciones por mes. Al WO no le pasa nada (paga por movilización). Al tercerizado le cambia la factura: si el mes cae por debajo de 5 (Ecotransur) o de 6 (Petro Star), aparece el cargo fijo y se pierde el descuento. Canal: frecuencia, no horas.</t>
  </si>
  <si>
    <t xml:space="preserve">NPT de movilización (demora en el traslado): en el WO lo absorbe el contratista del taladro (suma global cerrada). En el tercerizado carga horas de taladro (1.456 USD/h) y, con Petro Star, si la demora no es atribuible al transportador, también equipos y nómina (Cot. 1255 p. 5, cláusula 7; a tarifas horarias de la p. 5 la flota mínima más 20 señalizadores suma unos 1.357 USD/h). Ecotransur no trae esa cláusula, pero factura aparte turnos extra. Canal: horas, residuo completo sobre el tercerizado.</t>
  </si>
  <si>
    <t xml:space="preserve">Lo único medido en los archivos es el sobretiempo de movilización de los logs (hojas Real 2024 / Real 2025): misma localización excede las 12 h del Excel en 10 de 23 movs (2024) y 10 de 11 (2025); 0,1–5 km excede las 18 h en 11 de 28 y 10 de 17; 5–10 km y más de 10 km en 2024 quedaron por debajo de lo supuesto. No hay NPT de perforación ni plan de pozos: se deja editable en 0 % (Simulador C23) y se muestra su sensibilidad.</t>
  </si>
  <si>
    <t xml:space="preserve">4. VERIFICACIONES OBLIGATORIAS</t>
  </si>
  <si>
    <t xml:space="preserve">Verificación</t>
  </si>
  <si>
    <t xml:space="preserve">Resultado</t>
  </si>
  <si>
    <t xml:space="preserve">Detalle</t>
  </si>
  <si>
    <t xml:space="preserve">Recalcular fórmulas heredadas</t>
  </si>
  <si>
    <t xml:space="preserve">Hecho</t>
  </si>
  <si>
    <t xml:space="preserve">Las filas amarillas 'Costo Suma Global' (31, 57, 83, 109) se reproducen al centavo (hoja Reconciliación). El recargo de señalizadoras da 405,41 / 810,81 USD. El total WO de la campaña es 3.130.187 USD (= M18); la nota J55 cita 3.107.890.</t>
  </si>
  <si>
    <t xml:space="preserve">Monotonía de tarifas con la distancia</t>
  </si>
  <si>
    <t xml:space="preserve">Hallazgo</t>
  </si>
  <si>
    <t xml:space="preserve">Petro Star, Lump Sum y Ecotransur crecen con la distancia. El WO no: 5–10 km &lt; 0,1–5 km. Si los 20 pozos fueran de 5–10 km, el ahorro de Petro Star cae unos 324.000 USD y el de Ecotransur unos 430.000 USD.</t>
  </si>
  <si>
    <t xml:space="preserve">Cobertura de más de 20 km</t>
  </si>
  <si>
    <t xml:space="preserve">Brecha</t>
  </si>
  <si>
    <t xml:space="preserve">Petro Star cotiza 10–20 km. El log 2024 tiene 1 movimiento de 22,1 km (pozo 5681); 2025 ninguno (máx. 14,6 km). Se valoró con la tarifa de 10–20 km y queda marcado.</t>
  </si>
  <si>
    <t xml:space="preserve">Horas de Petro Star vs Excel</t>
  </si>
  <si>
    <t xml:space="preserve">Diferencia</t>
  </si>
  <si>
    <t xml:space="preserve">Cotización: 12 / 24 / 36 / 36 h. Excel: 12 / 18 / 24 / 28 h. Por movilización: 0 / 8.736 / 17.472 / 11.648 USD de taladro. En la campaña base (20 pozos en 0,1–5 km): 174.720 USD. Editable en Simulador fila 39.</t>
  </si>
  <si>
    <t xml:space="preserve">IVA del Lump Sum</t>
  </si>
  <si>
    <t xml:space="preserve">Fuera de alcance</t>
  </si>
  <si>
    <t xml:space="preserve">Por instrucción de SierraCol se trabaja sin IVA. Si el IVA del 50 % de alquiler no fuera descontable, el Lump Sum costaría unos 225.000 USD más en la campaña base.</t>
  </si>
  <si>
    <t xml:space="preserve">Celdas sueltas F155 y F156</t>
  </si>
  <si>
    <t xml:space="preserve">No usadas</t>
  </si>
  <si>
    <t xml:space="preserve">Valores 8 y 15 sin rótulo, dentro del bloque 5.6. No entran en ningún cálculo de este simulador.</t>
  </si>
  <si>
    <t xml:space="preserve">Reconciliación: de dónde sale cada parámetro</t>
  </si>
  <si>
    <t xml:space="preserve">Valor en simulador = enlace vivo (verde). Valor en fuente = copiado del archivo original. Control = OK si coinciden.</t>
  </si>
  <si>
    <t xml:space="preserve">Parámetro</t>
  </si>
  <si>
    <t xml:space="preserve">Valor en simulador</t>
  </si>
  <si>
    <t xml:space="preserve">Valor en fuente</t>
  </si>
  <si>
    <t xml:space="preserve">Control</t>
  </si>
  <si>
    <t xml:space="preserve">Fuente (archivo · celda o página)</t>
  </si>
  <si>
    <t xml:space="preserve">TRM (COP/USD)</t>
  </si>
  <si>
    <t xml:space="preserve">Taladro (USD/día)</t>
  </si>
  <si>
    <t xml:space="preserve">Taladro (USD/h)</t>
  </si>
  <si>
    <t xml:space="preserve">Tarifas.xlsx · E6</t>
  </si>
  <si>
    <t xml:space="preserve">Adicionales base (%)</t>
  </si>
  <si>
    <t xml:space="preserve">Tarifas.xlsx · E7</t>
  </si>
  <si>
    <t xml:space="preserve">Premisa</t>
  </si>
  <si>
    <t xml:space="preserve">Adicionales Lump Sum (%)</t>
  </si>
  <si>
    <t xml:space="preserve">Truck Manager por movilización (USD)</t>
  </si>
  <si>
    <t xml:space="preserve">Horas rango 1</t>
  </si>
  <si>
    <t xml:space="preserve">Tarifas.xlsx · C26</t>
  </si>
  <si>
    <t xml:space="preserve">Dato Excel</t>
  </si>
  <si>
    <t xml:space="preserve">Horas rango 2</t>
  </si>
  <si>
    <t xml:space="preserve">Tarifas.xlsx · C52</t>
  </si>
  <si>
    <t xml:space="preserve">Horas rango 3</t>
  </si>
  <si>
    <t xml:space="preserve">Tarifas.xlsx · C78</t>
  </si>
  <si>
    <t xml:space="preserve">Horas rango 4</t>
  </si>
  <si>
    <t xml:space="preserve">Tarifas.xlsx · C104</t>
  </si>
  <si>
    <t xml:space="preserve">WO base rango 1 (USD)</t>
  </si>
  <si>
    <t xml:space="preserve">Tarifas.xlsx · K4 (dato SierraCol)</t>
  </si>
  <si>
    <t xml:space="preserve">WO base rango 2 (USD)</t>
  </si>
  <si>
    <t xml:space="preserve">Tarifas.xlsx · K5 (dato SierraCol)</t>
  </si>
  <si>
    <t xml:space="preserve">WO base rango 3 (USD)</t>
  </si>
  <si>
    <t xml:space="preserve">Tarifas.xlsx · K6 (dato SierraCol)</t>
  </si>
  <si>
    <t xml:space="preserve">WO base rango 4 (USD)</t>
  </si>
  <si>
    <t xml:space="preserve">Tarifas.xlsx · K7 (dato SierraCol)</t>
  </si>
  <si>
    <t xml:space="preserve">Petro Star normal rango 1 (COP)</t>
  </si>
  <si>
    <t xml:space="preserve">Tarifas.xlsx · E25</t>
  </si>
  <si>
    <t xml:space="preserve">Lump Sum rango 1 (COP)</t>
  </si>
  <si>
    <t xml:space="preserve">Tarifas.xlsx · F25 (≠ Cot. 1255 p.1–2)</t>
  </si>
  <si>
    <t xml:space="preserve">Ecotransur rango 1 (COP)</t>
  </si>
  <si>
    <t xml:space="preserve">Tarifas.xlsx · G25</t>
  </si>
  <si>
    <t xml:space="preserve">Petro Star normal rango 2 (COP)</t>
  </si>
  <si>
    <t xml:space="preserve">Tarifas.xlsx · E51</t>
  </si>
  <si>
    <t xml:space="preserve">Lump Sum rango 2 (COP)</t>
  </si>
  <si>
    <t xml:space="preserve">Tarifas.xlsx · F51 (≠ Cot. 1255 p.1–2)</t>
  </si>
  <si>
    <t xml:space="preserve">Ecotransur rango 2 (COP)</t>
  </si>
  <si>
    <t xml:space="preserve">Tarifas.xlsx · G51</t>
  </si>
  <si>
    <t xml:space="preserve">Petro Star normal rango 3 (COP)</t>
  </si>
  <si>
    <t xml:space="preserve">Tarifas.xlsx · E77</t>
  </si>
  <si>
    <t xml:space="preserve">Lump Sum rango 3 (COP)</t>
  </si>
  <si>
    <t xml:space="preserve">Tarifas.xlsx · F77 (≠ Cot. 1255 p.1–2)</t>
  </si>
  <si>
    <t xml:space="preserve">Ecotransur rango 3 (COP)</t>
  </si>
  <si>
    <t xml:space="preserve">Tarifas.xlsx · G77</t>
  </si>
  <si>
    <t xml:space="preserve">Petro Star normal rango 4 (COP)</t>
  </si>
  <si>
    <t xml:space="preserve">Tarifas.xlsx · E103</t>
  </si>
  <si>
    <t xml:space="preserve">Lump Sum rango 4 (COP)</t>
  </si>
  <si>
    <t xml:space="preserve">Tarifas.xlsx · F103 (≠ Cot. 1255 p.1–2)</t>
  </si>
  <si>
    <t xml:space="preserve">Ecotransur rango 4 (COP)</t>
  </si>
  <si>
    <t xml:space="preserve">Tarifas.xlsx · G103</t>
  </si>
  <si>
    <t xml:space="preserve">Señalizador turno 12 h (COP)</t>
  </si>
  <si>
    <t xml:space="preserve">Cot. 1255 p. 5</t>
  </si>
  <si>
    <t xml:space="preserve">Recargo señalizadoras misma loc. (USD)</t>
  </si>
  <si>
    <t xml:space="preserve">Tarifas.xlsx · K11 (verificado)</t>
  </si>
  <si>
    <t xml:space="preserve">Recargo señalizadoras otros rangos (USD)</t>
  </si>
  <si>
    <t xml:space="preserve">Tarifas.xlsx · L11 (verificado)</t>
  </si>
  <si>
    <t xml:space="preserve">Costo Suma Global PS rango 1 (USD)</t>
  </si>
  <si>
    <t xml:space="preserve">Tarifas.xlsx · E31 (fila amarilla)</t>
  </si>
  <si>
    <t xml:space="preserve">Costo Suma Global PS rango 2 (USD)</t>
  </si>
  <si>
    <t xml:space="preserve">Tarifas.xlsx · E57 (fila amarilla)</t>
  </si>
  <si>
    <t xml:space="preserve">Costo Suma Global PS rango 3 (USD)</t>
  </si>
  <si>
    <t xml:space="preserve">Tarifas.xlsx · E83 (fila amarilla)</t>
  </si>
  <si>
    <t xml:space="preserve">Costo Suma Global PS rango 4 (USD)</t>
  </si>
  <si>
    <t xml:space="preserve">Tarifas.xlsx · E109 (fila amarilla)</t>
  </si>
  <si>
    <t xml:space="preserve">Costo Suma Global LS rango 1 (USD)</t>
  </si>
  <si>
    <t xml:space="preserve">Tarifas.xlsx · F31 (fila amarilla)</t>
  </si>
  <si>
    <t xml:space="preserve">Costo Suma Global LS rango 2 (USD)</t>
  </si>
  <si>
    <t xml:space="preserve">Tarifas.xlsx · F57 (fila amarilla)</t>
  </si>
  <si>
    <t xml:space="preserve">Costo Suma Global LS rango 3 (USD)</t>
  </si>
  <si>
    <t xml:space="preserve">Tarifas.xlsx · F83 (fila amarilla)</t>
  </si>
  <si>
    <t xml:space="preserve">Costo Suma Global LS rango 4 (USD)</t>
  </si>
  <si>
    <t xml:space="preserve">Tarifas.xlsx · F109 (fila amarilla)</t>
  </si>
  <si>
    <t xml:space="preserve">Costo Suma Global EC rango 1 (USD)</t>
  </si>
  <si>
    <t xml:space="preserve">Tarifas.xlsx · G31 (fila amarilla)</t>
  </si>
  <si>
    <t xml:space="preserve">Costo Suma Global EC rango 2 (USD)</t>
  </si>
  <si>
    <t xml:space="preserve">Tarifas.xlsx · G57 (fila amarilla)</t>
  </si>
  <si>
    <t xml:space="preserve">Costo Suma Global EC rango 3 (USD)</t>
  </si>
  <si>
    <t xml:space="preserve">Tarifas.xlsx · G83 (fila amarilla)</t>
  </si>
  <si>
    <t xml:space="preserve">Costo Suma Global EC rango 4 (USD)</t>
  </si>
  <si>
    <t xml:space="preserve">Tarifas.xlsx · G109 (fila amarilla)</t>
  </si>
  <si>
    <t xml:space="preserve">WO de la campaña 15+20 (USD)</t>
  </si>
  <si>
    <t xml:space="preserve">Tarifas.xlsx · M18 (la nota J55 dice 3.107.890)</t>
  </si>
  <si>
    <t xml:space="preserve">Cargos fijos mensuales: Simulador C72:D78 transcritos de Cot. 1255 p. 4 (nómina + disponibilidad) y Ecotransur p. 2–3 (nómina + stand-by). Equipos Ecotransur 6ª+: p. 3–4. Perfiles de frecuencia: logs C11:C21 (2024) y C11:C19 (2025).</t>
  </si>
  <si>
    <t xml:space="preserve">Lo medido y lo supuesto, separados</t>
  </si>
  <si>
    <t xml:space="preserve">Ningún supuesto tiene la autoridad de un dato medido. Los supuestos están en amarillo en el simulador.</t>
  </si>
  <si>
    <t xml:space="preserve">MEDIDO</t>
  </si>
  <si>
    <t xml:space="preserve">Tarifas de las tres ofertas por rango</t>
  </si>
  <si>
    <t xml:space="preserve">Tarifas.xlsx E/F/G</t>
  </si>
  <si>
    <t xml:space="preserve">Precios tal cual SCM los pasó (F no coincide con la Cot. 1255).</t>
  </si>
  <si>
    <t xml:space="preserve">TRM y tarifa del taladro</t>
  </si>
  <si>
    <t xml:space="preserve">Tarifas.xlsx E3, E5</t>
  </si>
  <si>
    <t xml:space="preserve">Cargo fijo mensual por número de movilizaciones</t>
  </si>
  <si>
    <t xml:space="preserve">Cot. 1255 p. 4 · Ecotransur p. 2–3</t>
  </si>
  <si>
    <t xml:space="preserve">Descuento desde la 6ª (Petro Star 50 %; Ecotransur solo equipos)</t>
  </si>
  <si>
    <t xml:space="preserve">Tarifa del señalizador (375.000 COP/turno)</t>
  </si>
  <si>
    <t xml:space="preserve">Frecuencia mensual 2024 y 2025</t>
  </si>
  <si>
    <t xml:space="preserve">Logs, tabla por mes</t>
  </si>
  <si>
    <t xml:space="preserve">Dos observaciones independientes; no se promedian.</t>
  </si>
  <si>
    <t xml:space="preserve">Mezcla por rango 2024 (23/29/14/4) y 2025 (11/17/10/7)</t>
  </si>
  <si>
    <t xml:space="preserve">Logs, resumen por rango</t>
  </si>
  <si>
    <t xml:space="preserve">Horas reales por movilización</t>
  </si>
  <si>
    <t xml:space="preserve">Logs, columna Tiempo mov hr</t>
  </si>
  <si>
    <t xml:space="preserve">Pozo 5136 sin horas.</t>
  </si>
  <si>
    <t xml:space="preserve">Horas totales declaradas por Petro Star (12/24/36/36)</t>
  </si>
  <si>
    <t xml:space="preserve">Cot. 1255 p. 1–2</t>
  </si>
  <si>
    <t xml:space="preserve">Referencia; el simulador usa las del Excel.</t>
  </si>
  <si>
    <t xml:space="preserve">Cláusula de demoras no atribuibles (Petro Star)</t>
  </si>
  <si>
    <t xml:space="preserve">Cot. 1255 p. 5, condición 7</t>
  </si>
  <si>
    <t xml:space="preserve">Ecotransur no la trae.</t>
  </si>
  <si>
    <t xml:space="preserve">SUPUESTO O PREMISA</t>
  </si>
  <si>
    <t xml:space="preserve">Origen</t>
  </si>
  <si>
    <t xml:space="preserve">Work Order base y 12 señalizadoras</t>
  </si>
  <si>
    <t xml:space="preserve">No está en los archivos.</t>
  </si>
  <si>
    <t xml:space="preserve">Adicionales 0 % en ambos modelos</t>
  </si>
  <si>
    <t xml:space="preserve">Sensibilidad: +5 % solo en tercerizado.</t>
  </si>
  <si>
    <t xml:space="preserve">Truck Manager por movilización (60 M ÷ 6)</t>
  </si>
  <si>
    <t xml:space="preserve">En la realidad es mensual.</t>
  </si>
  <si>
    <t xml:space="preserve">Campaña 15 misma loc. + 20 otra loc.</t>
  </si>
  <si>
    <t xml:space="preserve">No sale de los logs.</t>
  </si>
  <si>
    <t xml:space="preserve">Rango de los 20 pozos: 0,1–5 km</t>
  </si>
  <si>
    <t xml:space="preserve">Los logs muestran 5–10 y más de 10 km en 38–50 % de los movimientos fuera de la locación.</t>
  </si>
  <si>
    <t xml:space="preserve">Lump Sum sin descuento (principal)</t>
  </si>
  <si>
    <t xml:space="preserve">Con descuento: solo referencia.</t>
  </si>
  <si>
    <t xml:space="preserve">Ecotransur 6ª+ en misma loc. = equipos 0–5 km</t>
  </si>
  <si>
    <t xml:space="preserve">El PDF no trae valor.</t>
  </si>
  <si>
    <t xml:space="preserve">Orden de los pozos dentro del mes: intercalado</t>
  </si>
  <si>
    <t xml:space="preserve">Sensibilidad: misma loc. primero / otra primero.</t>
  </si>
  <si>
    <t xml:space="preserve">Horas pagadas al taladro = horas del Excel</t>
  </si>
  <si>
    <t xml:space="preserve">Los logs muestran más horas en misma loc. y 0,1–5 km (2025).</t>
  </si>
  <si>
    <t xml:space="preserve">NPT de perforación 0 %</t>
  </si>
  <si>
    <t xml:space="preserve">Barrido 0–20 % en Sensibilidad.</t>
  </si>
  <si>
    <t xml:space="preserve">Meses sin registro = campaña parada (no se cobran)</t>
  </si>
  <si>
    <t xml:space="preserve">Si el contrato sigue vigente: ver Pendientes.</t>
  </si>
  <si>
    <t xml:space="preserve">Más de 20 km se paga con la tarifa de 10–20 km</t>
  </si>
  <si>
    <t xml:space="preserve">1 movimiento en 2024.</t>
  </si>
  <si>
    <t xml:space="preserve">IVA fuera del análisis</t>
  </si>
  <si>
    <t xml:space="preserve">Sensibilidad: qué variable mueve el ahorro de la campaña base</t>
  </si>
  <si>
    <t xml:space="preserve">Ahorro = costo WO − costo tercerizado (USD), campaña 15 misma loc. + 20 en 0,1–5 km. 'Mejora' = extremo que aumenta el ahorro del tercerizado; 'Empeora' = el que lo reduce. Ordenado por efecto. Calculado con el motor de referencia (tools/modelo.py), idéntico al simulador; no se recalcula al editar.</t>
  </si>
  <si>
    <t xml:space="preserve">Petro Star tarifa normal · frecuencia perfil 2024 · ahorro base 730.502 USD</t>
  </si>
  <si>
    <t xml:space="preserve">Valor base</t>
  </si>
  <si>
    <t xml:space="preserve">Extremo que mejora</t>
  </si>
  <si>
    <t xml:space="preserve">Ahorro (USD)</t>
  </si>
  <si>
    <t xml:space="preserve">Extremo que empeora</t>
  </si>
  <si>
    <t xml:space="preserve">Efecto (USD)</t>
  </si>
  <si>
    <t xml:space="preserve">Frecuencia mensual (perfil del log)</t>
  </si>
  <si>
    <t xml:space="preserve">perfil del año</t>
  </si>
  <si>
    <t xml:space="preserve">perfil 2024</t>
  </si>
  <si>
    <t xml:space="preserve">perfil 2025</t>
  </si>
  <si>
    <t xml:space="preserve">Rango de los 20 pozos en otra localización</t>
  </si>
  <si>
    <t xml:space="preserve">3.700</t>
  </si>
  <si>
    <t xml:space="preserve">4.070 (+10 %)</t>
  </si>
  <si>
    <t xml:space="preserve">3.330 (−10 %)</t>
  </si>
  <si>
    <t xml:space="preserve">NPT de perforación (baja la frecuencia)</t>
  </si>
  <si>
    <t xml:space="preserve">Sin dato: barrido</t>
  </si>
  <si>
    <t xml:space="preserve">0 %</t>
  </si>
  <si>
    <t xml:space="preserve">20 %</t>
  </si>
  <si>
    <t xml:space="preserve">Rango de los 20 pozos (extremo lejano)</t>
  </si>
  <si>
    <t xml:space="preserve">más de 10 km</t>
  </si>
  <si>
    <t xml:space="preserve">Sobretiempo por movilización (todas)</t>
  </si>
  <si>
    <t xml:space="preserve">Medido (log)</t>
  </si>
  <si>
    <t xml:space="preserve">0 h</t>
  </si>
  <si>
    <t xml:space="preserve">+3,5 h (sobretiempo medio misma loc. 2025)</t>
  </si>
  <si>
    <t xml:space="preserve">Horas de taladro por movilización</t>
  </si>
  <si>
    <t xml:space="preserve">Medido vs dato Excel</t>
  </si>
  <si>
    <t xml:space="preserve">Excel 12/18/24/28</t>
  </si>
  <si>
    <t xml:space="preserve">Petro Star 12/24/36/36</t>
  </si>
  <si>
    <t xml:space="preserve">Petro Star normal: equipos adicionales requeridos cobrados aparte</t>
  </si>
  <si>
    <t xml:space="preserve">Riesgo de oferta</t>
  </si>
  <si>
    <t xml:space="preserve">no se cobran</t>
  </si>
  <si>
    <t xml:space="preserve">se cobran (Cot. 1255, azul)</t>
  </si>
  <si>
    <t xml:space="preserve">34.944 USD/día</t>
  </si>
  <si>
    <t xml:space="preserve">31.450 (−10 %)</t>
  </si>
  <si>
    <t xml:space="preserve">38.438 (+10 %)</t>
  </si>
  <si>
    <t xml:space="preserve">Orden de los pozos dentro del mes</t>
  </si>
  <si>
    <t xml:space="preserve">intercalado</t>
  </si>
  <si>
    <t xml:space="preserve">misma loc. primero</t>
  </si>
  <si>
    <t xml:space="preserve">otra loc. primero</t>
  </si>
  <si>
    <t xml:space="preserve">Adicionales: ¿se cancelan entre modelos?</t>
  </si>
  <si>
    <t xml:space="preserve">0 % / 0 %</t>
  </si>
  <si>
    <t xml:space="preserve">se cancelan</t>
  </si>
  <si>
    <t xml:space="preserve">+5 % solo en tercerizado</t>
  </si>
  <si>
    <t xml:space="preserve">Recargo de señalizadoras al WO</t>
  </si>
  <si>
    <t xml:space="preserve">se carga</t>
  </si>
  <si>
    <t xml:space="preserve">no se carga</t>
  </si>
  <si>
    <t xml:space="preserve">2.702,70 USD por mov.</t>
  </si>
  <si>
    <t xml:space="preserve">60 M COP fijo por mes</t>
  </si>
  <si>
    <t xml:space="preserve">por movilización</t>
  </si>
  <si>
    <t xml:space="preserve">Petro Star Lump Sum (sin descuento) · frecuencia perfil 2024 · ahorro base -118.526 USD</t>
  </si>
  <si>
    <t xml:space="preserve">Ecotransur · frecuencia perfil 2024 · ahorro base 695.386 USD</t>
  </si>
  <si>
    <t xml:space="preserve">Ecotransur 6ª+ en misma localización</t>
  </si>
  <si>
    <t xml:space="preserve">equipos 0–5 km</t>
  </si>
  <si>
    <t xml:space="preserve">tarifa plena</t>
  </si>
  <si>
    <t xml:space="preserve">Petro Star tarifa normal · frecuencia perfil 2025 · ahorro base 352.652 USD</t>
  </si>
  <si>
    <t xml:space="preserve">Cargo fijo de Petro Star con 5 movs/mes</t>
  </si>
  <si>
    <t xml:space="preserve">Medido (contradicción PDF)</t>
  </si>
  <si>
    <t xml:space="preserve">se cobra (p. 4)</t>
  </si>
  <si>
    <t xml:space="preserve">no se cobra (mínimo 5)</t>
  </si>
  <si>
    <t xml:space="preserve">se cobra</t>
  </si>
  <si>
    <t xml:space="preserve">Petro Star Lump Sum (sin descuento) · frecuencia perfil 2025 · ahorro base -390.648 USD</t>
  </si>
  <si>
    <t xml:space="preserve">Ecotransur · frecuencia perfil 2025 · ahorro base 427.789 USD</t>
  </si>
  <si>
    <t xml:space="preserve">Pendientes por confirmar: valor de trabajo y lo que está en juego</t>
  </si>
  <si>
    <t xml:space="preserve">En juego = cambio del ahorro del tercerizado (USD) si el valor de trabajo se reemplaza por la alternativa. Negativo = el tercerizado pierde ventaja. Campaña base 15 + 20; perfil de frecuencia 2024 / 2025.</t>
  </si>
  <si>
    <t xml:space="preserve">Pendiente</t>
  </si>
  <si>
    <t xml:space="preserve">Valor de trabajo</t>
  </si>
  <si>
    <t xml:space="preserve">Alternativa</t>
  </si>
  <si>
    <t xml:space="preserve">Oferta afectada</t>
  </si>
  <si>
    <t xml:space="preserve">En juego perfil 2024 (USD)</t>
  </si>
  <si>
    <t xml:space="preserve">En juego perfil 2025 (USD)</t>
  </si>
  <si>
    <t xml:space="preserve">Quién confirma</t>
  </si>
  <si>
    <t xml:space="preserve">Rango de los 20 pozos 'Dif. Loc'</t>
  </si>
  <si>
    <t xml:space="preserve">Petro Star normal</t>
  </si>
  <si>
    <t xml:space="preserve">SierraCol (plan de pozos)</t>
  </si>
  <si>
    <t xml:space="preserve">Horas que se pagan al taladro</t>
  </si>
  <si>
    <t xml:space="preserve">Todas (igual)</t>
  </si>
  <si>
    <t xml:space="preserve">SierraCol / Petro Star</t>
  </si>
  <si>
    <t xml:space="preserve">Petro Star normal: ¿cobra aparte los equipos adicionales requeridos?</t>
  </si>
  <si>
    <t xml:space="preserve">Sí (Cot. 1255, azul)</t>
  </si>
  <si>
    <t xml:space="preserve">Petro Star</t>
  </si>
  <si>
    <t xml:space="preserve">Lump Sum: valores del Excel vs Cot. 1255</t>
  </si>
  <si>
    <t xml:space="preserve">Excel (F)</t>
  </si>
  <si>
    <t xml:space="preserve">Lump Sum</t>
  </si>
  <si>
    <t xml:space="preserve">SCM</t>
  </si>
  <si>
    <t xml:space="preserve">Lump Sum con descuento desde la 6ª</t>
  </si>
  <si>
    <t xml:space="preserve">Sin descuento (principal)</t>
  </si>
  <si>
    <t xml:space="preserve">50 % desde la 6ª</t>
  </si>
  <si>
    <t xml:space="preserve">Petro Star: ¿cobra cargo fijo con 5 movs?</t>
  </si>
  <si>
    <t xml:space="preserve">Sí (tabla p. 4)</t>
  </si>
  <si>
    <t xml:space="preserve">No (mínimo 5 cumplido)</t>
  </si>
  <si>
    <t xml:space="preserve">Petro Star (ambas)</t>
  </si>
  <si>
    <t xml:space="preserve">Equipos 0–5 km</t>
  </si>
  <si>
    <t xml:space="preserve">Tarifa plena</t>
  </si>
  <si>
    <t xml:space="preserve">Por movilización</t>
  </si>
  <si>
    <t xml:space="preserve">SierraCol</t>
  </si>
  <si>
    <t xml:space="preserve">Adicionales: ¿se cancelan?</t>
  </si>
  <si>
    <t xml:space="preserve">0 % ambos</t>
  </si>
  <si>
    <t xml:space="preserve">+5 % solo tercerizado</t>
  </si>
  <si>
    <t xml:space="preserve">Se carga</t>
  </si>
  <si>
    <t xml:space="preserve">No se carga</t>
  </si>
  <si>
    <t xml:space="preserve">SierraCol (contrato WO)</t>
  </si>
  <si>
    <t xml:space="preserve">Mes con campaña parada y contrato vigente</t>
  </si>
  <si>
    <t xml:space="preserve">No se cobra</t>
  </si>
  <si>
    <t xml:space="preserve">Se cobra el cargo de 0 movs</t>
  </si>
  <si>
    <t xml:space="preserve">Petro Star / Ecotransur</t>
  </si>
  <si>
    <t xml:space="preserve">Contrato (cláusula de suspensión)</t>
  </si>
  <si>
    <t xml:space="preserve">Demora no atribuible al transportador (por hora)</t>
  </si>
  <si>
    <t xml:space="preserve">Sin demora</t>
  </si>
  <si>
    <t xml:space="preserve">1 hora de demora</t>
  </si>
  <si>
    <t xml:space="preserve">Cot. 1255 cláusula 7: taladro 1.456 + flota y señalizadores ~1.357 USD/h</t>
  </si>
  <si>
    <t xml:space="preserve">Movilizaciones de más de 20 km</t>
  </si>
  <si>
    <t xml:space="preserve">Tarifa 10–20 km</t>
  </si>
  <si>
    <t xml:space="preserve">Sin tarifa</t>
  </si>
  <si>
    <t xml:space="preserve">Petro Star (cotizar)</t>
  </si>
  <si>
    <t xml:space="preserve">Formato Ítem 1 y 2 de Ecotransur (bandas de horas A/B)</t>
  </si>
  <si>
    <t xml:space="preserve">Excel ítems 1.3/1.9/1.15/1.21</t>
  </si>
  <si>
    <t xml:space="preserve">Ítem según horas reales</t>
  </si>
  <si>
    <t xml:space="preserve">Ecotransur (enviar formato)</t>
  </si>
  <si>
    <t xml:space="preserve">NPT de perforación</t>
  </si>
  <si>
    <t xml:space="preserve">20 % (barrido)</t>
  </si>
  <si>
    <t xml:space="preserve">SierraCol (plan de pozos / NPT)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</si>
</sst>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\$#,##0;&quot;($&quot;#,##0\);\-"/>
    <numFmt numFmtId="167" formatCode="\$#,##0.00;&quot;($&quot;#,##0.00\);\-"/>
    <numFmt numFmtId="168" formatCode="0.0%;\(0.0%\);\-"/>
    <numFmt numFmtId="169" formatCode="0"/>
    <numFmt numFmtId="170" formatCode="#,##0.0;\(#,##0.0\);\-"/>
    <numFmt numFmtId="171" formatCode="0.0"/>
    <numFmt numFmtId="172" formatCode="dd\-mmm\-yy"/>
    <numFmt numFmtId="173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C00000"/>
      </font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4" min="3" style="0" width="17"/>
    <col collapsed="false" customWidth="true" hidden="false" outlineLevel="0" max="16" min="15" style="0" width="14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 t="s">
        <v>2</v>
      </c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/>
      <c r="H6" s="4"/>
      <c r="I6" s="4"/>
    </row>
    <row r="7" customFormat="false" ht="15" hidden="false" customHeight="false" outlineLevel="0" collapsed="false">
      <c r="B7" s="5" t="s">
        <v>9</v>
      </c>
      <c r="C7" s="6" t="n">
        <v>3700</v>
      </c>
      <c r="D7" s="5" t="s">
        <v>10</v>
      </c>
      <c r="E7" s="5" t="s">
        <v>11</v>
      </c>
      <c r="F7" s="5" t="s">
        <v>12</v>
      </c>
      <c r="G7" s="5"/>
      <c r="H7" s="5"/>
      <c r="I7" s="5"/>
    </row>
    <row r="8" customFormat="false" ht="15" hidden="false" customHeight="false" outlineLevel="0" collapsed="false">
      <c r="B8" s="5" t="s">
        <v>13</v>
      </c>
      <c r="C8" s="7" t="n">
        <v>34944</v>
      </c>
      <c r="D8" s="5" t="s">
        <v>14</v>
      </c>
      <c r="E8" s="5" t="s">
        <v>11</v>
      </c>
      <c r="F8" s="5" t="s">
        <v>15</v>
      </c>
      <c r="G8" s="5"/>
      <c r="H8" s="5"/>
      <c r="I8" s="5"/>
    </row>
    <row r="9" customFormat="false" ht="15" hidden="false" customHeight="false" outlineLevel="0" collapsed="false">
      <c r="B9" s="5" t="s">
        <v>16</v>
      </c>
      <c r="C9" s="8" t="n">
        <f aca="false">C8/24</f>
        <v>1456</v>
      </c>
      <c r="D9" s="5" t="s">
        <v>17</v>
      </c>
      <c r="E9" s="5" t="s">
        <v>18</v>
      </c>
      <c r="F9" s="5" t="s">
        <v>19</v>
      </c>
      <c r="G9" s="5"/>
      <c r="H9" s="5"/>
      <c r="I9" s="5"/>
    </row>
    <row r="10" customFormat="false" ht="15" hidden="false" customHeight="false" outlineLevel="0" collapsed="false">
      <c r="B10" s="5" t="s">
        <v>20</v>
      </c>
      <c r="C10" s="9" t="s">
        <v>21</v>
      </c>
      <c r="D10" s="5"/>
      <c r="E10" s="5" t="s">
        <v>22</v>
      </c>
      <c r="F10" s="5" t="s">
        <v>23</v>
      </c>
      <c r="G10" s="5"/>
      <c r="H10" s="5"/>
      <c r="I10" s="5"/>
    </row>
    <row r="11" customFormat="false" ht="15" hidden="false" customHeight="false" outlineLevel="0" collapsed="false">
      <c r="B11" s="5" t="s">
        <v>24</v>
      </c>
      <c r="C11" s="10" t="n">
        <v>0</v>
      </c>
      <c r="D11" s="5" t="s">
        <v>25</v>
      </c>
      <c r="E11" s="5" t="s">
        <v>26</v>
      </c>
      <c r="F11" s="5" t="s">
        <v>27</v>
      </c>
      <c r="G11" s="5"/>
      <c r="H11" s="5"/>
      <c r="I11" s="5"/>
    </row>
    <row r="12" customFormat="false" ht="15" hidden="false" customHeight="false" outlineLevel="0" collapsed="false">
      <c r="B12" s="5" t="s">
        <v>28</v>
      </c>
      <c r="C12" s="10" t="n">
        <v>0</v>
      </c>
      <c r="D12" s="5" t="s">
        <v>25</v>
      </c>
      <c r="E12" s="5" t="s">
        <v>26</v>
      </c>
      <c r="F12" s="5" t="s">
        <v>29</v>
      </c>
      <c r="G12" s="5"/>
      <c r="H12" s="5"/>
      <c r="I12" s="5"/>
    </row>
    <row r="13" customFormat="false" ht="15" hidden="false" customHeight="false" outlineLevel="0" collapsed="false">
      <c r="B13" s="5" t="s">
        <v>30</v>
      </c>
      <c r="C13" s="10" t="n">
        <v>0</v>
      </c>
      <c r="D13" s="5" t="s">
        <v>25</v>
      </c>
      <c r="E13" s="5" t="s">
        <v>26</v>
      </c>
      <c r="F13" s="5" t="s">
        <v>31</v>
      </c>
      <c r="G13" s="5"/>
      <c r="H13" s="5"/>
      <c r="I13" s="5"/>
    </row>
    <row r="14" customFormat="false" ht="15" hidden="false" customHeight="false" outlineLevel="0" collapsed="false">
      <c r="B14" s="5" t="s">
        <v>32</v>
      </c>
      <c r="C14" s="6" t="n">
        <v>60000000</v>
      </c>
      <c r="D14" s="5" t="s">
        <v>33</v>
      </c>
      <c r="E14" s="5" t="s">
        <v>11</v>
      </c>
      <c r="F14" s="5" t="s">
        <v>34</v>
      </c>
      <c r="G14" s="5"/>
      <c r="H14" s="5"/>
      <c r="I14" s="5"/>
    </row>
    <row r="15" customFormat="false" ht="15" hidden="false" customHeight="false" outlineLevel="0" collapsed="false">
      <c r="B15" s="5" t="s">
        <v>35</v>
      </c>
      <c r="C15" s="11" t="n">
        <v>6</v>
      </c>
      <c r="D15" s="5" t="s">
        <v>36</v>
      </c>
      <c r="E15" s="5" t="s">
        <v>37</v>
      </c>
      <c r="F15" s="5" t="s">
        <v>38</v>
      </c>
      <c r="G15" s="5"/>
      <c r="H15" s="5"/>
      <c r="I15" s="5"/>
    </row>
    <row r="16" customFormat="false" ht="15" hidden="false" customHeight="false" outlineLevel="0" collapsed="false">
      <c r="B16" s="5" t="s">
        <v>39</v>
      </c>
      <c r="C16" s="12" t="s">
        <v>40</v>
      </c>
      <c r="D16" s="5"/>
      <c r="E16" s="5" t="s">
        <v>26</v>
      </c>
      <c r="F16" s="5" t="s">
        <v>41</v>
      </c>
      <c r="G16" s="5"/>
      <c r="H16" s="5"/>
      <c r="I16" s="5"/>
    </row>
    <row r="17" customFormat="false" ht="15" hidden="false" customHeight="false" outlineLevel="0" collapsed="false">
      <c r="B17" s="5" t="s">
        <v>42</v>
      </c>
      <c r="C17" s="13" t="n">
        <v>0.5</v>
      </c>
      <c r="D17" s="5" t="s">
        <v>25</v>
      </c>
      <c r="E17" s="5" t="s">
        <v>11</v>
      </c>
      <c r="F17" s="5" t="s">
        <v>43</v>
      </c>
      <c r="G17" s="5"/>
      <c r="H17" s="5"/>
      <c r="I17" s="5"/>
    </row>
    <row r="18" customFormat="false" ht="15" hidden="false" customHeight="false" outlineLevel="0" collapsed="false">
      <c r="B18" s="5" t="s">
        <v>44</v>
      </c>
      <c r="C18" s="10" t="n">
        <v>0.5</v>
      </c>
      <c r="D18" s="5" t="s">
        <v>25</v>
      </c>
      <c r="E18" s="5" t="s">
        <v>45</v>
      </c>
      <c r="F18" s="5" t="s">
        <v>46</v>
      </c>
      <c r="G18" s="5"/>
      <c r="H18" s="5"/>
      <c r="I18" s="5"/>
    </row>
    <row r="19" customFormat="false" ht="15" hidden="false" customHeight="false" outlineLevel="0" collapsed="false">
      <c r="B19" s="5" t="s">
        <v>47</v>
      </c>
      <c r="C19" s="11" t="n">
        <v>6</v>
      </c>
      <c r="D19" s="5" t="s">
        <v>48</v>
      </c>
      <c r="E19" s="5" t="s">
        <v>11</v>
      </c>
      <c r="F19" s="5" t="s">
        <v>49</v>
      </c>
      <c r="G19" s="5"/>
      <c r="H19" s="5"/>
      <c r="I19" s="5"/>
    </row>
    <row r="20" customFormat="false" ht="15" hidden="false" customHeight="false" outlineLevel="0" collapsed="false">
      <c r="B20" s="5" t="s">
        <v>50</v>
      </c>
      <c r="C20" s="11" t="n">
        <v>4</v>
      </c>
      <c r="D20" s="5" t="s">
        <v>51</v>
      </c>
      <c r="E20" s="5" t="s">
        <v>26</v>
      </c>
      <c r="F20" s="5" t="s">
        <v>52</v>
      </c>
      <c r="G20" s="5"/>
      <c r="H20" s="5"/>
      <c r="I20" s="5"/>
    </row>
    <row r="21" customFormat="false" ht="15" hidden="false" customHeight="false" outlineLevel="0" collapsed="false">
      <c r="B21" s="5" t="s">
        <v>53</v>
      </c>
      <c r="C21" s="6" t="n">
        <v>375000</v>
      </c>
      <c r="D21" s="5" t="s">
        <v>54</v>
      </c>
      <c r="E21" s="5" t="s">
        <v>11</v>
      </c>
      <c r="F21" s="5" t="s">
        <v>55</v>
      </c>
      <c r="G21" s="5"/>
      <c r="H21" s="5"/>
      <c r="I21" s="5"/>
    </row>
    <row r="22" customFormat="false" ht="15" hidden="false" customHeight="false" outlineLevel="0" collapsed="false">
      <c r="B22" s="5" t="s">
        <v>56</v>
      </c>
      <c r="C22" s="9" t="s">
        <v>57</v>
      </c>
      <c r="D22" s="5"/>
      <c r="E22" s="5" t="s">
        <v>58</v>
      </c>
      <c r="F22" s="5" t="s">
        <v>59</v>
      </c>
      <c r="G22" s="5"/>
      <c r="H22" s="5"/>
      <c r="I22" s="5"/>
    </row>
    <row r="23" customFormat="false" ht="15" hidden="false" customHeight="false" outlineLevel="0" collapsed="false">
      <c r="B23" s="5" t="s">
        <v>60</v>
      </c>
      <c r="C23" s="10" t="n">
        <v>0</v>
      </c>
      <c r="D23" s="5" t="s">
        <v>25</v>
      </c>
      <c r="E23" s="5" t="s">
        <v>61</v>
      </c>
      <c r="F23" s="5" t="s">
        <v>62</v>
      </c>
      <c r="G23" s="5"/>
      <c r="H23" s="5"/>
      <c r="I23" s="5"/>
    </row>
    <row r="25" customFormat="false" ht="15" hidden="false" customHeight="false" outlineLevel="0" collapsed="false">
      <c r="B25" s="3" t="s">
        <v>63</v>
      </c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"/>
      <c r="H26" s="4"/>
      <c r="I26" s="4"/>
    </row>
    <row r="27" customFormat="false" ht="15" hidden="false" customHeight="false" outlineLevel="0" collapsed="false">
      <c r="B27" s="5" t="s">
        <v>64</v>
      </c>
      <c r="C27" s="11" t="n">
        <v>15</v>
      </c>
      <c r="D27" s="5" t="s">
        <v>65</v>
      </c>
      <c r="E27" s="5" t="s">
        <v>26</v>
      </c>
      <c r="F27" s="5" t="s">
        <v>66</v>
      </c>
      <c r="G27" s="5"/>
      <c r="H27" s="5"/>
      <c r="I27" s="5"/>
    </row>
    <row r="28" customFormat="false" ht="15" hidden="false" customHeight="false" outlineLevel="0" collapsed="false">
      <c r="B28" s="5" t="s">
        <v>67</v>
      </c>
      <c r="C28" s="11" t="n">
        <v>20</v>
      </c>
      <c r="D28" s="5" t="s">
        <v>65</v>
      </c>
      <c r="E28" s="5" t="s">
        <v>26</v>
      </c>
      <c r="F28" s="5" t="s">
        <v>66</v>
      </c>
      <c r="G28" s="5"/>
      <c r="H28" s="5"/>
      <c r="I28" s="5"/>
    </row>
    <row r="29" customFormat="false" ht="25.5" hidden="false" customHeight="true" outlineLevel="0" collapsed="false">
      <c r="B29" s="14" t="s">
        <v>68</v>
      </c>
      <c r="C29" s="15" t="n">
        <v>2</v>
      </c>
      <c r="D29" s="5" t="s">
        <v>69</v>
      </c>
      <c r="E29" s="5" t="s">
        <v>70</v>
      </c>
      <c r="F29" s="5" t="s">
        <v>71</v>
      </c>
      <c r="G29" s="5"/>
      <c r="H29" s="5"/>
      <c r="I29" s="5"/>
    </row>
    <row r="30" customFormat="false" ht="15" hidden="false" customHeight="false" outlineLevel="0" collapsed="false">
      <c r="B30" s="5" t="s">
        <v>72</v>
      </c>
      <c r="C30" s="16" t="n">
        <f aca="false">C27+C28</f>
        <v>35</v>
      </c>
      <c r="D30" s="5" t="s">
        <v>65</v>
      </c>
      <c r="E30" s="5" t="s">
        <v>18</v>
      </c>
      <c r="F30" s="5" t="s">
        <v>73</v>
      </c>
      <c r="G30" s="5"/>
      <c r="H30" s="5"/>
      <c r="I30" s="5"/>
    </row>
    <row r="31" customFormat="false" ht="15" hidden="false" customHeight="false" outlineLevel="0" collapsed="false">
      <c r="B31" s="5" t="s">
        <v>74</v>
      </c>
      <c r="C31" s="12" t="s">
        <v>75</v>
      </c>
      <c r="D31" s="5"/>
      <c r="E31" s="5" t="s">
        <v>76</v>
      </c>
      <c r="F31" s="5" t="s">
        <v>77</v>
      </c>
      <c r="G31" s="5"/>
      <c r="H31" s="5"/>
      <c r="I31" s="5"/>
    </row>
    <row r="32" customFormat="false" ht="15" hidden="false" customHeight="false" outlineLevel="0" collapsed="false">
      <c r="B32" s="5" t="s">
        <v>78</v>
      </c>
      <c r="C32" s="17" t="n">
        <v>6</v>
      </c>
      <c r="D32" s="5" t="s">
        <v>36</v>
      </c>
      <c r="E32" s="5" t="s">
        <v>70</v>
      </c>
      <c r="F32" s="5" t="s">
        <v>79</v>
      </c>
      <c r="G32" s="5"/>
      <c r="H32" s="5"/>
      <c r="I32" s="5"/>
    </row>
    <row r="33" customFormat="false" ht="15" hidden="false" customHeight="false" outlineLevel="0" collapsed="false">
      <c r="B33" s="5" t="s">
        <v>80</v>
      </c>
      <c r="C33" s="11" t="n">
        <v>7</v>
      </c>
      <c r="D33" s="11" t="n">
        <v>8</v>
      </c>
      <c r="E33" s="11" t="n">
        <v>7</v>
      </c>
      <c r="F33" s="11" t="n">
        <v>7</v>
      </c>
      <c r="G33" s="11" t="n">
        <v>7</v>
      </c>
      <c r="H33" s="11" t="n">
        <v>9</v>
      </c>
      <c r="I33" s="11" t="n">
        <v>7</v>
      </c>
      <c r="J33" s="11" t="n">
        <v>3</v>
      </c>
      <c r="K33" s="11" t="n">
        <v>6</v>
      </c>
      <c r="L33" s="11" t="n">
        <v>6</v>
      </c>
      <c r="M33" s="11" t="n">
        <v>3</v>
      </c>
    </row>
    <row r="34" customFormat="false" ht="15" hidden="false" customHeight="false" outlineLevel="0" collapsed="false">
      <c r="B34" s="5" t="s">
        <v>81</v>
      </c>
      <c r="C34" s="11" t="n">
        <v>1</v>
      </c>
      <c r="D34" s="11" t="n">
        <v>4</v>
      </c>
      <c r="E34" s="11" t="n">
        <v>7</v>
      </c>
      <c r="F34" s="11" t="n">
        <v>5</v>
      </c>
      <c r="G34" s="11" t="n">
        <v>6</v>
      </c>
      <c r="H34" s="11" t="n">
        <v>7</v>
      </c>
      <c r="I34" s="11" t="n">
        <v>7</v>
      </c>
      <c r="J34" s="11" t="n">
        <v>5</v>
      </c>
      <c r="K34" s="11" t="n">
        <v>3</v>
      </c>
    </row>
    <row r="35" customFormat="false" ht="27.75" hidden="false" customHeight="true" outlineLevel="0" collapsed="false">
      <c r="B35" s="18" t="s">
        <v>82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7" customFormat="false" ht="15" hidden="false" customHeight="false" outlineLevel="0" collapsed="false">
      <c r="B37" s="3" t="s">
        <v>83</v>
      </c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B38" s="4" t="s">
        <v>84</v>
      </c>
      <c r="C38" s="4" t="s">
        <v>85</v>
      </c>
      <c r="D38" s="4" t="s">
        <v>86</v>
      </c>
      <c r="E38" s="4" t="s">
        <v>87</v>
      </c>
      <c r="F38" s="4" t="s">
        <v>88</v>
      </c>
      <c r="G38" s="4" t="s">
        <v>7</v>
      </c>
      <c r="H38" s="4" t="s">
        <v>8</v>
      </c>
      <c r="I38" s="4"/>
    </row>
    <row r="39" customFormat="false" ht="15" hidden="false" customHeight="false" outlineLevel="0" collapsed="false">
      <c r="B39" s="5" t="s">
        <v>89</v>
      </c>
      <c r="C39" s="19" t="n">
        <v>12</v>
      </c>
      <c r="D39" s="19" t="n">
        <v>18</v>
      </c>
      <c r="E39" s="19" t="n">
        <v>24</v>
      </c>
      <c r="F39" s="19" t="n">
        <v>28</v>
      </c>
      <c r="G39" s="5" t="s">
        <v>90</v>
      </c>
      <c r="H39" s="5" t="s">
        <v>91</v>
      </c>
      <c r="I39" s="5"/>
    </row>
    <row r="40" customFormat="false" ht="15" hidden="false" customHeight="false" outlineLevel="0" collapsed="false">
      <c r="B40" s="5" t="s">
        <v>92</v>
      </c>
      <c r="C40" s="19" t="n">
        <v>0</v>
      </c>
      <c r="D40" s="19" t="n">
        <v>0</v>
      </c>
      <c r="E40" s="19" t="n">
        <v>0</v>
      </c>
      <c r="F40" s="19" t="n">
        <v>0</v>
      </c>
      <c r="G40" s="5" t="s">
        <v>93</v>
      </c>
      <c r="H40" s="5" t="s">
        <v>94</v>
      </c>
      <c r="I40" s="5"/>
    </row>
    <row r="41" customFormat="false" ht="15" hidden="false" customHeight="false" outlineLevel="0" collapsed="false">
      <c r="B41" s="5" t="s">
        <v>95</v>
      </c>
      <c r="C41" s="11" t="n">
        <v>12</v>
      </c>
      <c r="D41" s="11" t="n">
        <v>24</v>
      </c>
      <c r="E41" s="11" t="n">
        <v>36</v>
      </c>
      <c r="F41" s="11" t="n">
        <v>36</v>
      </c>
      <c r="G41" s="5" t="s">
        <v>11</v>
      </c>
      <c r="H41" s="5" t="s">
        <v>96</v>
      </c>
      <c r="I41" s="5"/>
    </row>
    <row r="42" customFormat="false" ht="15" hidden="false" customHeight="false" outlineLevel="0" collapsed="false">
      <c r="B42" s="5" t="s">
        <v>97</v>
      </c>
      <c r="C42" s="11" t="n">
        <v>1</v>
      </c>
      <c r="D42" s="11" t="n">
        <v>2</v>
      </c>
      <c r="E42" s="11" t="n">
        <v>2</v>
      </c>
      <c r="F42" s="11" t="n">
        <v>2</v>
      </c>
      <c r="G42" s="5" t="s">
        <v>26</v>
      </c>
      <c r="H42" s="5" t="s">
        <v>98</v>
      </c>
      <c r="I42" s="5"/>
    </row>
    <row r="43" customFormat="false" ht="15" hidden="false" customHeight="false" outlineLevel="0" collapsed="false">
      <c r="B43" s="5" t="s">
        <v>99</v>
      </c>
      <c r="C43" s="7" t="n">
        <v>75642</v>
      </c>
      <c r="D43" s="7" t="n">
        <v>98663</v>
      </c>
      <c r="E43" s="7" t="n">
        <v>95374</v>
      </c>
      <c r="F43" s="7" t="n">
        <v>110174</v>
      </c>
      <c r="G43" s="5" t="s">
        <v>26</v>
      </c>
      <c r="H43" s="5" t="s">
        <v>100</v>
      </c>
      <c r="I43" s="5"/>
    </row>
    <row r="44" customFormat="false" ht="15" hidden="false" customHeight="false" outlineLevel="0" collapsed="false">
      <c r="B44" s="5" t="s">
        <v>101</v>
      </c>
      <c r="C44" s="6" t="n">
        <v>140385441</v>
      </c>
      <c r="D44" s="6" t="n">
        <v>220853084</v>
      </c>
      <c r="E44" s="6" t="n">
        <v>238462998</v>
      </c>
      <c r="F44" s="6" t="n">
        <v>246462998</v>
      </c>
      <c r="G44" s="5" t="s">
        <v>11</v>
      </c>
      <c r="H44" s="5" t="s">
        <v>102</v>
      </c>
      <c r="I44" s="5"/>
    </row>
    <row r="45" customFormat="false" ht="15" hidden="false" customHeight="false" outlineLevel="0" collapsed="false">
      <c r="B45" s="5" t="s">
        <v>103</v>
      </c>
      <c r="C45" s="6" t="n">
        <v>178363885</v>
      </c>
      <c r="D45" s="6" t="n">
        <v>304284690</v>
      </c>
      <c r="E45" s="6" t="n">
        <v>373649874</v>
      </c>
      <c r="F45" s="6" t="n">
        <v>414800928</v>
      </c>
      <c r="G45" s="5" t="s">
        <v>11</v>
      </c>
      <c r="H45" s="5" t="s">
        <v>104</v>
      </c>
      <c r="I45" s="5"/>
    </row>
    <row r="46" customFormat="false" ht="15" hidden="false" customHeight="false" outlineLevel="0" collapsed="false">
      <c r="B46" s="5" t="s">
        <v>105</v>
      </c>
      <c r="C46" s="6" t="n">
        <v>140233002</v>
      </c>
      <c r="D46" s="6" t="n">
        <v>207703002</v>
      </c>
      <c r="E46" s="6" t="n">
        <v>249003002</v>
      </c>
      <c r="F46" s="6" t="n">
        <v>253060002</v>
      </c>
      <c r="G46" s="5" t="s">
        <v>11</v>
      </c>
      <c r="H46" s="5" t="s">
        <v>106</v>
      </c>
      <c r="I46" s="5"/>
    </row>
    <row r="47" customFormat="false" ht="15" hidden="false" customHeight="false" outlineLevel="0" collapsed="false">
      <c r="B47" s="5" t="s">
        <v>107</v>
      </c>
      <c r="C47" s="20" t="n">
        <v>123180000</v>
      </c>
      <c r="D47" s="6" t="n">
        <v>123180000</v>
      </c>
      <c r="E47" s="6" t="n">
        <v>139005000</v>
      </c>
      <c r="F47" s="6" t="n">
        <v>167055000</v>
      </c>
      <c r="G47" s="5" t="s">
        <v>108</v>
      </c>
      <c r="H47" s="5" t="s">
        <v>109</v>
      </c>
      <c r="I47" s="5"/>
    </row>
    <row r="49" customFormat="false" ht="15" hidden="false" customHeight="false" outlineLevel="0" collapsed="false">
      <c r="B49" s="4" t="s">
        <v>110</v>
      </c>
    </row>
    <row r="50" customFormat="false" ht="15" hidden="false" customHeight="false" outlineLevel="0" collapsed="false">
      <c r="B50" s="5" t="s">
        <v>111</v>
      </c>
      <c r="C50" s="8" t="n">
        <f aca="false">IF($C$22="Sí",$C$20*$C$21*C42/$C$7,0)</f>
        <v>405.405405405405</v>
      </c>
      <c r="D50" s="8" t="n">
        <f aca="false">IF($C$22="Sí",$C$20*$C$21*D42/$C$7,0)</f>
        <v>810.810810810811</v>
      </c>
      <c r="E50" s="8" t="n">
        <f aca="false">IF($C$22="Sí",$C$20*$C$21*E42/$C$7,0)</f>
        <v>810.810810810811</v>
      </c>
      <c r="F50" s="8" t="n">
        <f aca="false">IF($C$22="Sí",$C$20*$C$21*F42/$C$7,0)</f>
        <v>810.810810810811</v>
      </c>
      <c r="G50" s="5" t="s">
        <v>112</v>
      </c>
      <c r="H50" s="5"/>
      <c r="I50" s="5"/>
    </row>
    <row r="51" customFormat="false" ht="15" hidden="false" customHeight="false" outlineLevel="0" collapsed="false">
      <c r="B51" s="21" t="s">
        <v>113</v>
      </c>
      <c r="C51" s="22" t="n">
        <f aca="false">C43*(1+$C$13)+C50</f>
        <v>76047.4054054054</v>
      </c>
      <c r="D51" s="22" t="n">
        <f aca="false">D43*(1+$C$13)+D50</f>
        <v>99473.8108108108</v>
      </c>
      <c r="E51" s="22" t="n">
        <f aca="false">E43*(1+$C$13)+E50</f>
        <v>96184.8108108108</v>
      </c>
      <c r="F51" s="22" t="n">
        <f aca="false">F43*(1+$C$13)+F50</f>
        <v>110984.810810811</v>
      </c>
    </row>
    <row r="52" customFormat="false" ht="15" hidden="false" customHeight="false" outlineLevel="0" collapsed="false">
      <c r="B52" s="4" t="s">
        <v>114</v>
      </c>
    </row>
    <row r="53" customFormat="false" ht="15" hidden="false" customHeight="false" outlineLevel="0" collapsed="false">
      <c r="B53" s="5" t="s">
        <v>115</v>
      </c>
      <c r="C53" s="23" t="n">
        <f aca="false">(C39+C40)*$C$9</f>
        <v>17472</v>
      </c>
      <c r="D53" s="23" t="n">
        <f aca="false">(D39+D40)*$C$9</f>
        <v>26208</v>
      </c>
      <c r="E53" s="23" t="n">
        <f aca="false">(E39+E40)*$C$9</f>
        <v>34944</v>
      </c>
      <c r="F53" s="23" t="n">
        <f aca="false">(F39+F40)*$C$9</f>
        <v>40768</v>
      </c>
      <c r="G53" s="5" t="s">
        <v>116</v>
      </c>
      <c r="H53" s="5"/>
      <c r="I53" s="5"/>
    </row>
    <row r="54" customFormat="false" ht="15" hidden="false" customHeight="false" outlineLevel="0" collapsed="false">
      <c r="B54" s="5" t="s">
        <v>117</v>
      </c>
      <c r="C54" s="8" t="n">
        <f aca="false">IF($C$16="Mensual fijo",0,$C$14/$C$7/$C$15)</f>
        <v>2702.7027027027</v>
      </c>
      <c r="D54" s="8" t="n">
        <f aca="false">IF($C$16="Mensual fijo",0,$C$14/$C$7/$C$15)</f>
        <v>2702.7027027027</v>
      </c>
      <c r="E54" s="8" t="n">
        <f aca="false">IF($C$16="Mensual fijo",0,$C$14/$C$7/$C$15)</f>
        <v>2702.7027027027</v>
      </c>
      <c r="F54" s="8" t="n">
        <f aca="false">IF($C$16="Mensual fijo",0,$C$14/$C$7/$C$15)</f>
        <v>2702.7027027027</v>
      </c>
      <c r="G54" s="5" t="s">
        <v>118</v>
      </c>
      <c r="H54" s="5"/>
      <c r="I54" s="5"/>
    </row>
    <row r="55" customFormat="false" ht="15" hidden="false" customHeight="false" outlineLevel="0" collapsed="false">
      <c r="B55" s="5" t="s">
        <v>119</v>
      </c>
      <c r="C55" s="23" t="n">
        <f aca="false">C44/$C$7*(1+$C$11)</f>
        <v>37942.0110810811</v>
      </c>
      <c r="D55" s="23" t="n">
        <f aca="false">D44/$C$7*(1+$C$11)</f>
        <v>59690.0227027027</v>
      </c>
      <c r="E55" s="23" t="n">
        <f aca="false">E44/$C$7*(1+$C$11)</f>
        <v>64449.4589189189</v>
      </c>
      <c r="F55" s="23" t="n">
        <f aca="false">F44/$C$7*(1+$C$11)</f>
        <v>66611.6210810811</v>
      </c>
    </row>
    <row r="56" customFormat="false" ht="15" hidden="false" customHeight="false" outlineLevel="0" collapsed="false">
      <c r="B56" s="5" t="s">
        <v>120</v>
      </c>
      <c r="C56" s="23" t="n">
        <f aca="false">C55*(1-$C$17)</f>
        <v>18971.0055405405</v>
      </c>
      <c r="D56" s="23" t="n">
        <f aca="false">D55*(1-$C$17)</f>
        <v>29845.0113513514</v>
      </c>
      <c r="E56" s="23" t="n">
        <f aca="false">E55*(1-$C$17)</f>
        <v>32224.7294594595</v>
      </c>
      <c r="F56" s="23" t="n">
        <f aca="false">F55*(1-$C$17)</f>
        <v>33305.8105405405</v>
      </c>
    </row>
    <row r="57" customFormat="false" ht="15" hidden="false" customHeight="false" outlineLevel="0" collapsed="false">
      <c r="B57" s="5" t="s">
        <v>121</v>
      </c>
      <c r="C57" s="23" t="n">
        <f aca="false">C45/$C$7*(1+$C$12)</f>
        <v>48206.4554054054</v>
      </c>
      <c r="D57" s="23" t="n">
        <f aca="false">D45/$C$7*(1+$C$12)</f>
        <v>82239.1054054054</v>
      </c>
      <c r="E57" s="23" t="n">
        <f aca="false">E45/$C$7*(1+$C$12)</f>
        <v>100986.452432432</v>
      </c>
      <c r="F57" s="23" t="n">
        <f aca="false">F45/$C$7*(1+$C$12)</f>
        <v>112108.358918919</v>
      </c>
    </row>
    <row r="58" customFormat="false" ht="15" hidden="false" customHeight="false" outlineLevel="0" collapsed="false">
      <c r="B58" s="5" t="s">
        <v>122</v>
      </c>
      <c r="C58" s="23" t="n">
        <f aca="false">C57*(1-$C$18)</f>
        <v>24103.2277027027</v>
      </c>
      <c r="D58" s="23" t="n">
        <f aca="false">D57*(1-$C$18)</f>
        <v>41119.5527027027</v>
      </c>
      <c r="E58" s="23" t="n">
        <f aca="false">E57*(1-$C$18)</f>
        <v>50493.2262162162</v>
      </c>
      <c r="F58" s="23" t="n">
        <f aca="false">F57*(1-$C$18)</f>
        <v>56054.1794594595</v>
      </c>
    </row>
    <row r="59" customFormat="false" ht="15" hidden="false" customHeight="false" outlineLevel="0" collapsed="false">
      <c r="B59" s="5" t="s">
        <v>123</v>
      </c>
      <c r="C59" s="23" t="n">
        <f aca="false">C46/$C$7*(1+$C$11)</f>
        <v>37900.8113513514</v>
      </c>
      <c r="D59" s="23" t="n">
        <f aca="false">D46/$C$7*(1+$C$11)</f>
        <v>56135.9464864865</v>
      </c>
      <c r="E59" s="23" t="n">
        <f aca="false">E46/$C$7*(1+$C$11)</f>
        <v>67298.1086486487</v>
      </c>
      <c r="F59" s="23" t="n">
        <f aca="false">F46/$C$7*(1+$C$11)</f>
        <v>68394.5951351351</v>
      </c>
    </row>
    <row r="60" customFormat="false" ht="15" hidden="false" customHeight="false" outlineLevel="0" collapsed="false">
      <c r="B60" s="5" t="s">
        <v>124</v>
      </c>
      <c r="C60" s="23" t="n">
        <f aca="false">C47/$C$7*(1+$C$11)</f>
        <v>33291.8918918919</v>
      </c>
      <c r="D60" s="23" t="n">
        <f aca="false">D47/$C$7*(1+$C$11)</f>
        <v>33291.8918918919</v>
      </c>
      <c r="E60" s="23" t="n">
        <f aca="false">E47/$C$7*(1+$C$11)</f>
        <v>37568.9189189189</v>
      </c>
      <c r="F60" s="23" t="n">
        <f aca="false">F47/$C$7*(1+$C$11)</f>
        <v>45150</v>
      </c>
    </row>
    <row r="61" customFormat="false" ht="15" hidden="false" customHeight="false" outlineLevel="0" collapsed="false">
      <c r="B61" s="4" t="s">
        <v>125</v>
      </c>
    </row>
    <row r="62" customFormat="false" ht="15" hidden="false" customHeight="false" outlineLevel="0" collapsed="false">
      <c r="B62" s="21" t="s">
        <v>126</v>
      </c>
      <c r="C62" s="22" t="n">
        <f aca="false">C55+C53+C54</f>
        <v>58116.7137837838</v>
      </c>
      <c r="D62" s="22" t="n">
        <f aca="false">D55+D53+D54</f>
        <v>88600.7254054054</v>
      </c>
      <c r="E62" s="22" t="n">
        <f aca="false">E55+E53+E54</f>
        <v>102096.161621622</v>
      </c>
      <c r="F62" s="22" t="n">
        <f aca="false">F55+F53+F54</f>
        <v>110082.323783784</v>
      </c>
    </row>
    <row r="63" customFormat="false" ht="15" hidden="false" customHeight="false" outlineLevel="0" collapsed="false">
      <c r="B63" s="21" t="s">
        <v>127</v>
      </c>
      <c r="C63" s="22" t="n">
        <f aca="false">C56+C53+C54</f>
        <v>39145.7082432432</v>
      </c>
      <c r="D63" s="22" t="n">
        <f aca="false">D56+D53+D54</f>
        <v>58755.7140540541</v>
      </c>
      <c r="E63" s="22" t="n">
        <f aca="false">E56+E53+E54</f>
        <v>69871.4321621622</v>
      </c>
      <c r="F63" s="22" t="n">
        <f aca="false">F56+F53+F54</f>
        <v>76776.5132432433</v>
      </c>
    </row>
    <row r="64" customFormat="false" ht="15" hidden="false" customHeight="false" outlineLevel="0" collapsed="false">
      <c r="B64" s="21" t="s">
        <v>128</v>
      </c>
      <c r="C64" s="22" t="n">
        <f aca="false">C57+C53+C54</f>
        <v>68381.1581081081</v>
      </c>
      <c r="D64" s="22" t="n">
        <f aca="false">D57+D53+D54</f>
        <v>111149.808108108</v>
      </c>
      <c r="E64" s="22" t="n">
        <f aca="false">E57+E53+E54</f>
        <v>138633.155135135</v>
      </c>
      <c r="F64" s="22" t="n">
        <f aca="false">F57+F53+F54</f>
        <v>155579.061621622</v>
      </c>
    </row>
    <row r="65" customFormat="false" ht="15" hidden="false" customHeight="false" outlineLevel="0" collapsed="false">
      <c r="B65" s="21" t="s">
        <v>129</v>
      </c>
      <c r="C65" s="22" t="n">
        <f aca="false">C58+C53+C54</f>
        <v>44277.9304054054</v>
      </c>
      <c r="D65" s="22" t="n">
        <f aca="false">D58+D53+D54</f>
        <v>70030.2554054054</v>
      </c>
      <c r="E65" s="22" t="n">
        <f aca="false">E58+E53+E54</f>
        <v>88139.9289189189</v>
      </c>
      <c r="F65" s="22" t="n">
        <f aca="false">F58+F53+F54</f>
        <v>99524.8821621622</v>
      </c>
    </row>
    <row r="66" customFormat="false" ht="15" hidden="false" customHeight="false" outlineLevel="0" collapsed="false">
      <c r="B66" s="21" t="s">
        <v>130</v>
      </c>
      <c r="C66" s="22" t="n">
        <f aca="false">C59+C53+C54</f>
        <v>58075.5140540541</v>
      </c>
      <c r="D66" s="22" t="n">
        <f aca="false">D59+D53+D54</f>
        <v>85046.6491891892</v>
      </c>
      <c r="E66" s="22" t="n">
        <f aca="false">E59+E53+E54</f>
        <v>104944.811351351</v>
      </c>
      <c r="F66" s="22" t="n">
        <f aca="false">F59+F53+F54</f>
        <v>111865.297837838</v>
      </c>
    </row>
    <row r="67" customFormat="false" ht="15" hidden="false" customHeight="false" outlineLevel="0" collapsed="false">
      <c r="B67" s="21" t="s">
        <v>131</v>
      </c>
      <c r="C67" s="22" t="n">
        <f aca="false">C60+C53+C54</f>
        <v>53466.5945945946</v>
      </c>
      <c r="D67" s="22" t="n">
        <f aca="false">D60+D53+D54</f>
        <v>62202.5945945946</v>
      </c>
      <c r="E67" s="22" t="n">
        <f aca="false">E60+E53+E54</f>
        <v>75215.6216216216</v>
      </c>
      <c r="F67" s="22" t="n">
        <f aca="false">F60+F53+F54</f>
        <v>88620.7027027027</v>
      </c>
    </row>
    <row r="68" customFormat="false" ht="27.75" hidden="false" customHeight="true" outlineLevel="0" collapsed="false">
      <c r="B68" s="18" t="s">
        <v>132</v>
      </c>
      <c r="C68" s="18"/>
      <c r="D68" s="18"/>
      <c r="E68" s="18"/>
      <c r="F68" s="18"/>
      <c r="G68" s="18"/>
      <c r="H68" s="18"/>
      <c r="I68" s="18"/>
    </row>
    <row r="70" customFormat="false" ht="15" hidden="false" customHeight="false" outlineLevel="0" collapsed="false">
      <c r="B70" s="3" t="s">
        <v>133</v>
      </c>
      <c r="C70" s="3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B71" s="4" t="s">
        <v>134</v>
      </c>
      <c r="C71" s="4" t="s">
        <v>135</v>
      </c>
      <c r="D71" s="4" t="s">
        <v>136</v>
      </c>
      <c r="E71" s="4" t="s">
        <v>137</v>
      </c>
      <c r="F71" s="4" t="s">
        <v>138</v>
      </c>
      <c r="G71" s="4" t="s">
        <v>8</v>
      </c>
      <c r="H71" s="4"/>
      <c r="I71" s="4"/>
    </row>
    <row r="72" customFormat="false" ht="15" hidden="false" customHeight="false" outlineLevel="0" collapsed="false">
      <c r="B72" s="16" t="n">
        <v>0</v>
      </c>
      <c r="C72" s="6" t="n">
        <v>594780000</v>
      </c>
      <c r="D72" s="6" t="n">
        <v>837374835</v>
      </c>
      <c r="E72" s="23" t="n">
        <f aca="false">C72/$C$7</f>
        <v>160751.351351351</v>
      </c>
      <c r="F72" s="23" t="n">
        <f aca="false">D72/$C$7</f>
        <v>226317.522972973</v>
      </c>
      <c r="G72" s="5" t="s">
        <v>139</v>
      </c>
      <c r="H72" s="5"/>
      <c r="I72" s="5"/>
    </row>
    <row r="73" customFormat="false" ht="15" hidden="false" customHeight="false" outlineLevel="0" collapsed="false">
      <c r="B73" s="16" t="n">
        <v>1</v>
      </c>
      <c r="C73" s="6" t="n">
        <v>494879522</v>
      </c>
      <c r="D73" s="6" t="n">
        <v>669899868</v>
      </c>
      <c r="E73" s="23" t="n">
        <f aca="false">C73/$C$7</f>
        <v>133751.222162162</v>
      </c>
      <c r="F73" s="23" t="n">
        <f aca="false">D73/$C$7</f>
        <v>181054.018378378</v>
      </c>
      <c r="G73" s="5" t="s">
        <v>140</v>
      </c>
      <c r="H73" s="5"/>
      <c r="I73" s="5"/>
    </row>
    <row r="74" customFormat="false" ht="15" hidden="false" customHeight="false" outlineLevel="0" collapsed="false">
      <c r="B74" s="16" t="n">
        <v>2</v>
      </c>
      <c r="C74" s="6" t="n">
        <v>352015000</v>
      </c>
      <c r="D74" s="6" t="n">
        <v>502424901</v>
      </c>
      <c r="E74" s="23" t="n">
        <f aca="false">C74/$C$7</f>
        <v>95139.1891891892</v>
      </c>
      <c r="F74" s="23" t="n">
        <f aca="false">D74/$C$7</f>
        <v>135790.513783784</v>
      </c>
      <c r="G74" s="5"/>
      <c r="H74" s="5"/>
      <c r="I74" s="5"/>
    </row>
    <row r="75" customFormat="false" ht="15" hidden="false" customHeight="false" outlineLevel="0" collapsed="false">
      <c r="B75" s="16" t="n">
        <v>3</v>
      </c>
      <c r="C75" s="6" t="n">
        <v>258103162</v>
      </c>
      <c r="D75" s="6" t="n">
        <v>334949934</v>
      </c>
      <c r="E75" s="23" t="n">
        <f aca="false">C75/$C$7</f>
        <v>69757.6113513514</v>
      </c>
      <c r="F75" s="23" t="n">
        <f aca="false">D75/$C$7</f>
        <v>90527.0091891892</v>
      </c>
      <c r="G75" s="5"/>
      <c r="H75" s="5"/>
      <c r="I75" s="5"/>
    </row>
    <row r="76" customFormat="false" ht="15" hidden="false" customHeight="false" outlineLevel="0" collapsed="false">
      <c r="B76" s="16" t="n">
        <v>4</v>
      </c>
      <c r="C76" s="6" t="n">
        <v>208921566</v>
      </c>
      <c r="D76" s="6" t="n">
        <v>167474967</v>
      </c>
      <c r="E76" s="23" t="n">
        <f aca="false">C76/$C$7</f>
        <v>56465.2881081081</v>
      </c>
      <c r="F76" s="23" t="n">
        <f aca="false">D76/$C$7</f>
        <v>45263.5045945946</v>
      </c>
      <c r="G76" s="5"/>
      <c r="H76" s="5"/>
      <c r="I76" s="5"/>
    </row>
    <row r="77" customFormat="false" ht="15" hidden="false" customHeight="false" outlineLevel="0" collapsed="false">
      <c r="B77" s="16" t="n">
        <v>5</v>
      </c>
      <c r="C77" s="20" t="n">
        <v>151524391</v>
      </c>
      <c r="D77" s="6" t="n">
        <v>0</v>
      </c>
      <c r="E77" s="23" t="n">
        <f aca="false">C77/$C$7</f>
        <v>40952.5381081081</v>
      </c>
      <c r="F77" s="23" t="n">
        <f aca="false">D77/$C$7</f>
        <v>0</v>
      </c>
      <c r="G77" s="5" t="s">
        <v>141</v>
      </c>
      <c r="H77" s="5"/>
      <c r="I77" s="5"/>
    </row>
    <row r="78" customFormat="false" ht="15" hidden="false" customHeight="false" outlineLevel="0" collapsed="false">
      <c r="B78" s="16" t="s">
        <v>142</v>
      </c>
      <c r="C78" s="6" t="n">
        <v>0</v>
      </c>
      <c r="D78" s="6" t="n">
        <v>0</v>
      </c>
      <c r="E78" s="23" t="n">
        <f aca="false">C78/$C$7</f>
        <v>0</v>
      </c>
      <c r="F78" s="23" t="n">
        <f aca="false">D78/$C$7</f>
        <v>0</v>
      </c>
      <c r="G78" s="5" t="s">
        <v>143</v>
      </c>
      <c r="H78" s="5"/>
      <c r="I78" s="5"/>
    </row>
    <row r="79" customFormat="false" ht="27.75" hidden="false" customHeight="true" outlineLevel="0" collapsed="false">
      <c r="B79" s="18" t="s">
        <v>144</v>
      </c>
      <c r="C79" s="18"/>
      <c r="D79" s="18"/>
      <c r="E79" s="18"/>
      <c r="F79" s="18"/>
      <c r="G79" s="18"/>
      <c r="H79" s="18"/>
      <c r="I79" s="18"/>
    </row>
    <row r="81" customFormat="false" ht="15" hidden="false" customHeight="false" outlineLevel="0" collapsed="false">
      <c r="B81" s="3" t="s">
        <v>145</v>
      </c>
      <c r="C81" s="3"/>
      <c r="D81" s="3"/>
      <c r="E81" s="3"/>
      <c r="F81" s="3"/>
      <c r="G81" s="3"/>
      <c r="H81" s="3"/>
      <c r="I81" s="3"/>
    </row>
    <row r="82" customFormat="false" ht="27.75" hidden="false" customHeight="true" outlineLevel="0" collapsed="false">
      <c r="B82" s="24" t="s">
        <v>146</v>
      </c>
      <c r="C82" s="24" t="s">
        <v>147</v>
      </c>
      <c r="D82" s="24" t="s">
        <v>148</v>
      </c>
      <c r="E82" s="24" t="s">
        <v>149</v>
      </c>
      <c r="F82" s="24" t="s">
        <v>150</v>
      </c>
      <c r="G82" s="24" t="s">
        <v>151</v>
      </c>
      <c r="H82" s="24" t="s">
        <v>152</v>
      </c>
    </row>
    <row r="83" customFormat="false" ht="15" hidden="false" customHeight="false" outlineLevel="0" collapsed="false">
      <c r="B83" s="21" t="s">
        <v>153</v>
      </c>
      <c r="C83" s="23" t="n">
        <f aca="false">SUM(G157:G216)</f>
        <v>3130187.2972973</v>
      </c>
      <c r="H83" s="16" t="n">
        <f aca="false">COUNTIF($F$115:$F$150,"&gt;0")</f>
        <v>5</v>
      </c>
    </row>
    <row r="84" customFormat="false" ht="15" hidden="false" customHeight="false" outlineLevel="0" collapsed="false">
      <c r="B84" s="5" t="s">
        <v>21</v>
      </c>
      <c r="C84" s="23" t="n">
        <f aca="false">SUM(H157:H216)+G151+I151</f>
        <v>2399685.13040541</v>
      </c>
      <c r="D84" s="23" t="n">
        <f aca="false">$C$83-C84</f>
        <v>730502.166891892</v>
      </c>
      <c r="E84" s="25" t="n">
        <f aca="false">IF($C$83=0,0,D84/$C$83)</f>
        <v>0.233373308850442</v>
      </c>
      <c r="F84" s="16" t="n">
        <f aca="false">COUNTIF($F$157:$F$216,"&gt;="&amp;$C$19)</f>
        <v>10</v>
      </c>
      <c r="G84" s="23" t="n">
        <f aca="false">G151</f>
        <v>0</v>
      </c>
      <c r="H84" s="16" t="n">
        <f aca="false">COUNTIF($F$115:$F$150,"&gt;0")</f>
        <v>5</v>
      </c>
    </row>
    <row r="85" customFormat="false" ht="15" hidden="false" customHeight="false" outlineLevel="0" collapsed="false">
      <c r="B85" s="5" t="s">
        <v>154</v>
      </c>
      <c r="C85" s="23" t="n">
        <f aca="false">SUM(I157:I216)+G151+I151</f>
        <v>3248713.53378378</v>
      </c>
      <c r="D85" s="23" t="n">
        <f aca="false">$C$83-C85</f>
        <v>-118526.236486487</v>
      </c>
      <c r="E85" s="25" t="n">
        <f aca="false">IF($C$83=0,0,D85/$C$83)</f>
        <v>-0.0378655413332058</v>
      </c>
      <c r="F85" s="16" t="n">
        <v>0</v>
      </c>
      <c r="G85" s="23" t="n">
        <f aca="false">G151</f>
        <v>0</v>
      </c>
      <c r="H85" s="16" t="n">
        <f aca="false">COUNTIF($F$115:$F$150,"&gt;0")</f>
        <v>5</v>
      </c>
    </row>
    <row r="86" customFormat="false" ht="15" hidden="false" customHeight="false" outlineLevel="0" collapsed="false">
      <c r="B86" s="5" t="s">
        <v>155</v>
      </c>
      <c r="C86" s="23" t="n">
        <f aca="false">SUM(J157:J216)+G151+I151</f>
        <v>2922599.63175676</v>
      </c>
      <c r="D86" s="23" t="n">
        <f aca="false">$C$83-C86</f>
        <v>207587.665540541</v>
      </c>
      <c r="E86" s="25" t="n">
        <f aca="false">IF($C$83=0,0,D86/$C$83)</f>
        <v>0.0663179694453998</v>
      </c>
      <c r="F86" s="16" t="n">
        <f aca="false">COUNTIF($F$157:$F$216,"&gt;="&amp;$C$19)</f>
        <v>10</v>
      </c>
      <c r="G86" s="23" t="n">
        <f aca="false">G151</f>
        <v>0</v>
      </c>
      <c r="H86" s="16" t="n">
        <f aca="false">COUNTIF($F$115:$F$150,"&gt;0")</f>
        <v>5</v>
      </c>
    </row>
    <row r="87" customFormat="false" ht="15" hidden="false" customHeight="false" outlineLevel="0" collapsed="false">
      <c r="B87" s="5" t="s">
        <v>156</v>
      </c>
      <c r="C87" s="23" t="n">
        <f aca="false">SUM(K157:K216)+H151+I151</f>
        <v>2434800.82432432</v>
      </c>
      <c r="D87" s="23" t="n">
        <f aca="false">$C$83-C87</f>
        <v>695386.472972973</v>
      </c>
      <c r="E87" s="25" t="n">
        <f aca="false">IF($C$83=0,0,D87/$C$83)</f>
        <v>0.222154908613102</v>
      </c>
      <c r="F87" s="16" t="n">
        <f aca="false">COUNTIF($F$157:$F$216,"&gt;="&amp;$C$19)</f>
        <v>10</v>
      </c>
      <c r="G87" s="23" t="n">
        <f aca="false">H151</f>
        <v>0</v>
      </c>
      <c r="H87" s="16" t="n">
        <f aca="false">COUNTIF($F$115:$F$150,"&gt;0")</f>
        <v>5</v>
      </c>
    </row>
    <row r="88" customFormat="false" ht="15" hidden="false" customHeight="false" outlineLevel="0" collapsed="false">
      <c r="B88" s="26" t="s">
        <v>157</v>
      </c>
      <c r="C88" s="27" t="n">
        <f aca="false">INDEX(C84:C87,MATCH($C$10,$B$84:$B$87,0))</f>
        <v>2399685.13040541</v>
      </c>
      <c r="D88" s="27" t="n">
        <f aca="false">INDEX(D84:D87,MATCH($C$10,$B$84:$B$87,0))</f>
        <v>730502.166891892</v>
      </c>
      <c r="E88" s="28" t="n">
        <f aca="false">INDEX(E84:E87,MATCH($C$10,$B$84:$B$87,0))</f>
        <v>0.233373308850442</v>
      </c>
    </row>
    <row r="89" customFormat="false" ht="27.75" hidden="false" customHeight="true" outlineLevel="0" collapsed="false">
      <c r="B89" s="18" t="s">
        <v>158</v>
      </c>
      <c r="C89" s="18"/>
      <c r="D89" s="18"/>
      <c r="E89" s="18"/>
      <c r="F89" s="18"/>
      <c r="G89" s="18"/>
      <c r="H89" s="18"/>
      <c r="I89" s="18"/>
    </row>
    <row r="91" customFormat="false" ht="15" hidden="false" customHeight="false" outlineLevel="0" collapsed="false">
      <c r="B91" s="3" t="s">
        <v>159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27.75" hidden="false" customHeight="true" outlineLevel="0" collapsed="false">
      <c r="B92" s="4" t="s">
        <v>160</v>
      </c>
      <c r="C92" s="29" t="n">
        <v>1</v>
      </c>
      <c r="D92" s="29" t="n">
        <v>2</v>
      </c>
      <c r="E92" s="29" t="n">
        <v>3</v>
      </c>
      <c r="F92" s="29" t="n">
        <v>4</v>
      </c>
      <c r="G92" s="29" t="n">
        <v>5</v>
      </c>
      <c r="H92" s="29" t="n">
        <v>6</v>
      </c>
      <c r="I92" s="29" t="n">
        <v>7</v>
      </c>
      <c r="J92" s="29" t="n">
        <v>8</v>
      </c>
      <c r="K92" s="29" t="n">
        <v>9</v>
      </c>
      <c r="L92" s="29" t="n">
        <v>10</v>
      </c>
      <c r="M92" s="29" t="n">
        <v>11</v>
      </c>
      <c r="N92" s="29" t="n">
        <v>12</v>
      </c>
      <c r="O92" s="24" t="s">
        <v>161</v>
      </c>
    </row>
    <row r="93" customFormat="false" ht="15" hidden="false" customHeight="false" outlineLevel="0" collapsed="false">
      <c r="B93" s="5" t="s">
        <v>162</v>
      </c>
      <c r="C93" s="23" t="n">
        <f aca="false">(C$92*C$51)-(MIN(C$92,$C$19-1)*C$62+MAX(0,C$92-($C$19-1))*C$63+INDEX($E$72:$E$78,MIN(C$92,6)+1)+IF($C$16="Mensual fijo",$C$14/$C$7,0))</f>
        <v>-115820.530540541</v>
      </c>
      <c r="D93" s="23" t="n">
        <f aca="false">(D$92*C$51)-(MIN(D$92,$C$19-1)*C$62+MAX(0,D$92-($C$19-1))*C$63+INDEX($E$72:$E$78,MIN(D$92,6)+1)+IF($C$16="Mensual fijo",$C$14/$C$7,0))</f>
        <v>-59277.8059459459</v>
      </c>
      <c r="E93" s="23" t="n">
        <f aca="false">(E$92*C$51)-(MIN(E$92,$C$19-1)*C$62+MAX(0,E$92-($C$19-1))*C$63+INDEX($E$72:$E$78,MIN(E$92,6)+1)+IF($C$16="Mensual fijo",$C$14/$C$7,0))</f>
        <v>-15965.5364864865</v>
      </c>
      <c r="F93" s="23" t="n">
        <f aca="false">(F$92*C$51)-(MIN(F$92,$C$19-1)*C$62+MAX(0,F$92-($C$19-1))*C$63+INDEX($E$72:$E$78,MIN(F$92,6)+1)+IF($C$16="Mensual fijo",$C$14/$C$7,0))</f>
        <v>15257.4783783784</v>
      </c>
      <c r="G93" s="23" t="n">
        <f aca="false">(G$92*C$51)-(MIN(G$92,$C$19-1)*C$62+MAX(0,G$92-($C$19-1))*C$63+INDEX($E$72:$E$78,MIN(G$92,6)+1)+IF($C$16="Mensual fijo",$C$14/$C$7,0))</f>
        <v>48700.92</v>
      </c>
      <c r="H93" s="23" t="n">
        <f aca="false">(H$92*C$51)-(MIN(H$92,$C$19-1)*C$62+MAX(0,H$92-($C$19-1))*C$63+INDEX($E$72:$E$78,MIN(H$92,6)+1)+IF($C$16="Mensual fijo",$C$14/$C$7,0))</f>
        <v>126555.15527027</v>
      </c>
      <c r="I93" s="23" t="n">
        <f aca="false">(I$92*C$51)-(MIN(I$92,$C$19-1)*C$62+MAX(0,I$92-($C$19-1))*C$63+INDEX($E$72:$E$78,MIN(I$92,6)+1)+IF($C$16="Mensual fijo",$C$14/$C$7,0))</f>
        <v>163456.852432432</v>
      </c>
      <c r="J93" s="23" t="n">
        <f aca="false">(J$92*C$51)-(MIN(J$92,$C$19-1)*C$62+MAX(0,J$92-($C$19-1))*C$63+INDEX($E$72:$E$78,MIN(J$92,6)+1)+IF($C$16="Mensual fijo",$C$14/$C$7,0))</f>
        <v>200358.549594595</v>
      </c>
      <c r="K93" s="23" t="n">
        <f aca="false">(K$92*C$51)-(MIN(K$92,$C$19-1)*C$62+MAX(0,K$92-($C$19-1))*C$63+INDEX($E$72:$E$78,MIN(K$92,6)+1)+IF($C$16="Mensual fijo",$C$14/$C$7,0))</f>
        <v>237260.246756757</v>
      </c>
      <c r="L93" s="23" t="n">
        <f aca="false">(L$92*C$51)-(MIN(L$92,$C$19-1)*C$62+MAX(0,L$92-($C$19-1))*C$63+INDEX($E$72:$E$78,MIN(L$92,6)+1)+IF($C$16="Mensual fijo",$C$14/$C$7,0))</f>
        <v>274161.943918919</v>
      </c>
      <c r="M93" s="23" t="n">
        <f aca="false">(M$92*C$51)-(MIN(M$92,$C$19-1)*C$62+MAX(0,M$92-($C$19-1))*C$63+INDEX($E$72:$E$78,MIN(M$92,6)+1)+IF($C$16="Mensual fijo",$C$14/$C$7,0))</f>
        <v>311063.641081081</v>
      </c>
      <c r="N93" s="23" t="n">
        <f aca="false">(N$92*C$51)-(MIN(N$92,$C$19-1)*C$62+MAX(0,N$92-($C$19-1))*C$63+INDEX($E$72:$E$78,MIN(N$92,6)+1)+IF($C$16="Mensual fijo",$C$14/$C$7,0))</f>
        <v>347965.338243243</v>
      </c>
      <c r="O93" s="30" t="n">
        <f aca="false">IFERROR(INDEX($C$92:$N$92,MATCH(1,INDEX(--(C93:N93&gt;=0),0),0)),"no cruza")</f>
        <v>4</v>
      </c>
    </row>
    <row r="94" customFormat="false" ht="15" hidden="false" customHeight="false" outlineLevel="0" collapsed="false">
      <c r="B94" s="5" t="s">
        <v>163</v>
      </c>
      <c r="C94" s="23" t="n">
        <f aca="false">(C$92*D$51)-(MIN(C$92,$C$19-1)*D$62+MAX(0,C$92-($C$19-1))*D$63+INDEX($E$72:$E$78,MIN(C$92,6)+1)+IF($C$16="Mensual fijo",$C$14/$C$7,0))</f>
        <v>-122878.136756757</v>
      </c>
      <c r="D94" s="23" t="n">
        <f aca="false">(D$92*D$51)-(MIN(D$92,$C$19-1)*D$62+MAX(0,D$92-($C$19-1))*D$63+INDEX($E$72:$E$78,MIN(D$92,6)+1)+IF($C$16="Mensual fijo",$C$14/$C$7,0))</f>
        <v>-73393.0183783784</v>
      </c>
      <c r="E94" s="23" t="n">
        <f aca="false">(E$92*D$51)-(MIN(E$92,$C$19-1)*D$62+MAX(0,E$92-($C$19-1))*D$63+INDEX($E$72:$E$78,MIN(E$92,6)+1)+IF($C$16="Mensual fijo",$C$14/$C$7,0))</f>
        <v>-37138.3551351352</v>
      </c>
      <c r="F94" s="23" t="n">
        <f aca="false">(F$92*D$51)-(MIN(F$92,$C$19-1)*D$62+MAX(0,F$92-($C$19-1))*D$63+INDEX($E$72:$E$78,MIN(F$92,6)+1)+IF($C$16="Mensual fijo",$C$14/$C$7,0))</f>
        <v>-12972.9464864865</v>
      </c>
      <c r="G94" s="23" t="n">
        <f aca="false">(G$92*D$51)-(MIN(G$92,$C$19-1)*D$62+MAX(0,G$92-($C$19-1))*D$63+INDEX($E$72:$E$78,MIN(G$92,6)+1)+IF($C$16="Mensual fijo",$C$14/$C$7,0))</f>
        <v>13412.888918919</v>
      </c>
      <c r="H94" s="23" t="n">
        <f aca="false">(H$92*D$51)-(MIN(H$92,$C$19-1)*D$62+MAX(0,H$92-($C$19-1))*D$63+INDEX($E$72:$E$78,MIN(H$92,6)+1)+IF($C$16="Mensual fijo",$C$14/$C$7,0))</f>
        <v>95083.5237837838</v>
      </c>
      <c r="I94" s="23" t="n">
        <f aca="false">(I$92*D$51)-(MIN(I$92,$C$19-1)*D$62+MAX(0,I$92-($C$19-1))*D$63+INDEX($E$72:$E$78,MIN(I$92,6)+1)+IF($C$16="Mensual fijo",$C$14/$C$7,0))</f>
        <v>135801.620540541</v>
      </c>
      <c r="J94" s="23" t="n">
        <f aca="false">(J$92*D$51)-(MIN(J$92,$C$19-1)*D$62+MAX(0,J$92-($C$19-1))*D$63+INDEX($E$72:$E$78,MIN(J$92,6)+1)+IF($C$16="Mensual fijo",$C$14/$C$7,0))</f>
        <v>176519.717297297</v>
      </c>
      <c r="K94" s="23" t="n">
        <f aca="false">(K$92*D$51)-(MIN(K$92,$C$19-1)*D$62+MAX(0,K$92-($C$19-1))*D$63+INDEX($E$72:$E$78,MIN(K$92,6)+1)+IF($C$16="Mensual fijo",$C$14/$C$7,0))</f>
        <v>217237.814054054</v>
      </c>
      <c r="L94" s="23" t="n">
        <f aca="false">(L$92*D$51)-(MIN(L$92,$C$19-1)*D$62+MAX(0,L$92-($C$19-1))*D$63+INDEX($E$72:$E$78,MIN(L$92,6)+1)+IF($C$16="Mensual fijo",$C$14/$C$7,0))</f>
        <v>257955.910810811</v>
      </c>
      <c r="M94" s="23" t="n">
        <f aca="false">(M$92*D$51)-(MIN(M$92,$C$19-1)*D$62+MAX(0,M$92-($C$19-1))*D$63+INDEX($E$72:$E$78,MIN(M$92,6)+1)+IF($C$16="Mensual fijo",$C$14/$C$7,0))</f>
        <v>298674.007567568</v>
      </c>
      <c r="N94" s="23" t="n">
        <f aca="false">(N$92*D$51)-(MIN(N$92,$C$19-1)*D$62+MAX(0,N$92-($C$19-1))*D$63+INDEX($E$72:$E$78,MIN(N$92,6)+1)+IF($C$16="Mensual fijo",$C$14/$C$7,0))</f>
        <v>339392.104324324</v>
      </c>
      <c r="O94" s="30" t="n">
        <f aca="false">IFERROR(INDEX($C$92:$N$92,MATCH(1,INDEX(--(C94:N94&gt;=0),0),0)),"no cruza")</f>
        <v>5</v>
      </c>
    </row>
    <row r="95" customFormat="false" ht="15" hidden="false" customHeight="false" outlineLevel="0" collapsed="false">
      <c r="B95" s="5" t="s">
        <v>164</v>
      </c>
      <c r="C95" s="23" t="n">
        <f aca="false">(C$92*E$51)-(MIN(C$92,$C$19-1)*E$62+MAX(0,C$92-($C$19-1))*E$63+INDEX($E$72:$E$78,MIN(C$92,6)+1)+IF($C$16="Mensual fijo",$C$14/$C$7,0))</f>
        <v>-139662.572972973</v>
      </c>
      <c r="D95" s="23" t="n">
        <f aca="false">(D$92*E$51)-(MIN(D$92,$C$19-1)*E$62+MAX(0,D$92-($C$19-1))*E$63+INDEX($E$72:$E$78,MIN(D$92,6)+1)+IF($C$16="Mensual fijo",$C$14/$C$7,0))</f>
        <v>-106961.890810811</v>
      </c>
      <c r="E95" s="23" t="n">
        <f aca="false">(E$92*E$51)-(MIN(E$92,$C$19-1)*E$62+MAX(0,E$92-($C$19-1))*E$63+INDEX($E$72:$E$78,MIN(E$92,6)+1)+IF($C$16="Mensual fijo",$C$14/$C$7,0))</f>
        <v>-87491.6637837838</v>
      </c>
      <c r="F95" s="23" t="n">
        <f aca="false">(F$92*E$51)-(MIN(F$92,$C$19-1)*E$62+MAX(0,F$92-($C$19-1))*E$63+INDEX($E$72:$E$78,MIN(F$92,6)+1)+IF($C$16="Mensual fijo",$C$14/$C$7,0))</f>
        <v>-80110.6913513513</v>
      </c>
      <c r="G95" s="23" t="n">
        <f aca="false">(G$92*E$51)-(MIN(G$92,$C$19-1)*E$62+MAX(0,G$92-($C$19-1))*E$63+INDEX($E$72:$E$78,MIN(G$92,6)+1)+IF($C$16="Mensual fijo",$C$14/$C$7,0))</f>
        <v>-70509.2921621621</v>
      </c>
      <c r="H95" s="23" t="n">
        <f aca="false">(H$92*E$51)-(MIN(H$92,$C$19-1)*E$62+MAX(0,H$92-($C$19-1))*E$63+INDEX($E$72:$E$78,MIN(H$92,6)+1)+IF($C$16="Mensual fijo",$C$14/$C$7,0))</f>
        <v>-3243.37540540542</v>
      </c>
      <c r="I95" s="23" t="n">
        <f aca="false">(I$92*E$51)-(MIN(I$92,$C$19-1)*E$62+MAX(0,I$92-($C$19-1))*E$63+INDEX($E$72:$E$78,MIN(I$92,6)+1)+IF($C$16="Mensual fijo",$C$14/$C$7,0))</f>
        <v>23070.0032432433</v>
      </c>
      <c r="J95" s="23" t="n">
        <f aca="false">(J$92*E$51)-(MIN(J$92,$C$19-1)*E$62+MAX(0,J$92-($C$19-1))*E$63+INDEX($E$72:$E$78,MIN(J$92,6)+1)+IF($C$16="Mensual fijo",$C$14/$C$7,0))</f>
        <v>49383.3818918919</v>
      </c>
      <c r="K95" s="23" t="n">
        <f aca="false">(K$92*E$51)-(MIN(K$92,$C$19-1)*E$62+MAX(0,K$92-($C$19-1))*E$63+INDEX($E$72:$E$78,MIN(K$92,6)+1)+IF($C$16="Mensual fijo",$C$14/$C$7,0))</f>
        <v>75696.7605405406</v>
      </c>
      <c r="L95" s="23" t="n">
        <f aca="false">(L$92*E$51)-(MIN(L$92,$C$19-1)*E$62+MAX(0,L$92-($C$19-1))*E$63+INDEX($E$72:$E$78,MIN(L$92,6)+1)+IF($C$16="Mensual fijo",$C$14/$C$7,0))</f>
        <v>102010.139189189</v>
      </c>
      <c r="M95" s="23" t="n">
        <f aca="false">(M$92*E$51)-(MIN(M$92,$C$19-1)*E$62+MAX(0,M$92-($C$19-1))*E$63+INDEX($E$72:$E$78,MIN(M$92,6)+1)+IF($C$16="Mensual fijo",$C$14/$C$7,0))</f>
        <v>128323.517837838</v>
      </c>
      <c r="N95" s="23" t="n">
        <f aca="false">(N$92*E$51)-(MIN(N$92,$C$19-1)*E$62+MAX(0,N$92-($C$19-1))*E$63+INDEX($E$72:$E$78,MIN(N$92,6)+1)+IF($C$16="Mensual fijo",$C$14/$C$7,0))</f>
        <v>154636.896486486</v>
      </c>
      <c r="O95" s="30" t="n">
        <f aca="false">IFERROR(INDEX($C$92:$N$92,MATCH(1,INDEX(--(C95:N95&gt;=0),0),0)),"no cruza")</f>
        <v>7</v>
      </c>
    </row>
    <row r="96" customFormat="false" ht="15" hidden="false" customHeight="false" outlineLevel="0" collapsed="false">
      <c r="B96" s="5" t="s">
        <v>165</v>
      </c>
      <c r="C96" s="23" t="n">
        <f aca="false">(C$92*F$51)-(MIN(C$92,$C$19-1)*F$62+MAX(0,C$92-($C$19-1))*F$63+INDEX($E$72:$E$78,MIN(C$92,6)+1)+IF($C$16="Mensual fijo",$C$14/$C$7,0))</f>
        <v>-132848.735135135</v>
      </c>
      <c r="D96" s="23" t="n">
        <f aca="false">(D$92*F$51)-(MIN(D$92,$C$19-1)*F$62+MAX(0,D$92-($C$19-1))*F$63+INDEX($E$72:$E$78,MIN(D$92,6)+1)+IF($C$16="Mensual fijo",$C$14/$C$7,0))</f>
        <v>-93334.2151351351</v>
      </c>
      <c r="E96" s="23" t="n">
        <f aca="false">(E$92*F$51)-(MIN(E$92,$C$19-1)*F$62+MAX(0,E$92-($C$19-1))*F$63+INDEX($E$72:$E$78,MIN(E$92,6)+1)+IF($C$16="Mensual fijo",$C$14/$C$7,0))</f>
        <v>-67050.1502702703</v>
      </c>
      <c r="F96" s="23" t="n">
        <f aca="false">(F$92*F$51)-(MIN(F$92,$C$19-1)*F$62+MAX(0,F$92-($C$19-1))*F$63+INDEX($E$72:$E$78,MIN(F$92,6)+1)+IF($C$16="Mensual fijo",$C$14/$C$7,0))</f>
        <v>-52855.34</v>
      </c>
      <c r="G96" s="23" t="n">
        <f aca="false">(G$92*F$51)-(MIN(G$92,$C$19-1)*F$62+MAX(0,G$92-($C$19-1))*F$63+INDEX($E$72:$E$78,MIN(G$92,6)+1)+IF($C$16="Mensual fijo",$C$14/$C$7,0))</f>
        <v>-36440.102972973</v>
      </c>
      <c r="H96" s="23" t="n">
        <f aca="false">(H$92*F$51)-(MIN(H$92,$C$19-1)*F$62+MAX(0,H$92-($C$19-1))*F$63+INDEX($E$72:$E$78,MIN(H$92,6)+1)+IF($C$16="Mensual fijo",$C$14/$C$7,0))</f>
        <v>38720.7327027026</v>
      </c>
      <c r="I96" s="23" t="n">
        <f aca="false">(I$92*F$51)-(MIN(I$92,$C$19-1)*F$62+MAX(0,I$92-($C$19-1))*F$63+INDEX($E$72:$E$78,MIN(I$92,6)+1)+IF($C$16="Mensual fijo",$C$14/$C$7,0))</f>
        <v>72929.0302702702</v>
      </c>
      <c r="J96" s="23" t="n">
        <f aca="false">(J$92*F$51)-(MIN(J$92,$C$19-1)*F$62+MAX(0,J$92-($C$19-1))*F$63+INDEX($E$72:$E$78,MIN(J$92,6)+1)+IF($C$16="Mensual fijo",$C$14/$C$7,0))</f>
        <v>107137.327837838</v>
      </c>
      <c r="K96" s="23" t="n">
        <f aca="false">(K$92*F$51)-(MIN(K$92,$C$19-1)*F$62+MAX(0,K$92-($C$19-1))*F$63+INDEX($E$72:$E$78,MIN(K$92,6)+1)+IF($C$16="Mensual fijo",$C$14/$C$7,0))</f>
        <v>141345.625405405</v>
      </c>
      <c r="L96" s="23" t="n">
        <f aca="false">(L$92*F$51)-(MIN(L$92,$C$19-1)*F$62+MAX(0,L$92-($C$19-1))*F$63+INDEX($E$72:$E$78,MIN(L$92,6)+1)+IF($C$16="Mensual fijo",$C$14/$C$7,0))</f>
        <v>175553.922972973</v>
      </c>
      <c r="M96" s="23" t="n">
        <f aca="false">(M$92*F$51)-(MIN(M$92,$C$19-1)*F$62+MAX(0,M$92-($C$19-1))*F$63+INDEX($E$72:$E$78,MIN(M$92,6)+1)+IF($C$16="Mensual fijo",$C$14/$C$7,0))</f>
        <v>209762.220540541</v>
      </c>
      <c r="N96" s="23" t="n">
        <f aca="false">(N$92*F$51)-(MIN(N$92,$C$19-1)*F$62+MAX(0,N$92-($C$19-1))*F$63+INDEX($E$72:$E$78,MIN(N$92,6)+1)+IF($C$16="Mensual fijo",$C$14/$C$7,0))</f>
        <v>243970.518108108</v>
      </c>
      <c r="O96" s="30" t="n">
        <f aca="false">IFERROR(INDEX($C$92:$N$92,MATCH(1,INDEX(--(C96:N96&gt;=0),0),0)),"no cruza")</f>
        <v>6</v>
      </c>
    </row>
    <row r="97" customFormat="false" ht="15" hidden="false" customHeight="false" outlineLevel="0" collapsed="false">
      <c r="B97" s="5" t="s">
        <v>166</v>
      </c>
      <c r="C97" s="23" t="n">
        <f aca="false">(C$92*C$51)-(MIN(C$92,$C$19-1)*C$64+MAX(0,C$92-($C$19-1))*C$64+INDEX($E$72:$E$78,MIN(C$92,6)+1)+IF($C$16="Mensual fijo",$C$14/$C$7,0))</f>
        <v>-126084.974864865</v>
      </c>
      <c r="D97" s="23" t="n">
        <f aca="false">(D$92*C$51)-(MIN(D$92,$C$19-1)*C$64+MAX(0,D$92-($C$19-1))*C$64+INDEX($E$72:$E$78,MIN(D$92,6)+1)+IF($C$16="Mensual fijo",$C$14/$C$7,0))</f>
        <v>-79806.6945945946</v>
      </c>
      <c r="E97" s="23" t="n">
        <f aca="false">(E$92*C$51)-(MIN(E$92,$C$19-1)*C$64+MAX(0,E$92-($C$19-1))*C$64+INDEX($E$72:$E$78,MIN(E$92,6)+1)+IF($C$16="Mensual fijo",$C$14/$C$7,0))</f>
        <v>-46758.8694594595</v>
      </c>
      <c r="F97" s="23" t="n">
        <f aca="false">(F$92*C$51)-(MIN(F$92,$C$19-1)*C$64+MAX(0,F$92-($C$19-1))*C$64+INDEX($E$72:$E$78,MIN(F$92,6)+1)+IF($C$16="Mensual fijo",$C$14/$C$7,0))</f>
        <v>-25800.2989189189</v>
      </c>
      <c r="G97" s="23" t="n">
        <f aca="false">(G$92*C$51)-(MIN(G$92,$C$19-1)*C$64+MAX(0,G$92-($C$19-1))*C$64+INDEX($E$72:$E$78,MIN(G$92,6)+1)+IF($C$16="Mensual fijo",$C$14/$C$7,0))</f>
        <v>-2621.30162162165</v>
      </c>
      <c r="H97" s="23" t="n">
        <f aca="false">(H$92*C$51)-(MIN(H$92,$C$19-1)*C$64+MAX(0,H$92-($C$19-1))*C$64+INDEX($E$72:$E$78,MIN(H$92,6)+1)+IF($C$16="Mensual fijo",$C$14/$C$7,0))</f>
        <v>45997.4837837838</v>
      </c>
      <c r="I97" s="23" t="n">
        <f aca="false">(I$92*C$51)-(MIN(I$92,$C$19-1)*C$64+MAX(0,I$92-($C$19-1))*C$64+INDEX($E$72:$E$78,MIN(I$92,6)+1)+IF($C$16="Mensual fijo",$C$14/$C$7,0))</f>
        <v>53663.731081081</v>
      </c>
      <c r="J97" s="23" t="n">
        <f aca="false">(J$92*C$51)-(MIN(J$92,$C$19-1)*C$64+MAX(0,J$92-($C$19-1))*C$64+INDEX($E$72:$E$78,MIN(J$92,6)+1)+IF($C$16="Mensual fijo",$C$14/$C$7,0))</f>
        <v>61329.9783783783</v>
      </c>
      <c r="K97" s="23" t="n">
        <f aca="false">(K$92*C$51)-(MIN(K$92,$C$19-1)*C$64+MAX(0,K$92-($C$19-1))*C$64+INDEX($E$72:$E$78,MIN(K$92,6)+1)+IF($C$16="Mensual fijo",$C$14/$C$7,0))</f>
        <v>68996.2256756757</v>
      </c>
      <c r="L97" s="23" t="n">
        <f aca="false">(L$92*C$51)-(MIN(L$92,$C$19-1)*C$64+MAX(0,L$92-($C$19-1))*C$64+INDEX($E$72:$E$78,MIN(L$92,6)+1)+IF($C$16="Mensual fijo",$C$14/$C$7,0))</f>
        <v>76662.4729729729</v>
      </c>
      <c r="M97" s="23" t="n">
        <f aca="false">(M$92*C$51)-(MIN(M$92,$C$19-1)*C$64+MAX(0,M$92-($C$19-1))*C$64+INDEX($E$72:$E$78,MIN(M$92,6)+1)+IF($C$16="Mensual fijo",$C$14/$C$7,0))</f>
        <v>84328.7202702703</v>
      </c>
      <c r="N97" s="23" t="n">
        <f aca="false">(N$92*C$51)-(MIN(N$92,$C$19-1)*C$64+MAX(0,N$92-($C$19-1))*C$64+INDEX($E$72:$E$78,MIN(N$92,6)+1)+IF($C$16="Mensual fijo",$C$14/$C$7,0))</f>
        <v>91994.9675675675</v>
      </c>
      <c r="O97" s="30" t="n">
        <f aca="false">IFERROR(INDEX($C$92:$N$92,MATCH(1,INDEX(--(C97:N97&gt;=0),0),0)),"no cruza")</f>
        <v>6</v>
      </c>
    </row>
    <row r="98" customFormat="false" ht="15" hidden="false" customHeight="false" outlineLevel="0" collapsed="false">
      <c r="B98" s="5" t="s">
        <v>167</v>
      </c>
      <c r="C98" s="23" t="n">
        <f aca="false">(C$92*D$51)-(MIN(C$92,$C$19-1)*D$64+MAX(0,C$92-($C$19-1))*D$64+INDEX($E$72:$E$78,MIN(C$92,6)+1)+IF($C$16="Mensual fijo",$C$14/$C$7,0))</f>
        <v>-145427.219459459</v>
      </c>
      <c r="D98" s="23" t="n">
        <f aca="false">(D$92*D$51)-(MIN(D$92,$C$19-1)*D$64+MAX(0,D$92-($C$19-1))*D$64+INDEX($E$72:$E$78,MIN(D$92,6)+1)+IF($C$16="Mensual fijo",$C$14/$C$7,0))</f>
        <v>-118491.183783784</v>
      </c>
      <c r="E98" s="23" t="n">
        <f aca="false">(E$92*D$51)-(MIN(E$92,$C$19-1)*D$64+MAX(0,E$92-($C$19-1))*D$64+INDEX($E$72:$E$78,MIN(E$92,6)+1)+IF($C$16="Mensual fijo",$C$14/$C$7,0))</f>
        <v>-104785.603243243</v>
      </c>
      <c r="F98" s="23" t="n">
        <f aca="false">(F$92*D$51)-(MIN(F$92,$C$19-1)*D$64+MAX(0,F$92-($C$19-1))*D$64+INDEX($E$72:$E$78,MIN(F$92,6)+1)+IF($C$16="Mensual fijo",$C$14/$C$7,0))</f>
        <v>-103169.277297297</v>
      </c>
      <c r="G98" s="23" t="n">
        <f aca="false">(G$92*D$51)-(MIN(G$92,$C$19-1)*D$64+MAX(0,G$92-($C$19-1))*D$64+INDEX($E$72:$E$78,MIN(G$92,6)+1)+IF($C$16="Mensual fijo",$C$14/$C$7,0))</f>
        <v>-99332.5245945946</v>
      </c>
      <c r="H98" s="23" t="n">
        <f aca="false">(H$92*D$51)-(MIN(H$92,$C$19-1)*D$64+MAX(0,H$92-($C$19-1))*D$64+INDEX($E$72:$E$78,MIN(H$92,6)+1)+IF($C$16="Mensual fijo",$C$14/$C$7,0))</f>
        <v>-70055.9837837839</v>
      </c>
      <c r="I98" s="23" t="n">
        <f aca="false">(I$92*D$51)-(MIN(I$92,$C$19-1)*D$64+MAX(0,I$92-($C$19-1))*D$64+INDEX($E$72:$E$78,MIN(I$92,6)+1)+IF($C$16="Mensual fijo",$C$14/$C$7,0))</f>
        <v>-81731.9810810811</v>
      </c>
      <c r="J98" s="23" t="n">
        <f aca="false">(J$92*D$51)-(MIN(J$92,$C$19-1)*D$64+MAX(0,J$92-($C$19-1))*D$64+INDEX($E$72:$E$78,MIN(J$92,6)+1)+IF($C$16="Mensual fijo",$C$14/$C$7,0))</f>
        <v>-93407.9783783784</v>
      </c>
      <c r="K98" s="23" t="n">
        <f aca="false">(K$92*D$51)-(MIN(K$92,$C$19-1)*D$64+MAX(0,K$92-($C$19-1))*D$64+INDEX($E$72:$E$78,MIN(K$92,6)+1)+IF($C$16="Mensual fijo",$C$14/$C$7,0))</f>
        <v>-105083.975675676</v>
      </c>
      <c r="L98" s="23" t="n">
        <f aca="false">(L$92*D$51)-(MIN(L$92,$C$19-1)*D$64+MAX(0,L$92-($C$19-1))*D$64+INDEX($E$72:$E$78,MIN(L$92,6)+1)+IF($C$16="Mensual fijo",$C$14/$C$7,0))</f>
        <v>-116759.972972973</v>
      </c>
      <c r="M98" s="23" t="n">
        <f aca="false">(M$92*D$51)-(MIN(M$92,$C$19-1)*D$64+MAX(0,M$92-($C$19-1))*D$64+INDEX($E$72:$E$78,MIN(M$92,6)+1)+IF($C$16="Mensual fijo",$C$14/$C$7,0))</f>
        <v>-128435.97027027</v>
      </c>
      <c r="N98" s="23" t="n">
        <f aca="false">(N$92*D$51)-(MIN(N$92,$C$19-1)*D$64+MAX(0,N$92-($C$19-1))*D$64+INDEX($E$72:$E$78,MIN(N$92,6)+1)+IF($C$16="Mensual fijo",$C$14/$C$7,0))</f>
        <v>-140111.967567568</v>
      </c>
      <c r="O98" s="30" t="str">
        <f aca="false">IFERROR(INDEX($C$92:$N$92,MATCH(1,INDEX(--(C98:N98&gt;=0),0),0)),"no cruza")</f>
        <v>no cruza</v>
      </c>
    </row>
    <row r="99" customFormat="false" ht="15" hidden="false" customHeight="false" outlineLevel="0" collapsed="false">
      <c r="B99" s="5" t="s">
        <v>168</v>
      </c>
      <c r="C99" s="23" t="n">
        <f aca="false">(C$92*E$51)-(MIN(C$92,$C$19-1)*E$64+MAX(0,C$92-($C$19-1))*E$64+INDEX($E$72:$E$78,MIN(C$92,6)+1)+IF($C$16="Mensual fijo",$C$14/$C$7,0))</f>
        <v>-176199.566486486</v>
      </c>
      <c r="D99" s="23" t="n">
        <f aca="false">(D$92*E$51)-(MIN(D$92,$C$19-1)*E$64+MAX(0,D$92-($C$19-1))*E$64+INDEX($E$72:$E$78,MIN(D$92,6)+1)+IF($C$16="Mensual fijo",$C$14/$C$7,0))</f>
        <v>-180035.877837838</v>
      </c>
      <c r="E99" s="23" t="n">
        <f aca="false">(E$92*E$51)-(MIN(E$92,$C$19-1)*E$64+MAX(0,E$92-($C$19-1))*E$64+INDEX($E$72:$E$78,MIN(E$92,6)+1)+IF($C$16="Mensual fijo",$C$14/$C$7,0))</f>
        <v>-197102.644324324</v>
      </c>
      <c r="F99" s="23" t="n">
        <f aca="false">(F$92*E$51)-(MIN(F$92,$C$19-1)*E$64+MAX(0,F$92-($C$19-1))*E$64+INDEX($E$72:$E$78,MIN(F$92,6)+1)+IF($C$16="Mensual fijo",$C$14/$C$7,0))</f>
        <v>-226258.665405405</v>
      </c>
      <c r="G99" s="23" t="n">
        <f aca="false">(G$92*E$51)-(MIN(G$92,$C$19-1)*E$64+MAX(0,G$92-($C$19-1))*E$64+INDEX($E$72:$E$78,MIN(G$92,6)+1)+IF($C$16="Mensual fijo",$C$14/$C$7,0))</f>
        <v>-253194.25972973</v>
      </c>
      <c r="H99" s="23" t="n">
        <f aca="false">(H$92*E$51)-(MIN(H$92,$C$19-1)*E$64+MAX(0,H$92-($C$19-1))*E$64+INDEX($E$72:$E$78,MIN(H$92,6)+1)+IF($C$16="Mensual fijo",$C$14/$C$7,0))</f>
        <v>-254690.065945946</v>
      </c>
      <c r="I99" s="23" t="n">
        <f aca="false">(I$92*E$51)-(MIN(I$92,$C$19-1)*E$64+MAX(0,I$92-($C$19-1))*E$64+INDEX($E$72:$E$78,MIN(I$92,6)+1)+IF($C$16="Mensual fijo",$C$14/$C$7,0))</f>
        <v>-297138.41027027</v>
      </c>
      <c r="J99" s="23" t="n">
        <f aca="false">(J$92*E$51)-(MIN(J$92,$C$19-1)*E$64+MAX(0,J$92-($C$19-1))*E$64+INDEX($E$72:$E$78,MIN(J$92,6)+1)+IF($C$16="Mensual fijo",$C$14/$C$7,0))</f>
        <v>-339586.754594595</v>
      </c>
      <c r="K99" s="23" t="n">
        <f aca="false">(K$92*E$51)-(MIN(K$92,$C$19-1)*E$64+MAX(0,K$92-($C$19-1))*E$64+INDEX($E$72:$E$78,MIN(K$92,6)+1)+IF($C$16="Mensual fijo",$C$14/$C$7,0))</f>
        <v>-382035.098918919</v>
      </c>
      <c r="L99" s="23" t="n">
        <f aca="false">(L$92*E$51)-(MIN(L$92,$C$19-1)*E$64+MAX(0,L$92-($C$19-1))*E$64+INDEX($E$72:$E$78,MIN(L$92,6)+1)+IF($C$16="Mensual fijo",$C$14/$C$7,0))</f>
        <v>-424483.443243243</v>
      </c>
      <c r="M99" s="23" t="n">
        <f aca="false">(M$92*E$51)-(MIN(M$92,$C$19-1)*E$64+MAX(0,M$92-($C$19-1))*E$64+INDEX($E$72:$E$78,MIN(M$92,6)+1)+IF($C$16="Mensual fijo",$C$14/$C$7,0))</f>
        <v>-466931.787567567</v>
      </c>
      <c r="N99" s="23" t="n">
        <f aca="false">(N$92*E$51)-(MIN(N$92,$C$19-1)*E$64+MAX(0,N$92-($C$19-1))*E$64+INDEX($E$72:$E$78,MIN(N$92,6)+1)+IF($C$16="Mensual fijo",$C$14/$C$7,0))</f>
        <v>-509380.131891892</v>
      </c>
      <c r="O99" s="30" t="str">
        <f aca="false">IFERROR(INDEX($C$92:$N$92,MATCH(1,INDEX(--(C99:N99&gt;=0),0),0)),"no cruza")</f>
        <v>no cruza</v>
      </c>
    </row>
    <row r="100" customFormat="false" ht="15" hidden="false" customHeight="false" outlineLevel="0" collapsed="false">
      <c r="B100" s="5" t="s">
        <v>169</v>
      </c>
      <c r="C100" s="23" t="n">
        <f aca="false">(C$92*F$51)-(MIN(C$92,$C$19-1)*F$64+MAX(0,C$92-($C$19-1))*F$64+INDEX($E$72:$E$78,MIN(C$92,6)+1)+IF($C$16="Mensual fijo",$C$14/$C$7,0))</f>
        <v>-178345.472972973</v>
      </c>
      <c r="D100" s="23" t="n">
        <f aca="false">(D$92*F$51)-(MIN(D$92,$C$19-1)*F$64+MAX(0,D$92-($C$19-1))*F$64+INDEX($E$72:$E$78,MIN(D$92,6)+1)+IF($C$16="Mensual fijo",$C$14/$C$7,0))</f>
        <v>-184327.690810811</v>
      </c>
      <c r="E100" s="23" t="n">
        <f aca="false">(E$92*F$51)-(MIN(E$92,$C$19-1)*F$64+MAX(0,E$92-($C$19-1))*F$64+INDEX($E$72:$E$78,MIN(E$92,6)+1)+IF($C$16="Mensual fijo",$C$14/$C$7,0))</f>
        <v>-203540.363783784</v>
      </c>
      <c r="F100" s="23" t="n">
        <f aca="false">(F$92*F$51)-(MIN(F$92,$C$19-1)*F$64+MAX(0,F$92-($C$19-1))*F$64+INDEX($E$72:$E$78,MIN(F$92,6)+1)+IF($C$16="Mensual fijo",$C$14/$C$7,0))</f>
        <v>-234842.291351351</v>
      </c>
      <c r="G100" s="23" t="n">
        <f aca="false">(G$92*F$51)-(MIN(G$92,$C$19-1)*F$64+MAX(0,G$92-($C$19-1))*F$64+INDEX($E$72:$E$78,MIN(G$92,6)+1)+IF($C$16="Mensual fijo",$C$14/$C$7,0))</f>
        <v>-263923.792162162</v>
      </c>
      <c r="H100" s="23" t="n">
        <f aca="false">(H$92*F$51)-(MIN(H$92,$C$19-1)*F$64+MAX(0,H$92-($C$19-1))*F$64+INDEX($E$72:$E$78,MIN(H$92,6)+1)+IF($C$16="Mensual fijo",$C$14/$C$7,0))</f>
        <v>-267565.504864865</v>
      </c>
      <c r="I100" s="23" t="n">
        <f aca="false">(I$92*F$51)-(MIN(I$92,$C$19-1)*F$64+MAX(0,I$92-($C$19-1))*F$64+INDEX($E$72:$E$78,MIN(I$92,6)+1)+IF($C$16="Mensual fijo",$C$14/$C$7,0))</f>
        <v>-312159.755675676</v>
      </c>
      <c r="J100" s="23" t="n">
        <f aca="false">(J$92*F$51)-(MIN(J$92,$C$19-1)*F$64+MAX(0,J$92-($C$19-1))*F$64+INDEX($E$72:$E$78,MIN(J$92,6)+1)+IF($C$16="Mensual fijo",$C$14/$C$7,0))</f>
        <v>-356754.006486487</v>
      </c>
      <c r="K100" s="23" t="n">
        <f aca="false">(K$92*F$51)-(MIN(K$92,$C$19-1)*F$64+MAX(0,K$92-($C$19-1))*F$64+INDEX($E$72:$E$78,MIN(K$92,6)+1)+IF($C$16="Mensual fijo",$C$14/$C$7,0))</f>
        <v>-401348.257297297</v>
      </c>
      <c r="L100" s="23" t="n">
        <f aca="false">(L$92*F$51)-(MIN(L$92,$C$19-1)*F$64+MAX(0,L$92-($C$19-1))*F$64+INDEX($E$72:$E$78,MIN(L$92,6)+1)+IF($C$16="Mensual fijo",$C$14/$C$7,0))</f>
        <v>-445942.508108108</v>
      </c>
      <c r="M100" s="23" t="n">
        <f aca="false">(M$92*F$51)-(MIN(M$92,$C$19-1)*F$64+MAX(0,M$92-($C$19-1))*F$64+INDEX($E$72:$E$78,MIN(M$92,6)+1)+IF($C$16="Mensual fijo",$C$14/$C$7,0))</f>
        <v>-490536.758918919</v>
      </c>
      <c r="N100" s="23" t="n">
        <f aca="false">(N$92*F$51)-(MIN(N$92,$C$19-1)*F$64+MAX(0,N$92-($C$19-1))*F$64+INDEX($E$72:$E$78,MIN(N$92,6)+1)+IF($C$16="Mensual fijo",$C$14/$C$7,0))</f>
        <v>-535131.00972973</v>
      </c>
      <c r="O100" s="30" t="str">
        <f aca="false">IFERROR(INDEX($C$92:$N$92,MATCH(1,INDEX(--(C100:N100&gt;=0),0),0)),"no cruza")</f>
        <v>no cruza</v>
      </c>
    </row>
    <row r="101" customFormat="false" ht="15" hidden="false" customHeight="false" outlineLevel="0" collapsed="false">
      <c r="B101" s="5" t="s">
        <v>170</v>
      </c>
      <c r="C101" s="23" t="n">
        <f aca="false">(C$92*C$51)-(MIN(C$92,$C$19-1)*C$64+MAX(0,C$92-($C$19-1))*C$65+INDEX($E$72:$E$78,MIN(C$92,6)+1)+IF($C$16="Mensual fijo",$C$14/$C$7,0))</f>
        <v>-126084.974864865</v>
      </c>
      <c r="D101" s="23" t="n">
        <f aca="false">(D$92*C$51)-(MIN(D$92,$C$19-1)*C$64+MAX(0,D$92-($C$19-1))*C$65+INDEX($E$72:$E$78,MIN(D$92,6)+1)+IF($C$16="Mensual fijo",$C$14/$C$7,0))</f>
        <v>-79806.6945945946</v>
      </c>
      <c r="E101" s="23" t="n">
        <f aca="false">(E$92*C$51)-(MIN(E$92,$C$19-1)*C$64+MAX(0,E$92-($C$19-1))*C$65+INDEX($E$72:$E$78,MIN(E$92,6)+1)+IF($C$16="Mensual fijo",$C$14/$C$7,0))</f>
        <v>-46758.8694594595</v>
      </c>
      <c r="F101" s="23" t="n">
        <f aca="false">(F$92*C$51)-(MIN(F$92,$C$19-1)*C$64+MAX(0,F$92-($C$19-1))*C$65+INDEX($E$72:$E$78,MIN(F$92,6)+1)+IF($C$16="Mensual fijo",$C$14/$C$7,0))</f>
        <v>-25800.2989189189</v>
      </c>
      <c r="G101" s="23" t="n">
        <f aca="false">(G$92*C$51)-(MIN(G$92,$C$19-1)*C$64+MAX(0,G$92-($C$19-1))*C$65+INDEX($E$72:$E$78,MIN(G$92,6)+1)+IF($C$16="Mensual fijo",$C$14/$C$7,0))</f>
        <v>-2621.30162162165</v>
      </c>
      <c r="H101" s="23" t="n">
        <f aca="false">(H$92*C$51)-(MIN(H$92,$C$19-1)*C$64+MAX(0,H$92-($C$19-1))*C$65+INDEX($E$72:$E$78,MIN(H$92,6)+1)+IF($C$16="Mensual fijo",$C$14/$C$7,0))</f>
        <v>70100.7114864865</v>
      </c>
      <c r="I101" s="23" t="n">
        <f aca="false">(I$92*C$51)-(MIN(I$92,$C$19-1)*C$64+MAX(0,I$92-($C$19-1))*C$65+INDEX($E$72:$E$78,MIN(I$92,6)+1)+IF($C$16="Mensual fijo",$C$14/$C$7,0))</f>
        <v>101870.186486486</v>
      </c>
      <c r="J101" s="23" t="n">
        <f aca="false">(J$92*C$51)-(MIN(J$92,$C$19-1)*C$64+MAX(0,J$92-($C$19-1))*C$65+INDEX($E$72:$E$78,MIN(J$92,6)+1)+IF($C$16="Mensual fijo",$C$14/$C$7,0))</f>
        <v>133639.661486486</v>
      </c>
      <c r="K101" s="23" t="n">
        <f aca="false">(K$92*C$51)-(MIN(K$92,$C$19-1)*C$64+MAX(0,K$92-($C$19-1))*C$65+INDEX($E$72:$E$78,MIN(K$92,6)+1)+IF($C$16="Mensual fijo",$C$14/$C$7,0))</f>
        <v>165409.136486487</v>
      </c>
      <c r="L101" s="23" t="n">
        <f aca="false">(L$92*C$51)-(MIN(L$92,$C$19-1)*C$64+MAX(0,L$92-($C$19-1))*C$65+INDEX($E$72:$E$78,MIN(L$92,6)+1)+IF($C$16="Mensual fijo",$C$14/$C$7,0))</f>
        <v>197178.611486486</v>
      </c>
      <c r="M101" s="23" t="n">
        <f aca="false">(M$92*C$51)-(MIN(M$92,$C$19-1)*C$64+MAX(0,M$92-($C$19-1))*C$65+INDEX($E$72:$E$78,MIN(M$92,6)+1)+IF($C$16="Mensual fijo",$C$14/$C$7,0))</f>
        <v>228948.086486486</v>
      </c>
      <c r="N101" s="23" t="n">
        <f aca="false">(N$92*C$51)-(MIN(N$92,$C$19-1)*C$64+MAX(0,N$92-($C$19-1))*C$65+INDEX($E$72:$E$78,MIN(N$92,6)+1)+IF($C$16="Mensual fijo",$C$14/$C$7,0))</f>
        <v>260717.561486487</v>
      </c>
      <c r="O101" s="30" t="n">
        <f aca="false">IFERROR(INDEX($C$92:$N$92,MATCH(1,INDEX(--(C101:N101&gt;=0),0),0)),"no cruza")</f>
        <v>6</v>
      </c>
    </row>
    <row r="102" customFormat="false" ht="15" hidden="false" customHeight="false" outlineLevel="0" collapsed="false">
      <c r="B102" s="5" t="s">
        <v>171</v>
      </c>
      <c r="C102" s="23" t="n">
        <f aca="false">(C$92*D$51)-(MIN(C$92,$C$19-1)*D$64+MAX(0,C$92-($C$19-1))*D$65+INDEX($E$72:$E$78,MIN(C$92,6)+1)+IF($C$16="Mensual fijo",$C$14/$C$7,0))</f>
        <v>-145427.219459459</v>
      </c>
      <c r="D102" s="23" t="n">
        <f aca="false">(D$92*D$51)-(MIN(D$92,$C$19-1)*D$64+MAX(0,D$92-($C$19-1))*D$65+INDEX($E$72:$E$78,MIN(D$92,6)+1)+IF($C$16="Mensual fijo",$C$14/$C$7,0))</f>
        <v>-118491.183783784</v>
      </c>
      <c r="E102" s="23" t="n">
        <f aca="false">(E$92*D$51)-(MIN(E$92,$C$19-1)*D$64+MAX(0,E$92-($C$19-1))*D$65+INDEX($E$72:$E$78,MIN(E$92,6)+1)+IF($C$16="Mensual fijo",$C$14/$C$7,0))</f>
        <v>-104785.603243243</v>
      </c>
      <c r="F102" s="23" t="n">
        <f aca="false">(F$92*D$51)-(MIN(F$92,$C$19-1)*D$64+MAX(0,F$92-($C$19-1))*D$65+INDEX($E$72:$E$78,MIN(F$92,6)+1)+IF($C$16="Mensual fijo",$C$14/$C$7,0))</f>
        <v>-103169.277297297</v>
      </c>
      <c r="G102" s="23" t="n">
        <f aca="false">(G$92*D$51)-(MIN(G$92,$C$19-1)*D$64+MAX(0,G$92-($C$19-1))*D$65+INDEX($E$72:$E$78,MIN(G$92,6)+1)+IF($C$16="Mensual fijo",$C$14/$C$7,0))</f>
        <v>-99332.5245945946</v>
      </c>
      <c r="H102" s="23" t="n">
        <f aca="false">(H$92*D$51)-(MIN(H$92,$C$19-1)*D$64+MAX(0,H$92-($C$19-1))*D$65+INDEX($E$72:$E$78,MIN(H$92,6)+1)+IF($C$16="Mensual fijo",$C$14/$C$7,0))</f>
        <v>-28936.4310810812</v>
      </c>
      <c r="I102" s="23" t="n">
        <f aca="false">(I$92*D$51)-(MIN(I$92,$C$19-1)*D$64+MAX(0,I$92-($C$19-1))*D$65+INDEX($E$72:$E$78,MIN(I$92,6)+1)+IF($C$16="Mensual fijo",$C$14/$C$7,0))</f>
        <v>507.124324324308</v>
      </c>
      <c r="J102" s="23" t="n">
        <f aca="false">(J$92*D$51)-(MIN(J$92,$C$19-1)*D$64+MAX(0,J$92-($C$19-1))*D$65+INDEX($E$72:$E$78,MIN(J$92,6)+1)+IF($C$16="Mensual fijo",$C$14/$C$7,0))</f>
        <v>29950.6797297298</v>
      </c>
      <c r="K102" s="23" t="n">
        <f aca="false">(K$92*D$51)-(MIN(K$92,$C$19-1)*D$64+MAX(0,K$92-($C$19-1))*D$65+INDEX($E$72:$E$78,MIN(K$92,6)+1)+IF($C$16="Mensual fijo",$C$14/$C$7,0))</f>
        <v>59394.235135135</v>
      </c>
      <c r="L102" s="23" t="n">
        <f aca="false">(L$92*D$51)-(MIN(L$92,$C$19-1)*D$64+MAX(0,L$92-($C$19-1))*D$65+INDEX($E$72:$E$78,MIN(L$92,6)+1)+IF($C$16="Mensual fijo",$C$14/$C$7,0))</f>
        <v>88837.7905405406</v>
      </c>
      <c r="M102" s="23" t="n">
        <f aca="false">(M$92*D$51)-(MIN(M$92,$C$19-1)*D$64+MAX(0,M$92-($C$19-1))*D$65+INDEX($E$72:$E$78,MIN(M$92,6)+1)+IF($C$16="Mensual fijo",$C$14/$C$7,0))</f>
        <v>118281.345945946</v>
      </c>
      <c r="N102" s="23" t="n">
        <f aca="false">(N$92*D$51)-(MIN(N$92,$C$19-1)*D$64+MAX(0,N$92-($C$19-1))*D$65+INDEX($E$72:$E$78,MIN(N$92,6)+1)+IF($C$16="Mensual fijo",$C$14/$C$7,0))</f>
        <v>147724.901351351</v>
      </c>
      <c r="O102" s="30" t="n">
        <f aca="false">IFERROR(INDEX($C$92:$N$92,MATCH(1,INDEX(--(C102:N102&gt;=0),0),0)),"no cruza")</f>
        <v>7</v>
      </c>
    </row>
    <row r="103" customFormat="false" ht="15" hidden="false" customHeight="false" outlineLevel="0" collapsed="false">
      <c r="B103" s="5" t="s">
        <v>172</v>
      </c>
      <c r="C103" s="23" t="n">
        <f aca="false">(C$92*E$51)-(MIN(C$92,$C$19-1)*E$64+MAX(0,C$92-($C$19-1))*E$65+INDEX($E$72:$E$78,MIN(C$92,6)+1)+IF($C$16="Mensual fijo",$C$14/$C$7,0))</f>
        <v>-176199.566486486</v>
      </c>
      <c r="D103" s="23" t="n">
        <f aca="false">(D$92*E$51)-(MIN(D$92,$C$19-1)*E$64+MAX(0,D$92-($C$19-1))*E$65+INDEX($E$72:$E$78,MIN(D$92,6)+1)+IF($C$16="Mensual fijo",$C$14/$C$7,0))</f>
        <v>-180035.877837838</v>
      </c>
      <c r="E103" s="23" t="n">
        <f aca="false">(E$92*E$51)-(MIN(E$92,$C$19-1)*E$64+MAX(0,E$92-($C$19-1))*E$65+INDEX($E$72:$E$78,MIN(E$92,6)+1)+IF($C$16="Mensual fijo",$C$14/$C$7,0))</f>
        <v>-197102.644324324</v>
      </c>
      <c r="F103" s="23" t="n">
        <f aca="false">(F$92*E$51)-(MIN(F$92,$C$19-1)*E$64+MAX(0,F$92-($C$19-1))*E$65+INDEX($E$72:$E$78,MIN(F$92,6)+1)+IF($C$16="Mensual fijo",$C$14/$C$7,0))</f>
        <v>-226258.665405405</v>
      </c>
      <c r="G103" s="23" t="n">
        <f aca="false">(G$92*E$51)-(MIN(G$92,$C$19-1)*E$64+MAX(0,G$92-($C$19-1))*E$65+INDEX($E$72:$E$78,MIN(G$92,6)+1)+IF($C$16="Mensual fijo",$C$14/$C$7,0))</f>
        <v>-253194.25972973</v>
      </c>
      <c r="H103" s="23" t="n">
        <f aca="false">(H$92*E$51)-(MIN(H$92,$C$19-1)*E$64+MAX(0,H$92-($C$19-1))*E$65+INDEX($E$72:$E$78,MIN(H$92,6)+1)+IF($C$16="Mensual fijo",$C$14/$C$7,0))</f>
        <v>-204196.83972973</v>
      </c>
      <c r="I103" s="23" t="n">
        <f aca="false">(I$92*E$51)-(MIN(I$92,$C$19-1)*E$64+MAX(0,I$92-($C$19-1))*E$65+INDEX($E$72:$E$78,MIN(I$92,6)+1)+IF($C$16="Mensual fijo",$C$14/$C$7,0))</f>
        <v>-196151.957837838</v>
      </c>
      <c r="J103" s="23" t="n">
        <f aca="false">(J$92*E$51)-(MIN(J$92,$C$19-1)*E$64+MAX(0,J$92-($C$19-1))*E$65+INDEX($E$72:$E$78,MIN(J$92,6)+1)+IF($C$16="Mensual fijo",$C$14/$C$7,0))</f>
        <v>-188107.075945946</v>
      </c>
      <c r="K103" s="23" t="n">
        <f aca="false">(K$92*E$51)-(MIN(K$92,$C$19-1)*E$64+MAX(0,K$92-($C$19-1))*E$65+INDEX($E$72:$E$78,MIN(K$92,6)+1)+IF($C$16="Mensual fijo",$C$14/$C$7,0))</f>
        <v>-180062.194054054</v>
      </c>
      <c r="L103" s="23" t="n">
        <f aca="false">(L$92*E$51)-(MIN(L$92,$C$19-1)*E$64+MAX(0,L$92-($C$19-1))*E$65+INDEX($E$72:$E$78,MIN(L$92,6)+1)+IF($C$16="Mensual fijo",$C$14/$C$7,0))</f>
        <v>-172017.312162162</v>
      </c>
      <c r="M103" s="23" t="n">
        <f aca="false">(M$92*E$51)-(MIN(M$92,$C$19-1)*E$64+MAX(0,M$92-($C$19-1))*E$65+INDEX($E$72:$E$78,MIN(M$92,6)+1)+IF($C$16="Mensual fijo",$C$14/$C$7,0))</f>
        <v>-163972.43027027</v>
      </c>
      <c r="N103" s="23" t="n">
        <f aca="false">(N$92*E$51)-(MIN(N$92,$C$19-1)*E$64+MAX(0,N$92-($C$19-1))*E$65+INDEX($E$72:$E$78,MIN(N$92,6)+1)+IF($C$16="Mensual fijo",$C$14/$C$7,0))</f>
        <v>-155927.548378379</v>
      </c>
      <c r="O103" s="30" t="str">
        <f aca="false">IFERROR(INDEX($C$92:$N$92,MATCH(1,INDEX(--(C103:N103&gt;=0),0),0)),"no cruza")</f>
        <v>no cruza</v>
      </c>
    </row>
    <row r="104" customFormat="false" ht="15" hidden="false" customHeight="false" outlineLevel="0" collapsed="false">
      <c r="B104" s="5" t="s">
        <v>173</v>
      </c>
      <c r="C104" s="23" t="n">
        <f aca="false">(C$92*F$51)-(MIN(C$92,$C$19-1)*F$64+MAX(0,C$92-($C$19-1))*F$65+INDEX($E$72:$E$78,MIN(C$92,6)+1)+IF($C$16="Mensual fijo",$C$14/$C$7,0))</f>
        <v>-178345.472972973</v>
      </c>
      <c r="D104" s="23" t="n">
        <f aca="false">(D$92*F$51)-(MIN(D$92,$C$19-1)*F$64+MAX(0,D$92-($C$19-1))*F$65+INDEX($E$72:$E$78,MIN(D$92,6)+1)+IF($C$16="Mensual fijo",$C$14/$C$7,0))</f>
        <v>-184327.690810811</v>
      </c>
      <c r="E104" s="23" t="n">
        <f aca="false">(E$92*F$51)-(MIN(E$92,$C$19-1)*F$64+MAX(0,E$92-($C$19-1))*F$65+INDEX($E$72:$E$78,MIN(E$92,6)+1)+IF($C$16="Mensual fijo",$C$14/$C$7,0))</f>
        <v>-203540.363783784</v>
      </c>
      <c r="F104" s="23" t="n">
        <f aca="false">(F$92*F$51)-(MIN(F$92,$C$19-1)*F$64+MAX(0,F$92-($C$19-1))*F$65+INDEX($E$72:$E$78,MIN(F$92,6)+1)+IF($C$16="Mensual fijo",$C$14/$C$7,0))</f>
        <v>-234842.291351351</v>
      </c>
      <c r="G104" s="23" t="n">
        <f aca="false">(G$92*F$51)-(MIN(G$92,$C$19-1)*F$64+MAX(0,G$92-($C$19-1))*F$65+INDEX($E$72:$E$78,MIN(G$92,6)+1)+IF($C$16="Mensual fijo",$C$14/$C$7,0))</f>
        <v>-263923.792162162</v>
      </c>
      <c r="H104" s="23" t="n">
        <f aca="false">(H$92*F$51)-(MIN(H$92,$C$19-1)*F$64+MAX(0,H$92-($C$19-1))*F$65+INDEX($E$72:$E$78,MIN(H$92,6)+1)+IF($C$16="Mensual fijo",$C$14/$C$7,0))</f>
        <v>-211511.325405405</v>
      </c>
      <c r="I104" s="23" t="n">
        <f aca="false">(I$92*F$51)-(MIN(I$92,$C$19-1)*F$64+MAX(0,I$92-($C$19-1))*F$65+INDEX($E$72:$E$78,MIN(I$92,6)+1)+IF($C$16="Mensual fijo",$C$14/$C$7,0))</f>
        <v>-200051.396756757</v>
      </c>
      <c r="J104" s="23" t="n">
        <f aca="false">(J$92*F$51)-(MIN(J$92,$C$19-1)*F$64+MAX(0,J$92-($C$19-1))*F$65+INDEX($E$72:$E$78,MIN(J$92,6)+1)+IF($C$16="Mensual fijo",$C$14/$C$7,0))</f>
        <v>-188591.468108108</v>
      </c>
      <c r="K104" s="23" t="n">
        <f aca="false">(K$92*F$51)-(MIN(K$92,$C$19-1)*F$64+MAX(0,K$92-($C$19-1))*F$65+INDEX($E$72:$E$78,MIN(K$92,6)+1)+IF($C$16="Mensual fijo",$C$14/$C$7,0))</f>
        <v>-177131.539459459</v>
      </c>
      <c r="L104" s="23" t="n">
        <f aca="false">(L$92*F$51)-(MIN(L$92,$C$19-1)*F$64+MAX(0,L$92-($C$19-1))*F$65+INDEX($E$72:$E$78,MIN(L$92,6)+1)+IF($C$16="Mensual fijo",$C$14/$C$7,0))</f>
        <v>-165671.610810811</v>
      </c>
      <c r="M104" s="23" t="n">
        <f aca="false">(M$92*F$51)-(MIN(M$92,$C$19-1)*F$64+MAX(0,M$92-($C$19-1))*F$65+INDEX($E$72:$E$78,MIN(M$92,6)+1)+IF($C$16="Mensual fijo",$C$14/$C$7,0))</f>
        <v>-154211.682162162</v>
      </c>
      <c r="N104" s="23" t="n">
        <f aca="false">(N$92*F$51)-(MIN(N$92,$C$19-1)*F$64+MAX(0,N$92-($C$19-1))*F$65+INDEX($E$72:$E$78,MIN(N$92,6)+1)+IF($C$16="Mensual fijo",$C$14/$C$7,0))</f>
        <v>-142751.753513514</v>
      </c>
      <c r="O104" s="30" t="str">
        <f aca="false">IFERROR(INDEX($C$92:$N$92,MATCH(1,INDEX(--(C104:N104&gt;=0),0),0)),"no cruza")</f>
        <v>no cruza</v>
      </c>
    </row>
    <row r="105" customFormat="false" ht="15" hidden="false" customHeight="false" outlineLevel="0" collapsed="false">
      <c r="B105" s="5" t="s">
        <v>174</v>
      </c>
      <c r="C105" s="23" t="n">
        <f aca="false">(C$92*C$51)-(MIN(C$92,$C$19-1)*C$66+MAX(0,C$92-($C$19-1))*C$67+INDEX($F$72:$F$78,MIN(C$92,6)+1)+IF($C$16="Mensual fijo",$C$14/$C$7,0))</f>
        <v>-163082.127027027</v>
      </c>
      <c r="D105" s="23" t="n">
        <f aca="false">(D$92*C$51)-(MIN(D$92,$C$19-1)*C$66+MAX(0,D$92-($C$19-1))*C$67+INDEX($F$72:$F$78,MIN(D$92,6)+1)+IF($C$16="Mensual fijo",$C$14/$C$7,0))</f>
        <v>-99846.7310810811</v>
      </c>
      <c r="E105" s="23" t="n">
        <f aca="false">(E$92*C$51)-(MIN(E$92,$C$19-1)*C$66+MAX(0,E$92-($C$19-1))*C$67+INDEX($F$72:$F$78,MIN(E$92,6)+1)+IF($C$16="Mensual fijo",$C$14/$C$7,0))</f>
        <v>-36611.3351351352</v>
      </c>
      <c r="F105" s="23" t="n">
        <f aca="false">(F$92*C$51)-(MIN(F$92,$C$19-1)*C$66+MAX(0,F$92-($C$19-1))*C$67+INDEX($F$72:$F$78,MIN(F$92,6)+1)+IF($C$16="Mensual fijo",$C$14/$C$7,0))</f>
        <v>26624.0608108108</v>
      </c>
      <c r="G105" s="23" t="n">
        <f aca="false">(G$92*C$51)-(MIN(G$92,$C$19-1)*C$66+MAX(0,G$92-($C$19-1))*C$67+INDEX($F$72:$F$78,MIN(G$92,6)+1)+IF($C$16="Mensual fijo",$C$14/$C$7,0))</f>
        <v>89859.4567567567</v>
      </c>
      <c r="H105" s="23" t="n">
        <f aca="false">(H$92*C$51)-(MIN(H$92,$C$19-1)*C$66+MAX(0,H$92-($C$19-1))*C$67+INDEX($F$72:$F$78,MIN(H$92,6)+1)+IF($C$16="Mensual fijo",$C$14/$C$7,0))</f>
        <v>112440.267567568</v>
      </c>
      <c r="I105" s="23" t="n">
        <f aca="false">(I$92*C$51)-(MIN(I$92,$C$19-1)*C$66+MAX(0,I$92-($C$19-1))*C$67+INDEX($F$72:$F$78,MIN(I$92,6)+1)+IF($C$16="Mensual fijo",$C$14/$C$7,0))</f>
        <v>135021.078378378</v>
      </c>
      <c r="J105" s="23" t="n">
        <f aca="false">(J$92*C$51)-(MIN(J$92,$C$19-1)*C$66+MAX(0,J$92-($C$19-1))*C$67+INDEX($F$72:$F$78,MIN(J$92,6)+1)+IF($C$16="Mensual fijo",$C$14/$C$7,0))</f>
        <v>157601.889189189</v>
      </c>
      <c r="K105" s="23" t="n">
        <f aca="false">(K$92*C$51)-(MIN(K$92,$C$19-1)*C$66+MAX(0,K$92-($C$19-1))*C$67+INDEX($F$72:$F$78,MIN(K$92,6)+1)+IF($C$16="Mensual fijo",$C$14/$C$7,0))</f>
        <v>180182.7</v>
      </c>
      <c r="L105" s="23" t="n">
        <f aca="false">(L$92*C$51)-(MIN(L$92,$C$19-1)*C$66+MAX(0,L$92-($C$19-1))*C$67+INDEX($F$72:$F$78,MIN(L$92,6)+1)+IF($C$16="Mensual fijo",$C$14/$C$7,0))</f>
        <v>202763.510810811</v>
      </c>
      <c r="M105" s="23" t="n">
        <f aca="false">(M$92*C$51)-(MIN(M$92,$C$19-1)*C$66+MAX(0,M$92-($C$19-1))*C$67+INDEX($F$72:$F$78,MIN(M$92,6)+1)+IF($C$16="Mensual fijo",$C$14/$C$7,0))</f>
        <v>225344.321621622</v>
      </c>
      <c r="N105" s="23" t="n">
        <f aca="false">(N$92*C$51)-(MIN(N$92,$C$19-1)*C$66+MAX(0,N$92-($C$19-1))*C$67+INDEX($F$72:$F$78,MIN(N$92,6)+1)+IF($C$16="Mensual fijo",$C$14/$C$7,0))</f>
        <v>247925.132432432</v>
      </c>
      <c r="O105" s="30" t="n">
        <f aca="false">IFERROR(INDEX($C$92:$N$92,MATCH(1,INDEX(--(C105:N105&gt;=0),0),0)),"no cruza")</f>
        <v>4</v>
      </c>
    </row>
    <row r="106" customFormat="false" ht="15" hidden="false" customHeight="false" outlineLevel="0" collapsed="false">
      <c r="B106" s="5" t="s">
        <v>175</v>
      </c>
      <c r="C106" s="23" t="n">
        <f aca="false">(C$92*D$51)-(MIN(C$92,$C$19-1)*D$66+MAX(0,C$92-($C$19-1))*D$67+INDEX($F$72:$F$78,MIN(C$92,6)+1)+IF($C$16="Mensual fijo",$C$14/$C$7,0))</f>
        <v>-166626.856756757</v>
      </c>
      <c r="D106" s="23" t="n">
        <f aca="false">(D$92*D$51)-(MIN(D$92,$C$19-1)*D$66+MAX(0,D$92-($C$19-1))*D$67+INDEX($F$72:$F$78,MIN(D$92,6)+1)+IF($C$16="Mensual fijo",$C$14/$C$7,0))</f>
        <v>-106936.190540541</v>
      </c>
      <c r="E106" s="23" t="n">
        <f aca="false">(E$92*D$51)-(MIN(E$92,$C$19-1)*D$66+MAX(0,E$92-($C$19-1))*D$67+INDEX($F$72:$F$78,MIN(E$92,6)+1)+IF($C$16="Mensual fijo",$C$14/$C$7,0))</f>
        <v>-47245.5243243243</v>
      </c>
      <c r="F106" s="23" t="n">
        <f aca="false">(F$92*D$51)-(MIN(F$92,$C$19-1)*D$66+MAX(0,F$92-($C$19-1))*D$67+INDEX($F$72:$F$78,MIN(F$92,6)+1)+IF($C$16="Mensual fijo",$C$14/$C$7,0))</f>
        <v>12445.1418918919</v>
      </c>
      <c r="G106" s="23" t="n">
        <f aca="false">(G$92*D$51)-(MIN(G$92,$C$19-1)*D$66+MAX(0,G$92-($C$19-1))*D$67+INDEX($F$72:$F$78,MIN(G$92,6)+1)+IF($C$16="Mensual fijo",$C$14/$C$7,0))</f>
        <v>72135.8081081081</v>
      </c>
      <c r="H106" s="23" t="n">
        <f aca="false">(H$92*D$51)-(MIN(H$92,$C$19-1)*D$66+MAX(0,H$92-($C$19-1))*D$67+INDEX($F$72:$F$78,MIN(H$92,6)+1)+IF($C$16="Mensual fijo",$C$14/$C$7,0))</f>
        <v>109407.024324324</v>
      </c>
      <c r="I106" s="23" t="n">
        <f aca="false">(I$92*D$51)-(MIN(I$92,$C$19-1)*D$66+MAX(0,I$92-($C$19-1))*D$67+INDEX($F$72:$F$78,MIN(I$92,6)+1)+IF($C$16="Mensual fijo",$C$14/$C$7,0))</f>
        <v>146678.240540541</v>
      </c>
      <c r="J106" s="23" t="n">
        <f aca="false">(J$92*D$51)-(MIN(J$92,$C$19-1)*D$66+MAX(0,J$92-($C$19-1))*D$67+INDEX($F$72:$F$78,MIN(J$92,6)+1)+IF($C$16="Mensual fijo",$C$14/$C$7,0))</f>
        <v>183949.456756757</v>
      </c>
      <c r="K106" s="23" t="n">
        <f aca="false">(K$92*D$51)-(MIN(K$92,$C$19-1)*D$66+MAX(0,K$92-($C$19-1))*D$67+INDEX($F$72:$F$78,MIN(K$92,6)+1)+IF($C$16="Mensual fijo",$C$14/$C$7,0))</f>
        <v>221220.672972973</v>
      </c>
      <c r="L106" s="23" t="n">
        <f aca="false">(L$92*D$51)-(MIN(L$92,$C$19-1)*D$66+MAX(0,L$92-($C$19-1))*D$67+INDEX($F$72:$F$78,MIN(L$92,6)+1)+IF($C$16="Mensual fijo",$C$14/$C$7,0))</f>
        <v>258491.889189189</v>
      </c>
      <c r="M106" s="23" t="n">
        <f aca="false">(M$92*D$51)-(MIN(M$92,$C$19-1)*D$66+MAX(0,M$92-($C$19-1))*D$67+INDEX($F$72:$F$78,MIN(M$92,6)+1)+IF($C$16="Mensual fijo",$C$14/$C$7,0))</f>
        <v>295763.105405406</v>
      </c>
      <c r="N106" s="23" t="n">
        <f aca="false">(N$92*D$51)-(MIN(N$92,$C$19-1)*D$66+MAX(0,N$92-($C$19-1))*D$67+INDEX($F$72:$F$78,MIN(N$92,6)+1)+IF($C$16="Mensual fijo",$C$14/$C$7,0))</f>
        <v>333034.321621622</v>
      </c>
      <c r="O106" s="30" t="n">
        <f aca="false">IFERROR(INDEX($C$92:$N$92,MATCH(1,INDEX(--(C106:N106&gt;=0),0),0)),"no cruza")</f>
        <v>4</v>
      </c>
    </row>
    <row r="107" customFormat="false" ht="15" hidden="false" customHeight="false" outlineLevel="0" collapsed="false">
      <c r="B107" s="5" t="s">
        <v>176</v>
      </c>
      <c r="C107" s="23" t="n">
        <f aca="false">(C$92*E$51)-(MIN(C$92,$C$19-1)*E$66+MAX(0,C$92-($C$19-1))*E$67+INDEX($F$72:$F$78,MIN(C$92,6)+1)+IF($C$16="Mensual fijo",$C$14/$C$7,0))</f>
        <v>-189814.018918919</v>
      </c>
      <c r="D107" s="23" t="n">
        <f aca="false">(D$92*E$51)-(MIN(D$92,$C$19-1)*E$66+MAX(0,D$92-($C$19-1))*E$67+INDEX($F$72:$F$78,MIN(D$92,6)+1)+IF($C$16="Mensual fijo",$C$14/$C$7,0))</f>
        <v>-153310.514864865</v>
      </c>
      <c r="E107" s="23" t="n">
        <f aca="false">(E$92*E$51)-(MIN(E$92,$C$19-1)*E$66+MAX(0,E$92-($C$19-1))*E$67+INDEX($F$72:$F$78,MIN(E$92,6)+1)+IF($C$16="Mensual fijo",$C$14/$C$7,0))</f>
        <v>-116807.010810811</v>
      </c>
      <c r="F107" s="23" t="n">
        <f aca="false">(F$92*E$51)-(MIN(F$92,$C$19-1)*E$66+MAX(0,F$92-($C$19-1))*E$67+INDEX($F$72:$F$78,MIN(F$92,6)+1)+IF($C$16="Mensual fijo",$C$14/$C$7,0))</f>
        <v>-80303.5067567568</v>
      </c>
      <c r="G107" s="23" t="n">
        <f aca="false">(G$92*E$51)-(MIN(G$92,$C$19-1)*E$66+MAX(0,G$92-($C$19-1))*E$67+INDEX($F$72:$F$78,MIN(G$92,6)+1)+IF($C$16="Mensual fijo",$C$14/$C$7,0))</f>
        <v>-43800.0027027027</v>
      </c>
      <c r="H107" s="23" t="n">
        <f aca="false">(H$92*E$51)-(MIN(H$92,$C$19-1)*E$66+MAX(0,H$92-($C$19-1))*E$67+INDEX($F$72:$F$78,MIN(H$92,6)+1)+IF($C$16="Mensual fijo",$C$14/$C$7,0))</f>
        <v>-22830.8135135135</v>
      </c>
      <c r="I107" s="23" t="n">
        <f aca="false">(I$92*E$51)-(MIN(I$92,$C$19-1)*E$66+MAX(0,I$92-($C$19-1))*E$67+INDEX($F$72:$F$78,MIN(I$92,6)+1)+IF($C$16="Mensual fijo",$C$14/$C$7,0))</f>
        <v>-1861.62432432431</v>
      </c>
      <c r="J107" s="23" t="n">
        <f aca="false">(J$92*E$51)-(MIN(J$92,$C$19-1)*E$66+MAX(0,J$92-($C$19-1))*E$67+INDEX($F$72:$F$78,MIN(J$92,6)+1)+IF($C$16="Mensual fijo",$C$14/$C$7,0))</f>
        <v>19107.5648648649</v>
      </c>
      <c r="K107" s="23" t="n">
        <f aca="false">(K$92*E$51)-(MIN(K$92,$C$19-1)*E$66+MAX(0,K$92-($C$19-1))*E$67+INDEX($F$72:$F$78,MIN(K$92,6)+1)+IF($C$16="Mensual fijo",$C$14/$C$7,0))</f>
        <v>40076.754054054</v>
      </c>
      <c r="L107" s="23" t="n">
        <f aca="false">(L$92*E$51)-(MIN(L$92,$C$19-1)*E$66+MAX(0,L$92-($C$19-1))*E$67+INDEX($F$72:$F$78,MIN(L$92,6)+1)+IF($C$16="Mensual fijo",$C$14/$C$7,0))</f>
        <v>61045.9432432433</v>
      </c>
      <c r="M107" s="23" t="n">
        <f aca="false">(M$92*E$51)-(MIN(M$92,$C$19-1)*E$66+MAX(0,M$92-($C$19-1))*E$67+INDEX($F$72:$F$78,MIN(M$92,6)+1)+IF($C$16="Mensual fijo",$C$14/$C$7,0))</f>
        <v>82015.1324324326</v>
      </c>
      <c r="N107" s="23" t="n">
        <f aca="false">(N$92*E$51)-(MIN(N$92,$C$19-1)*E$66+MAX(0,N$92-($C$19-1))*E$67+INDEX($F$72:$F$78,MIN(N$92,6)+1)+IF($C$16="Mensual fijo",$C$14/$C$7,0))</f>
        <v>102984.321621622</v>
      </c>
      <c r="O107" s="30" t="n">
        <f aca="false">IFERROR(INDEX($C$92:$N$92,MATCH(1,INDEX(--(C107:N107&gt;=0),0),0)),"no cruza")</f>
        <v>8</v>
      </c>
    </row>
    <row r="108" customFormat="false" ht="15" hidden="false" customHeight="false" outlineLevel="0" collapsed="false">
      <c r="B108" s="5" t="s">
        <v>177</v>
      </c>
      <c r="C108" s="23" t="n">
        <f aca="false">(C$92*F$51)-(MIN(C$92,$C$19-1)*F$66+MAX(0,C$92-($C$19-1))*F$67+INDEX($F$72:$F$78,MIN(C$92,6)+1)+IF($C$16="Mensual fijo",$C$14/$C$7,0))</f>
        <v>-181934.505405405</v>
      </c>
      <c r="D108" s="23" t="n">
        <f aca="false">(D$92*F$51)-(MIN(D$92,$C$19-1)*F$66+MAX(0,D$92-($C$19-1))*F$67+INDEX($F$72:$F$78,MIN(D$92,6)+1)+IF($C$16="Mensual fijo",$C$14/$C$7,0))</f>
        <v>-137551.487837838</v>
      </c>
      <c r="E108" s="23" t="n">
        <f aca="false">(E$92*F$51)-(MIN(E$92,$C$19-1)*F$66+MAX(0,E$92-($C$19-1))*F$67+INDEX($F$72:$F$78,MIN(E$92,6)+1)+IF($C$16="Mensual fijo",$C$14/$C$7,0))</f>
        <v>-93168.4702702703</v>
      </c>
      <c r="F108" s="23" t="n">
        <f aca="false">(F$92*F$51)-(MIN(F$92,$C$19-1)*F$66+MAX(0,F$92-($C$19-1))*F$67+INDEX($F$72:$F$78,MIN(F$92,6)+1)+IF($C$16="Mensual fijo",$C$14/$C$7,0))</f>
        <v>-48785.4527027027</v>
      </c>
      <c r="G108" s="23" t="n">
        <f aca="false">(G$92*F$51)-(MIN(G$92,$C$19-1)*F$66+MAX(0,G$92-($C$19-1))*F$67+INDEX($F$72:$F$78,MIN(G$92,6)+1)+IF($C$16="Mensual fijo",$C$14/$C$7,0))</f>
        <v>-4402.43513513519</v>
      </c>
      <c r="H108" s="23" t="n">
        <f aca="false">(H$92*F$51)-(MIN(H$92,$C$19-1)*F$66+MAX(0,H$92-($C$19-1))*F$67+INDEX($F$72:$F$78,MIN(H$92,6)+1)+IF($C$16="Mensual fijo",$C$14/$C$7,0))</f>
        <v>17961.6729729729</v>
      </c>
      <c r="I108" s="23" t="n">
        <f aca="false">(I$92*F$51)-(MIN(I$92,$C$19-1)*F$66+MAX(0,I$92-($C$19-1))*F$67+INDEX($F$72:$F$78,MIN(I$92,6)+1)+IF($C$16="Mensual fijo",$C$14/$C$7,0))</f>
        <v>40325.781081081</v>
      </c>
      <c r="J108" s="23" t="n">
        <f aca="false">(J$92*F$51)-(MIN(J$92,$C$19-1)*F$66+MAX(0,J$92-($C$19-1))*F$67+INDEX($F$72:$F$78,MIN(J$92,6)+1)+IF($C$16="Mensual fijo",$C$14/$C$7,0))</f>
        <v>62689.8891891892</v>
      </c>
      <c r="K108" s="23" t="n">
        <f aca="false">(K$92*F$51)-(MIN(K$92,$C$19-1)*F$66+MAX(0,K$92-($C$19-1))*F$67+INDEX($F$72:$F$78,MIN(K$92,6)+1)+IF($C$16="Mensual fijo",$C$14/$C$7,0))</f>
        <v>85053.9972972972</v>
      </c>
      <c r="L108" s="23" t="n">
        <f aca="false">(L$92*F$51)-(MIN(L$92,$C$19-1)*F$66+MAX(0,L$92-($C$19-1))*F$67+INDEX($F$72:$F$78,MIN(L$92,6)+1)+IF($C$16="Mensual fijo",$C$14/$C$7,0))</f>
        <v>107418.105405405</v>
      </c>
      <c r="M108" s="23" t="n">
        <f aca="false">(M$92*F$51)-(MIN(M$92,$C$19-1)*F$66+MAX(0,M$92-($C$19-1))*F$67+INDEX($F$72:$F$78,MIN(M$92,6)+1)+IF($C$16="Mensual fijo",$C$14/$C$7,0))</f>
        <v>129782.213513514</v>
      </c>
      <c r="N108" s="23" t="n">
        <f aca="false">(N$92*F$51)-(MIN(N$92,$C$19-1)*F$66+MAX(0,N$92-($C$19-1))*F$67+INDEX($F$72:$F$78,MIN(N$92,6)+1)+IF($C$16="Mensual fijo",$C$14/$C$7,0))</f>
        <v>152146.321621622</v>
      </c>
      <c r="O108" s="30" t="n">
        <f aca="false">IFERROR(INDEX($C$92:$N$92,MATCH(1,INDEX(--(C108:N108&gt;=0),0),0)),"no cruza")</f>
        <v>6</v>
      </c>
    </row>
    <row r="109" customFormat="false" ht="27.75" hidden="false" customHeight="true" outlineLevel="0" collapsed="false">
      <c r="B109" s="18" t="s">
        <v>178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1" customFormat="false" ht="15" hidden="false" customHeight="false" outlineLevel="0" collapsed="false">
      <c r="B111" s="3" t="s">
        <v>179</v>
      </c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27.75" hidden="false" customHeight="true" outlineLevel="0" collapsed="false">
      <c r="B112" s="18" t="s">
        <v>180</v>
      </c>
      <c r="C112" s="18"/>
      <c r="D112" s="18"/>
      <c r="E112" s="18"/>
      <c r="F112" s="18"/>
      <c r="G112" s="18"/>
      <c r="H112" s="18"/>
      <c r="I112" s="18"/>
      <c r="J112" s="18"/>
      <c r="K112" s="18"/>
    </row>
    <row r="114" customFormat="false" ht="27.75" hidden="false" customHeight="true" outlineLevel="0" collapsed="false">
      <c r="B114" s="24" t="s">
        <v>181</v>
      </c>
      <c r="C114" s="24" t="s">
        <v>182</v>
      </c>
      <c r="D114" s="24" t="s">
        <v>183</v>
      </c>
      <c r="E114" s="24" t="s">
        <v>184</v>
      </c>
      <c r="F114" s="24" t="s">
        <v>185</v>
      </c>
      <c r="G114" s="24" t="s">
        <v>186</v>
      </c>
      <c r="H114" s="24" t="s">
        <v>187</v>
      </c>
      <c r="I114" s="24" t="s">
        <v>188</v>
      </c>
    </row>
    <row r="115" customFormat="false" ht="15" hidden="false" customHeight="false" outlineLevel="0" collapsed="false">
      <c r="B115" s="16" t="n">
        <v>1</v>
      </c>
      <c r="C115" s="31" t="n">
        <f aca="false">IF($C$31="Constante",$C$32,IF($C$31="Perfil 2024",INDEX($C$33:$M$33,MOD(B115-1,11)+1),INDEX($C$34:$K$34,MOD(B115-1,9)+1)))</f>
        <v>7</v>
      </c>
      <c r="D115" s="31" t="n">
        <f aca="false">C115*(1-$C$23)</f>
        <v>7</v>
      </c>
      <c r="E115" s="31" t="n">
        <f aca="false">D115</f>
        <v>7</v>
      </c>
      <c r="F115" s="16" t="n">
        <f aca="false">COUNTIF($E$157:$E$216,B115)</f>
        <v>7</v>
      </c>
      <c r="G115" s="23" t="n">
        <f aca="false">IF(F115=0,0,INDEX($E$72:$E$78,MIN(F115,6)+1))</f>
        <v>0</v>
      </c>
      <c r="H115" s="23" t="n">
        <f aca="false">IF(F115=0,0,INDEX($F$72:$F$78,MIN(F115,6)+1))</f>
        <v>0</v>
      </c>
      <c r="I115" s="23" t="n">
        <f aca="false">IF(AND($C$16="Mensual fijo",F115&gt;0),$C$14/$C$7,0)</f>
        <v>0</v>
      </c>
    </row>
    <row r="116" customFormat="false" ht="15" hidden="false" customHeight="false" outlineLevel="0" collapsed="false">
      <c r="B116" s="16" t="n">
        <v>2</v>
      </c>
      <c r="C116" s="31" t="n">
        <f aca="false">IF($C$31="Constante",$C$32,IF($C$31="Perfil 2024",INDEX($C$33:$M$33,MOD(B116-1,11)+1),INDEX($C$34:$K$34,MOD(B116-1,9)+1)))</f>
        <v>8</v>
      </c>
      <c r="D116" s="31" t="n">
        <f aca="false">C116*(1-$C$23)</f>
        <v>8</v>
      </c>
      <c r="E116" s="31" t="n">
        <f aca="false">E115+D116</f>
        <v>15</v>
      </c>
      <c r="F116" s="16" t="n">
        <f aca="false">COUNTIF($E$157:$E$216,B116)</f>
        <v>8</v>
      </c>
      <c r="G116" s="23" t="n">
        <f aca="false">IF(F116=0,0,INDEX($E$72:$E$78,MIN(F116,6)+1))</f>
        <v>0</v>
      </c>
      <c r="H116" s="23" t="n">
        <f aca="false">IF(F116=0,0,INDEX($F$72:$F$78,MIN(F116,6)+1))</f>
        <v>0</v>
      </c>
      <c r="I116" s="23" t="n">
        <f aca="false">IF(AND($C$16="Mensual fijo",F116&gt;0),$C$14/$C$7,0)</f>
        <v>0</v>
      </c>
    </row>
    <row r="117" customFormat="false" ht="15" hidden="false" customHeight="false" outlineLevel="0" collapsed="false">
      <c r="B117" s="16" t="n">
        <v>3</v>
      </c>
      <c r="C117" s="31" t="n">
        <f aca="false">IF($C$31="Constante",$C$32,IF($C$31="Perfil 2024",INDEX($C$33:$M$33,MOD(B117-1,11)+1),INDEX($C$34:$K$34,MOD(B117-1,9)+1)))</f>
        <v>7</v>
      </c>
      <c r="D117" s="31" t="n">
        <f aca="false">C117*(1-$C$23)</f>
        <v>7</v>
      </c>
      <c r="E117" s="31" t="n">
        <f aca="false">E116+D117</f>
        <v>22</v>
      </c>
      <c r="F117" s="16" t="n">
        <f aca="false">COUNTIF($E$157:$E$216,B117)</f>
        <v>7</v>
      </c>
      <c r="G117" s="23" t="n">
        <f aca="false">IF(F117=0,0,INDEX($E$72:$E$78,MIN(F117,6)+1))</f>
        <v>0</v>
      </c>
      <c r="H117" s="23" t="n">
        <f aca="false">IF(F117=0,0,INDEX($F$72:$F$78,MIN(F117,6)+1))</f>
        <v>0</v>
      </c>
      <c r="I117" s="23" t="n">
        <f aca="false">IF(AND($C$16="Mensual fijo",F117&gt;0),$C$14/$C$7,0)</f>
        <v>0</v>
      </c>
    </row>
    <row r="118" customFormat="false" ht="15" hidden="false" customHeight="false" outlineLevel="0" collapsed="false">
      <c r="B118" s="16" t="n">
        <v>4</v>
      </c>
      <c r="C118" s="31" t="n">
        <f aca="false">IF($C$31="Constante",$C$32,IF($C$31="Perfil 2024",INDEX($C$33:$M$33,MOD(B118-1,11)+1),INDEX($C$34:$K$34,MOD(B118-1,9)+1)))</f>
        <v>7</v>
      </c>
      <c r="D118" s="31" t="n">
        <f aca="false">C118*(1-$C$23)</f>
        <v>7</v>
      </c>
      <c r="E118" s="31" t="n">
        <f aca="false">E117+D118</f>
        <v>29</v>
      </c>
      <c r="F118" s="16" t="n">
        <f aca="false">COUNTIF($E$157:$E$216,B118)</f>
        <v>7</v>
      </c>
      <c r="G118" s="23" t="n">
        <f aca="false">IF(F118=0,0,INDEX($E$72:$E$78,MIN(F118,6)+1))</f>
        <v>0</v>
      </c>
      <c r="H118" s="23" t="n">
        <f aca="false">IF(F118=0,0,INDEX($F$72:$F$78,MIN(F118,6)+1))</f>
        <v>0</v>
      </c>
      <c r="I118" s="23" t="n">
        <f aca="false">IF(AND($C$16="Mensual fijo",F118&gt;0),$C$14/$C$7,0)</f>
        <v>0</v>
      </c>
    </row>
    <row r="119" customFormat="false" ht="15" hidden="false" customHeight="false" outlineLevel="0" collapsed="false">
      <c r="B119" s="16" t="n">
        <v>5</v>
      </c>
      <c r="C119" s="31" t="n">
        <f aca="false">IF($C$31="Constante",$C$32,IF($C$31="Perfil 2024",INDEX($C$33:$M$33,MOD(B119-1,11)+1),INDEX($C$34:$K$34,MOD(B119-1,9)+1)))</f>
        <v>7</v>
      </c>
      <c r="D119" s="31" t="n">
        <f aca="false">C119*(1-$C$23)</f>
        <v>7</v>
      </c>
      <c r="E119" s="31" t="n">
        <f aca="false">E118+D119</f>
        <v>36</v>
      </c>
      <c r="F119" s="16" t="n">
        <f aca="false">COUNTIF($E$157:$E$216,B119)</f>
        <v>6</v>
      </c>
      <c r="G119" s="23" t="n">
        <f aca="false">IF(F119=0,0,INDEX($E$72:$E$78,MIN(F119,6)+1))</f>
        <v>0</v>
      </c>
      <c r="H119" s="23" t="n">
        <f aca="false">IF(F119=0,0,INDEX($F$72:$F$78,MIN(F119,6)+1))</f>
        <v>0</v>
      </c>
      <c r="I119" s="23" t="n">
        <f aca="false">IF(AND($C$16="Mensual fijo",F119&gt;0),$C$14/$C$7,0)</f>
        <v>0</v>
      </c>
    </row>
    <row r="120" customFormat="false" ht="15" hidden="false" customHeight="false" outlineLevel="0" collapsed="false">
      <c r="B120" s="16" t="n">
        <v>6</v>
      </c>
      <c r="C120" s="31" t="n">
        <f aca="false">IF($C$31="Constante",$C$32,IF($C$31="Perfil 2024",INDEX($C$33:$M$33,MOD(B120-1,11)+1),INDEX($C$34:$K$34,MOD(B120-1,9)+1)))</f>
        <v>9</v>
      </c>
      <c r="D120" s="31" t="n">
        <f aca="false">C120*(1-$C$23)</f>
        <v>9</v>
      </c>
      <c r="E120" s="31" t="n">
        <f aca="false">E119+D120</f>
        <v>45</v>
      </c>
      <c r="F120" s="16" t="n">
        <f aca="false">COUNTIF($E$157:$E$216,B120)</f>
        <v>0</v>
      </c>
      <c r="G120" s="23" t="n">
        <f aca="false">IF(F120=0,0,INDEX($E$72:$E$78,MIN(F120,6)+1))</f>
        <v>0</v>
      </c>
      <c r="H120" s="23" t="n">
        <f aca="false">IF(F120=0,0,INDEX($F$72:$F$78,MIN(F120,6)+1))</f>
        <v>0</v>
      </c>
      <c r="I120" s="23" t="n">
        <f aca="false">IF(AND($C$16="Mensual fijo",F120&gt;0),$C$14/$C$7,0)</f>
        <v>0</v>
      </c>
    </row>
    <row r="121" customFormat="false" ht="15" hidden="false" customHeight="false" outlineLevel="0" collapsed="false">
      <c r="B121" s="16" t="n">
        <v>7</v>
      </c>
      <c r="C121" s="31" t="n">
        <f aca="false">IF($C$31="Constante",$C$32,IF($C$31="Perfil 2024",INDEX($C$33:$M$33,MOD(B121-1,11)+1),INDEX($C$34:$K$34,MOD(B121-1,9)+1)))</f>
        <v>7</v>
      </c>
      <c r="D121" s="31" t="n">
        <f aca="false">C121*(1-$C$23)</f>
        <v>7</v>
      </c>
      <c r="E121" s="31" t="n">
        <f aca="false">E120+D121</f>
        <v>52</v>
      </c>
      <c r="F121" s="16" t="n">
        <f aca="false">COUNTIF($E$157:$E$216,B121)</f>
        <v>0</v>
      </c>
      <c r="G121" s="23" t="n">
        <f aca="false">IF(F121=0,0,INDEX($E$72:$E$78,MIN(F121,6)+1))</f>
        <v>0</v>
      </c>
      <c r="H121" s="23" t="n">
        <f aca="false">IF(F121=0,0,INDEX($F$72:$F$78,MIN(F121,6)+1))</f>
        <v>0</v>
      </c>
      <c r="I121" s="23" t="n">
        <f aca="false">IF(AND($C$16="Mensual fijo",F121&gt;0),$C$14/$C$7,0)</f>
        <v>0</v>
      </c>
    </row>
    <row r="122" customFormat="false" ht="15" hidden="false" customHeight="false" outlineLevel="0" collapsed="false">
      <c r="B122" s="16" t="n">
        <v>8</v>
      </c>
      <c r="C122" s="31" t="n">
        <f aca="false">IF($C$31="Constante",$C$32,IF($C$31="Perfil 2024",INDEX($C$33:$M$33,MOD(B122-1,11)+1),INDEX($C$34:$K$34,MOD(B122-1,9)+1)))</f>
        <v>3</v>
      </c>
      <c r="D122" s="31" t="n">
        <f aca="false">C122*(1-$C$23)</f>
        <v>3</v>
      </c>
      <c r="E122" s="31" t="n">
        <f aca="false">E121+D122</f>
        <v>55</v>
      </c>
      <c r="F122" s="16" t="n">
        <f aca="false">COUNTIF($E$157:$E$216,B122)</f>
        <v>0</v>
      </c>
      <c r="G122" s="23" t="n">
        <f aca="false">IF(F122=0,0,INDEX($E$72:$E$78,MIN(F122,6)+1))</f>
        <v>0</v>
      </c>
      <c r="H122" s="23" t="n">
        <f aca="false">IF(F122=0,0,INDEX($F$72:$F$78,MIN(F122,6)+1))</f>
        <v>0</v>
      </c>
      <c r="I122" s="23" t="n">
        <f aca="false">IF(AND($C$16="Mensual fijo",F122&gt;0),$C$14/$C$7,0)</f>
        <v>0</v>
      </c>
    </row>
    <row r="123" customFormat="false" ht="15" hidden="false" customHeight="false" outlineLevel="0" collapsed="false">
      <c r="B123" s="16" t="n">
        <v>9</v>
      </c>
      <c r="C123" s="31" t="n">
        <f aca="false">IF($C$31="Constante",$C$32,IF($C$31="Perfil 2024",INDEX($C$33:$M$33,MOD(B123-1,11)+1),INDEX($C$34:$K$34,MOD(B123-1,9)+1)))</f>
        <v>6</v>
      </c>
      <c r="D123" s="31" t="n">
        <f aca="false">C123*(1-$C$23)</f>
        <v>6</v>
      </c>
      <c r="E123" s="31" t="n">
        <f aca="false">E122+D123</f>
        <v>61</v>
      </c>
      <c r="F123" s="16" t="n">
        <f aca="false">COUNTIF($E$157:$E$216,B123)</f>
        <v>0</v>
      </c>
      <c r="G123" s="23" t="n">
        <f aca="false">IF(F123=0,0,INDEX($E$72:$E$78,MIN(F123,6)+1))</f>
        <v>0</v>
      </c>
      <c r="H123" s="23" t="n">
        <f aca="false">IF(F123=0,0,INDEX($F$72:$F$78,MIN(F123,6)+1))</f>
        <v>0</v>
      </c>
      <c r="I123" s="23" t="n">
        <f aca="false">IF(AND($C$16="Mensual fijo",F123&gt;0),$C$14/$C$7,0)</f>
        <v>0</v>
      </c>
    </row>
    <row r="124" customFormat="false" ht="15" hidden="false" customHeight="false" outlineLevel="0" collapsed="false">
      <c r="B124" s="16" t="n">
        <v>10</v>
      </c>
      <c r="C124" s="31" t="n">
        <f aca="false">IF($C$31="Constante",$C$32,IF($C$31="Perfil 2024",INDEX($C$33:$M$33,MOD(B124-1,11)+1),INDEX($C$34:$K$34,MOD(B124-1,9)+1)))</f>
        <v>6</v>
      </c>
      <c r="D124" s="31" t="n">
        <f aca="false">C124*(1-$C$23)</f>
        <v>6</v>
      </c>
      <c r="E124" s="31" t="n">
        <f aca="false">E123+D124</f>
        <v>67</v>
      </c>
      <c r="F124" s="16" t="n">
        <f aca="false">COUNTIF($E$157:$E$216,B124)</f>
        <v>0</v>
      </c>
      <c r="G124" s="23" t="n">
        <f aca="false">IF(F124=0,0,INDEX($E$72:$E$78,MIN(F124,6)+1))</f>
        <v>0</v>
      </c>
      <c r="H124" s="23" t="n">
        <f aca="false">IF(F124=0,0,INDEX($F$72:$F$78,MIN(F124,6)+1))</f>
        <v>0</v>
      </c>
      <c r="I124" s="23" t="n">
        <f aca="false">IF(AND($C$16="Mensual fijo",F124&gt;0),$C$14/$C$7,0)</f>
        <v>0</v>
      </c>
    </row>
    <row r="125" customFormat="false" ht="15" hidden="false" customHeight="false" outlineLevel="0" collapsed="false">
      <c r="B125" s="16" t="n">
        <v>11</v>
      </c>
      <c r="C125" s="31" t="n">
        <f aca="false">IF($C$31="Constante",$C$32,IF($C$31="Perfil 2024",INDEX($C$33:$M$33,MOD(B125-1,11)+1),INDEX($C$34:$K$34,MOD(B125-1,9)+1)))</f>
        <v>3</v>
      </c>
      <c r="D125" s="31" t="n">
        <f aca="false">C125*(1-$C$23)</f>
        <v>3</v>
      </c>
      <c r="E125" s="31" t="n">
        <f aca="false">E124+D125</f>
        <v>70</v>
      </c>
      <c r="F125" s="16" t="n">
        <f aca="false">COUNTIF($E$157:$E$216,B125)</f>
        <v>0</v>
      </c>
      <c r="G125" s="23" t="n">
        <f aca="false">IF(F125=0,0,INDEX($E$72:$E$78,MIN(F125,6)+1))</f>
        <v>0</v>
      </c>
      <c r="H125" s="23" t="n">
        <f aca="false">IF(F125=0,0,INDEX($F$72:$F$78,MIN(F125,6)+1))</f>
        <v>0</v>
      </c>
      <c r="I125" s="23" t="n">
        <f aca="false">IF(AND($C$16="Mensual fijo",F125&gt;0),$C$14/$C$7,0)</f>
        <v>0</v>
      </c>
    </row>
    <row r="126" customFormat="false" ht="15" hidden="false" customHeight="false" outlineLevel="0" collapsed="false">
      <c r="B126" s="16" t="n">
        <v>12</v>
      </c>
      <c r="C126" s="31" t="n">
        <f aca="false">IF($C$31="Constante",$C$32,IF($C$31="Perfil 2024",INDEX($C$33:$M$33,MOD(B126-1,11)+1),INDEX($C$34:$K$34,MOD(B126-1,9)+1)))</f>
        <v>7</v>
      </c>
      <c r="D126" s="31" t="n">
        <f aca="false">C126*(1-$C$23)</f>
        <v>7</v>
      </c>
      <c r="E126" s="31" t="n">
        <f aca="false">E125+D126</f>
        <v>77</v>
      </c>
      <c r="F126" s="16" t="n">
        <f aca="false">COUNTIF($E$157:$E$216,B126)</f>
        <v>0</v>
      </c>
      <c r="G126" s="23" t="n">
        <f aca="false">IF(F126=0,0,INDEX($E$72:$E$78,MIN(F126,6)+1))</f>
        <v>0</v>
      </c>
      <c r="H126" s="23" t="n">
        <f aca="false">IF(F126=0,0,INDEX($F$72:$F$78,MIN(F126,6)+1))</f>
        <v>0</v>
      </c>
      <c r="I126" s="23" t="n">
        <f aca="false">IF(AND($C$16="Mensual fijo",F126&gt;0),$C$14/$C$7,0)</f>
        <v>0</v>
      </c>
    </row>
    <row r="127" customFormat="false" ht="15" hidden="false" customHeight="false" outlineLevel="0" collapsed="false">
      <c r="B127" s="16" t="n">
        <v>13</v>
      </c>
      <c r="C127" s="31" t="n">
        <f aca="false">IF($C$31="Constante",$C$32,IF($C$31="Perfil 2024",INDEX($C$33:$M$33,MOD(B127-1,11)+1),INDEX($C$34:$K$34,MOD(B127-1,9)+1)))</f>
        <v>8</v>
      </c>
      <c r="D127" s="31" t="n">
        <f aca="false">C127*(1-$C$23)</f>
        <v>8</v>
      </c>
      <c r="E127" s="31" t="n">
        <f aca="false">E126+D127</f>
        <v>85</v>
      </c>
      <c r="F127" s="16" t="n">
        <f aca="false">COUNTIF($E$157:$E$216,B127)</f>
        <v>0</v>
      </c>
      <c r="G127" s="23" t="n">
        <f aca="false">IF(F127=0,0,INDEX($E$72:$E$78,MIN(F127,6)+1))</f>
        <v>0</v>
      </c>
      <c r="H127" s="23" t="n">
        <f aca="false">IF(F127=0,0,INDEX($F$72:$F$78,MIN(F127,6)+1))</f>
        <v>0</v>
      </c>
      <c r="I127" s="23" t="n">
        <f aca="false">IF(AND($C$16="Mensual fijo",F127&gt;0),$C$14/$C$7,0)</f>
        <v>0</v>
      </c>
    </row>
    <row r="128" customFormat="false" ht="15" hidden="false" customHeight="false" outlineLevel="0" collapsed="false">
      <c r="B128" s="16" t="n">
        <v>14</v>
      </c>
      <c r="C128" s="31" t="n">
        <f aca="false">IF($C$31="Constante",$C$32,IF($C$31="Perfil 2024",INDEX($C$33:$M$33,MOD(B128-1,11)+1),INDEX($C$34:$K$34,MOD(B128-1,9)+1)))</f>
        <v>7</v>
      </c>
      <c r="D128" s="31" t="n">
        <f aca="false">C128*(1-$C$23)</f>
        <v>7</v>
      </c>
      <c r="E128" s="31" t="n">
        <f aca="false">E127+D128</f>
        <v>92</v>
      </c>
      <c r="F128" s="16" t="n">
        <f aca="false">COUNTIF($E$157:$E$216,B128)</f>
        <v>0</v>
      </c>
      <c r="G128" s="23" t="n">
        <f aca="false">IF(F128=0,0,INDEX($E$72:$E$78,MIN(F128,6)+1))</f>
        <v>0</v>
      </c>
      <c r="H128" s="23" t="n">
        <f aca="false">IF(F128=0,0,INDEX($F$72:$F$78,MIN(F128,6)+1))</f>
        <v>0</v>
      </c>
      <c r="I128" s="23" t="n">
        <f aca="false">IF(AND($C$16="Mensual fijo",F128&gt;0),$C$14/$C$7,0)</f>
        <v>0</v>
      </c>
    </row>
    <row r="129" customFormat="false" ht="15" hidden="false" customHeight="false" outlineLevel="0" collapsed="false">
      <c r="B129" s="16" t="n">
        <v>15</v>
      </c>
      <c r="C129" s="31" t="n">
        <f aca="false">IF($C$31="Constante",$C$32,IF($C$31="Perfil 2024",INDEX($C$33:$M$33,MOD(B129-1,11)+1),INDEX($C$34:$K$34,MOD(B129-1,9)+1)))</f>
        <v>7</v>
      </c>
      <c r="D129" s="31" t="n">
        <f aca="false">C129*(1-$C$23)</f>
        <v>7</v>
      </c>
      <c r="E129" s="31" t="n">
        <f aca="false">E128+D129</f>
        <v>99</v>
      </c>
      <c r="F129" s="16" t="n">
        <f aca="false">COUNTIF($E$157:$E$216,B129)</f>
        <v>0</v>
      </c>
      <c r="G129" s="23" t="n">
        <f aca="false">IF(F129=0,0,INDEX($E$72:$E$78,MIN(F129,6)+1))</f>
        <v>0</v>
      </c>
      <c r="H129" s="23" t="n">
        <f aca="false">IF(F129=0,0,INDEX($F$72:$F$78,MIN(F129,6)+1))</f>
        <v>0</v>
      </c>
      <c r="I129" s="23" t="n">
        <f aca="false">IF(AND($C$16="Mensual fijo",F129&gt;0),$C$14/$C$7,0)</f>
        <v>0</v>
      </c>
    </row>
    <row r="130" customFormat="false" ht="15" hidden="false" customHeight="false" outlineLevel="0" collapsed="false">
      <c r="B130" s="16" t="n">
        <v>16</v>
      </c>
      <c r="C130" s="31" t="n">
        <f aca="false">IF($C$31="Constante",$C$32,IF($C$31="Perfil 2024",INDEX($C$33:$M$33,MOD(B130-1,11)+1),INDEX($C$34:$K$34,MOD(B130-1,9)+1)))</f>
        <v>7</v>
      </c>
      <c r="D130" s="31" t="n">
        <f aca="false">C130*(1-$C$23)</f>
        <v>7</v>
      </c>
      <c r="E130" s="31" t="n">
        <f aca="false">E129+D130</f>
        <v>106</v>
      </c>
      <c r="F130" s="16" t="n">
        <f aca="false">COUNTIF($E$157:$E$216,B130)</f>
        <v>0</v>
      </c>
      <c r="G130" s="23" t="n">
        <f aca="false">IF(F130=0,0,INDEX($E$72:$E$78,MIN(F130,6)+1))</f>
        <v>0</v>
      </c>
      <c r="H130" s="23" t="n">
        <f aca="false">IF(F130=0,0,INDEX($F$72:$F$78,MIN(F130,6)+1))</f>
        <v>0</v>
      </c>
      <c r="I130" s="23" t="n">
        <f aca="false">IF(AND($C$16="Mensual fijo",F130&gt;0),$C$14/$C$7,0)</f>
        <v>0</v>
      </c>
    </row>
    <row r="131" customFormat="false" ht="15" hidden="false" customHeight="false" outlineLevel="0" collapsed="false">
      <c r="B131" s="16" t="n">
        <v>17</v>
      </c>
      <c r="C131" s="31" t="n">
        <f aca="false">IF($C$31="Constante",$C$32,IF($C$31="Perfil 2024",INDEX($C$33:$M$33,MOD(B131-1,11)+1),INDEX($C$34:$K$34,MOD(B131-1,9)+1)))</f>
        <v>9</v>
      </c>
      <c r="D131" s="31" t="n">
        <f aca="false">C131*(1-$C$23)</f>
        <v>9</v>
      </c>
      <c r="E131" s="31" t="n">
        <f aca="false">E130+D131</f>
        <v>115</v>
      </c>
      <c r="F131" s="16" t="n">
        <f aca="false">COUNTIF($E$157:$E$216,B131)</f>
        <v>0</v>
      </c>
      <c r="G131" s="23" t="n">
        <f aca="false">IF(F131=0,0,INDEX($E$72:$E$78,MIN(F131,6)+1))</f>
        <v>0</v>
      </c>
      <c r="H131" s="23" t="n">
        <f aca="false">IF(F131=0,0,INDEX($F$72:$F$78,MIN(F131,6)+1))</f>
        <v>0</v>
      </c>
      <c r="I131" s="23" t="n">
        <f aca="false">IF(AND($C$16="Mensual fijo",F131&gt;0),$C$14/$C$7,0)</f>
        <v>0</v>
      </c>
    </row>
    <row r="132" customFormat="false" ht="15" hidden="false" customHeight="false" outlineLevel="0" collapsed="false">
      <c r="B132" s="16" t="n">
        <v>18</v>
      </c>
      <c r="C132" s="31" t="n">
        <f aca="false">IF($C$31="Constante",$C$32,IF($C$31="Perfil 2024",INDEX($C$33:$M$33,MOD(B132-1,11)+1),INDEX($C$34:$K$34,MOD(B132-1,9)+1)))</f>
        <v>7</v>
      </c>
      <c r="D132" s="31" t="n">
        <f aca="false">C132*(1-$C$23)</f>
        <v>7</v>
      </c>
      <c r="E132" s="31" t="n">
        <f aca="false">E131+D132</f>
        <v>122</v>
      </c>
      <c r="F132" s="16" t="n">
        <f aca="false">COUNTIF($E$157:$E$216,B132)</f>
        <v>0</v>
      </c>
      <c r="G132" s="23" t="n">
        <f aca="false">IF(F132=0,0,INDEX($E$72:$E$78,MIN(F132,6)+1))</f>
        <v>0</v>
      </c>
      <c r="H132" s="23" t="n">
        <f aca="false">IF(F132=0,0,INDEX($F$72:$F$78,MIN(F132,6)+1))</f>
        <v>0</v>
      </c>
      <c r="I132" s="23" t="n">
        <f aca="false">IF(AND($C$16="Mensual fijo",F132&gt;0),$C$14/$C$7,0)</f>
        <v>0</v>
      </c>
    </row>
    <row r="133" customFormat="false" ht="15" hidden="false" customHeight="false" outlineLevel="0" collapsed="false">
      <c r="B133" s="16" t="n">
        <v>19</v>
      </c>
      <c r="C133" s="31" t="n">
        <f aca="false">IF($C$31="Constante",$C$32,IF($C$31="Perfil 2024",INDEX($C$33:$M$33,MOD(B133-1,11)+1),INDEX($C$34:$K$34,MOD(B133-1,9)+1)))</f>
        <v>3</v>
      </c>
      <c r="D133" s="31" t="n">
        <f aca="false">C133*(1-$C$23)</f>
        <v>3</v>
      </c>
      <c r="E133" s="31" t="n">
        <f aca="false">E132+D133</f>
        <v>125</v>
      </c>
      <c r="F133" s="16" t="n">
        <f aca="false">COUNTIF($E$157:$E$216,B133)</f>
        <v>0</v>
      </c>
      <c r="G133" s="23" t="n">
        <f aca="false">IF(F133=0,0,INDEX($E$72:$E$78,MIN(F133,6)+1))</f>
        <v>0</v>
      </c>
      <c r="H133" s="23" t="n">
        <f aca="false">IF(F133=0,0,INDEX($F$72:$F$78,MIN(F133,6)+1))</f>
        <v>0</v>
      </c>
      <c r="I133" s="23" t="n">
        <f aca="false">IF(AND($C$16="Mensual fijo",F133&gt;0),$C$14/$C$7,0)</f>
        <v>0</v>
      </c>
    </row>
    <row r="134" customFormat="false" ht="15" hidden="false" customHeight="false" outlineLevel="0" collapsed="false">
      <c r="B134" s="16" t="n">
        <v>20</v>
      </c>
      <c r="C134" s="31" t="n">
        <f aca="false">IF($C$31="Constante",$C$32,IF($C$31="Perfil 2024",INDEX($C$33:$M$33,MOD(B134-1,11)+1),INDEX($C$34:$K$34,MOD(B134-1,9)+1)))</f>
        <v>6</v>
      </c>
      <c r="D134" s="31" t="n">
        <f aca="false">C134*(1-$C$23)</f>
        <v>6</v>
      </c>
      <c r="E134" s="31" t="n">
        <f aca="false">E133+D134</f>
        <v>131</v>
      </c>
      <c r="F134" s="16" t="n">
        <f aca="false">COUNTIF($E$157:$E$216,B134)</f>
        <v>0</v>
      </c>
      <c r="G134" s="23" t="n">
        <f aca="false">IF(F134=0,0,INDEX($E$72:$E$78,MIN(F134,6)+1))</f>
        <v>0</v>
      </c>
      <c r="H134" s="23" t="n">
        <f aca="false">IF(F134=0,0,INDEX($F$72:$F$78,MIN(F134,6)+1))</f>
        <v>0</v>
      </c>
      <c r="I134" s="23" t="n">
        <f aca="false">IF(AND($C$16="Mensual fijo",F134&gt;0),$C$14/$C$7,0)</f>
        <v>0</v>
      </c>
    </row>
    <row r="135" customFormat="false" ht="15" hidden="false" customHeight="false" outlineLevel="0" collapsed="false">
      <c r="B135" s="16" t="n">
        <v>21</v>
      </c>
      <c r="C135" s="31" t="n">
        <f aca="false">IF($C$31="Constante",$C$32,IF($C$31="Perfil 2024",INDEX($C$33:$M$33,MOD(B135-1,11)+1),INDEX($C$34:$K$34,MOD(B135-1,9)+1)))</f>
        <v>6</v>
      </c>
      <c r="D135" s="31" t="n">
        <f aca="false">C135*(1-$C$23)</f>
        <v>6</v>
      </c>
      <c r="E135" s="31" t="n">
        <f aca="false">E134+D135</f>
        <v>137</v>
      </c>
      <c r="F135" s="16" t="n">
        <f aca="false">COUNTIF($E$157:$E$216,B135)</f>
        <v>0</v>
      </c>
      <c r="G135" s="23" t="n">
        <f aca="false">IF(F135=0,0,INDEX($E$72:$E$78,MIN(F135,6)+1))</f>
        <v>0</v>
      </c>
      <c r="H135" s="23" t="n">
        <f aca="false">IF(F135=0,0,INDEX($F$72:$F$78,MIN(F135,6)+1))</f>
        <v>0</v>
      </c>
      <c r="I135" s="23" t="n">
        <f aca="false">IF(AND($C$16="Mensual fijo",F135&gt;0),$C$14/$C$7,0)</f>
        <v>0</v>
      </c>
    </row>
    <row r="136" customFormat="false" ht="15" hidden="false" customHeight="false" outlineLevel="0" collapsed="false">
      <c r="B136" s="16" t="n">
        <v>22</v>
      </c>
      <c r="C136" s="31" t="n">
        <f aca="false">IF($C$31="Constante",$C$32,IF($C$31="Perfil 2024",INDEX($C$33:$M$33,MOD(B136-1,11)+1),INDEX($C$34:$K$34,MOD(B136-1,9)+1)))</f>
        <v>3</v>
      </c>
      <c r="D136" s="31" t="n">
        <f aca="false">C136*(1-$C$23)</f>
        <v>3</v>
      </c>
      <c r="E136" s="31" t="n">
        <f aca="false">E135+D136</f>
        <v>140</v>
      </c>
      <c r="F136" s="16" t="n">
        <f aca="false">COUNTIF($E$157:$E$216,B136)</f>
        <v>0</v>
      </c>
      <c r="G136" s="23" t="n">
        <f aca="false">IF(F136=0,0,INDEX($E$72:$E$78,MIN(F136,6)+1))</f>
        <v>0</v>
      </c>
      <c r="H136" s="23" t="n">
        <f aca="false">IF(F136=0,0,INDEX($F$72:$F$78,MIN(F136,6)+1))</f>
        <v>0</v>
      </c>
      <c r="I136" s="23" t="n">
        <f aca="false">IF(AND($C$16="Mensual fijo",F136&gt;0),$C$14/$C$7,0)</f>
        <v>0</v>
      </c>
    </row>
    <row r="137" customFormat="false" ht="15" hidden="false" customHeight="false" outlineLevel="0" collapsed="false">
      <c r="B137" s="16" t="n">
        <v>23</v>
      </c>
      <c r="C137" s="31" t="n">
        <f aca="false">IF($C$31="Constante",$C$32,IF($C$31="Perfil 2024",INDEX($C$33:$M$33,MOD(B137-1,11)+1),INDEX($C$34:$K$34,MOD(B137-1,9)+1)))</f>
        <v>7</v>
      </c>
      <c r="D137" s="31" t="n">
        <f aca="false">C137*(1-$C$23)</f>
        <v>7</v>
      </c>
      <c r="E137" s="31" t="n">
        <f aca="false">E136+D137</f>
        <v>147</v>
      </c>
      <c r="F137" s="16" t="n">
        <f aca="false">COUNTIF($E$157:$E$216,B137)</f>
        <v>0</v>
      </c>
      <c r="G137" s="23" t="n">
        <f aca="false">IF(F137=0,0,INDEX($E$72:$E$78,MIN(F137,6)+1))</f>
        <v>0</v>
      </c>
      <c r="H137" s="23" t="n">
        <f aca="false">IF(F137=0,0,INDEX($F$72:$F$78,MIN(F137,6)+1))</f>
        <v>0</v>
      </c>
      <c r="I137" s="23" t="n">
        <f aca="false">IF(AND($C$16="Mensual fijo",F137&gt;0),$C$14/$C$7,0)</f>
        <v>0</v>
      </c>
    </row>
    <row r="138" customFormat="false" ht="15" hidden="false" customHeight="false" outlineLevel="0" collapsed="false">
      <c r="B138" s="16" t="n">
        <v>24</v>
      </c>
      <c r="C138" s="31" t="n">
        <f aca="false">IF($C$31="Constante",$C$32,IF($C$31="Perfil 2024",INDEX($C$33:$M$33,MOD(B138-1,11)+1),INDEX($C$34:$K$34,MOD(B138-1,9)+1)))</f>
        <v>8</v>
      </c>
      <c r="D138" s="31" t="n">
        <f aca="false">C138*(1-$C$23)</f>
        <v>8</v>
      </c>
      <c r="E138" s="31" t="n">
        <f aca="false">E137+D138</f>
        <v>155</v>
      </c>
      <c r="F138" s="16" t="n">
        <f aca="false">COUNTIF($E$157:$E$216,B138)</f>
        <v>0</v>
      </c>
      <c r="G138" s="23" t="n">
        <f aca="false">IF(F138=0,0,INDEX($E$72:$E$78,MIN(F138,6)+1))</f>
        <v>0</v>
      </c>
      <c r="H138" s="23" t="n">
        <f aca="false">IF(F138=0,0,INDEX($F$72:$F$78,MIN(F138,6)+1))</f>
        <v>0</v>
      </c>
      <c r="I138" s="23" t="n">
        <f aca="false">IF(AND($C$16="Mensual fijo",F138&gt;0),$C$14/$C$7,0)</f>
        <v>0</v>
      </c>
    </row>
    <row r="139" customFormat="false" ht="15" hidden="false" customHeight="false" outlineLevel="0" collapsed="false">
      <c r="B139" s="16" t="n">
        <v>25</v>
      </c>
      <c r="C139" s="31" t="n">
        <f aca="false">IF($C$31="Constante",$C$32,IF($C$31="Perfil 2024",INDEX($C$33:$M$33,MOD(B139-1,11)+1),INDEX($C$34:$K$34,MOD(B139-1,9)+1)))</f>
        <v>7</v>
      </c>
      <c r="D139" s="31" t="n">
        <f aca="false">C139*(1-$C$23)</f>
        <v>7</v>
      </c>
      <c r="E139" s="31" t="n">
        <f aca="false">E138+D139</f>
        <v>162</v>
      </c>
      <c r="F139" s="16" t="n">
        <f aca="false">COUNTIF($E$157:$E$216,B139)</f>
        <v>0</v>
      </c>
      <c r="G139" s="23" t="n">
        <f aca="false">IF(F139=0,0,INDEX($E$72:$E$78,MIN(F139,6)+1))</f>
        <v>0</v>
      </c>
      <c r="H139" s="23" t="n">
        <f aca="false">IF(F139=0,0,INDEX($F$72:$F$78,MIN(F139,6)+1))</f>
        <v>0</v>
      </c>
      <c r="I139" s="23" t="n">
        <f aca="false">IF(AND($C$16="Mensual fijo",F139&gt;0),$C$14/$C$7,0)</f>
        <v>0</v>
      </c>
    </row>
    <row r="140" customFormat="false" ht="15" hidden="false" customHeight="false" outlineLevel="0" collapsed="false">
      <c r="B140" s="16" t="n">
        <v>26</v>
      </c>
      <c r="C140" s="31" t="n">
        <f aca="false">IF($C$31="Constante",$C$32,IF($C$31="Perfil 2024",INDEX($C$33:$M$33,MOD(B140-1,11)+1),INDEX($C$34:$K$34,MOD(B140-1,9)+1)))</f>
        <v>7</v>
      </c>
      <c r="D140" s="31" t="n">
        <f aca="false">C140*(1-$C$23)</f>
        <v>7</v>
      </c>
      <c r="E140" s="31" t="n">
        <f aca="false">E139+D140</f>
        <v>169</v>
      </c>
      <c r="F140" s="16" t="n">
        <f aca="false">COUNTIF($E$157:$E$216,B140)</f>
        <v>0</v>
      </c>
      <c r="G140" s="23" t="n">
        <f aca="false">IF(F140=0,0,INDEX($E$72:$E$78,MIN(F140,6)+1))</f>
        <v>0</v>
      </c>
      <c r="H140" s="23" t="n">
        <f aca="false">IF(F140=0,0,INDEX($F$72:$F$78,MIN(F140,6)+1))</f>
        <v>0</v>
      </c>
      <c r="I140" s="23" t="n">
        <f aca="false">IF(AND($C$16="Mensual fijo",F140&gt;0),$C$14/$C$7,0)</f>
        <v>0</v>
      </c>
    </row>
    <row r="141" customFormat="false" ht="15" hidden="false" customHeight="false" outlineLevel="0" collapsed="false">
      <c r="B141" s="16" t="n">
        <v>27</v>
      </c>
      <c r="C141" s="31" t="n">
        <f aca="false">IF($C$31="Constante",$C$32,IF($C$31="Perfil 2024",INDEX($C$33:$M$33,MOD(B141-1,11)+1),INDEX($C$34:$K$34,MOD(B141-1,9)+1)))</f>
        <v>7</v>
      </c>
      <c r="D141" s="31" t="n">
        <f aca="false">C141*(1-$C$23)</f>
        <v>7</v>
      </c>
      <c r="E141" s="31" t="n">
        <f aca="false">E140+D141</f>
        <v>176</v>
      </c>
      <c r="F141" s="16" t="n">
        <f aca="false">COUNTIF($E$157:$E$216,B141)</f>
        <v>0</v>
      </c>
      <c r="G141" s="23" t="n">
        <f aca="false">IF(F141=0,0,INDEX($E$72:$E$78,MIN(F141,6)+1))</f>
        <v>0</v>
      </c>
      <c r="H141" s="23" t="n">
        <f aca="false">IF(F141=0,0,INDEX($F$72:$F$78,MIN(F141,6)+1))</f>
        <v>0</v>
      </c>
      <c r="I141" s="23" t="n">
        <f aca="false">IF(AND($C$16="Mensual fijo",F141&gt;0),$C$14/$C$7,0)</f>
        <v>0</v>
      </c>
    </row>
    <row r="142" customFormat="false" ht="15" hidden="false" customHeight="false" outlineLevel="0" collapsed="false">
      <c r="B142" s="16" t="n">
        <v>28</v>
      </c>
      <c r="C142" s="31" t="n">
        <f aca="false">IF($C$31="Constante",$C$32,IF($C$31="Perfil 2024",INDEX($C$33:$M$33,MOD(B142-1,11)+1),INDEX($C$34:$K$34,MOD(B142-1,9)+1)))</f>
        <v>9</v>
      </c>
      <c r="D142" s="31" t="n">
        <f aca="false">C142*(1-$C$23)</f>
        <v>9</v>
      </c>
      <c r="E142" s="31" t="n">
        <f aca="false">E141+D142</f>
        <v>185</v>
      </c>
      <c r="F142" s="16" t="n">
        <f aca="false">COUNTIF($E$157:$E$216,B142)</f>
        <v>0</v>
      </c>
      <c r="G142" s="23" t="n">
        <f aca="false">IF(F142=0,0,INDEX($E$72:$E$78,MIN(F142,6)+1))</f>
        <v>0</v>
      </c>
      <c r="H142" s="23" t="n">
        <f aca="false">IF(F142=0,0,INDEX($F$72:$F$78,MIN(F142,6)+1))</f>
        <v>0</v>
      </c>
      <c r="I142" s="23" t="n">
        <f aca="false">IF(AND($C$16="Mensual fijo",F142&gt;0),$C$14/$C$7,0)</f>
        <v>0</v>
      </c>
    </row>
    <row r="143" customFormat="false" ht="15" hidden="false" customHeight="false" outlineLevel="0" collapsed="false">
      <c r="B143" s="16" t="n">
        <v>29</v>
      </c>
      <c r="C143" s="31" t="n">
        <f aca="false">IF($C$31="Constante",$C$32,IF($C$31="Perfil 2024",INDEX($C$33:$M$33,MOD(B143-1,11)+1),INDEX($C$34:$K$34,MOD(B143-1,9)+1)))</f>
        <v>7</v>
      </c>
      <c r="D143" s="31" t="n">
        <f aca="false">C143*(1-$C$23)</f>
        <v>7</v>
      </c>
      <c r="E143" s="31" t="n">
        <f aca="false">E142+D143</f>
        <v>192</v>
      </c>
      <c r="F143" s="16" t="n">
        <f aca="false">COUNTIF($E$157:$E$216,B143)</f>
        <v>0</v>
      </c>
      <c r="G143" s="23" t="n">
        <f aca="false">IF(F143=0,0,INDEX($E$72:$E$78,MIN(F143,6)+1))</f>
        <v>0</v>
      </c>
      <c r="H143" s="23" t="n">
        <f aca="false">IF(F143=0,0,INDEX($F$72:$F$78,MIN(F143,6)+1))</f>
        <v>0</v>
      </c>
      <c r="I143" s="23" t="n">
        <f aca="false">IF(AND($C$16="Mensual fijo",F143&gt;0),$C$14/$C$7,0)</f>
        <v>0</v>
      </c>
    </row>
    <row r="144" customFormat="false" ht="15" hidden="false" customHeight="false" outlineLevel="0" collapsed="false">
      <c r="B144" s="16" t="n">
        <v>30</v>
      </c>
      <c r="C144" s="31" t="n">
        <f aca="false">IF($C$31="Constante",$C$32,IF($C$31="Perfil 2024",INDEX($C$33:$M$33,MOD(B144-1,11)+1),INDEX($C$34:$K$34,MOD(B144-1,9)+1)))</f>
        <v>3</v>
      </c>
      <c r="D144" s="31" t="n">
        <f aca="false">C144*(1-$C$23)</f>
        <v>3</v>
      </c>
      <c r="E144" s="31" t="n">
        <f aca="false">E143+D144</f>
        <v>195</v>
      </c>
      <c r="F144" s="16" t="n">
        <f aca="false">COUNTIF($E$157:$E$216,B144)</f>
        <v>0</v>
      </c>
      <c r="G144" s="23" t="n">
        <f aca="false">IF(F144=0,0,INDEX($E$72:$E$78,MIN(F144,6)+1))</f>
        <v>0</v>
      </c>
      <c r="H144" s="23" t="n">
        <f aca="false">IF(F144=0,0,INDEX($F$72:$F$78,MIN(F144,6)+1))</f>
        <v>0</v>
      </c>
      <c r="I144" s="23" t="n">
        <f aca="false">IF(AND($C$16="Mensual fijo",F144&gt;0),$C$14/$C$7,0)</f>
        <v>0</v>
      </c>
    </row>
    <row r="145" customFormat="false" ht="15" hidden="false" customHeight="false" outlineLevel="0" collapsed="false">
      <c r="B145" s="16" t="n">
        <v>31</v>
      </c>
      <c r="C145" s="31" t="n">
        <f aca="false">IF($C$31="Constante",$C$32,IF($C$31="Perfil 2024",INDEX($C$33:$M$33,MOD(B145-1,11)+1),INDEX($C$34:$K$34,MOD(B145-1,9)+1)))</f>
        <v>6</v>
      </c>
      <c r="D145" s="31" t="n">
        <f aca="false">C145*(1-$C$23)</f>
        <v>6</v>
      </c>
      <c r="E145" s="31" t="n">
        <f aca="false">E144+D145</f>
        <v>201</v>
      </c>
      <c r="F145" s="16" t="n">
        <f aca="false">COUNTIF($E$157:$E$216,B145)</f>
        <v>0</v>
      </c>
      <c r="G145" s="23" t="n">
        <f aca="false">IF(F145=0,0,INDEX($E$72:$E$78,MIN(F145,6)+1))</f>
        <v>0</v>
      </c>
      <c r="H145" s="23" t="n">
        <f aca="false">IF(F145=0,0,INDEX($F$72:$F$78,MIN(F145,6)+1))</f>
        <v>0</v>
      </c>
      <c r="I145" s="23" t="n">
        <f aca="false">IF(AND($C$16="Mensual fijo",F145&gt;0),$C$14/$C$7,0)</f>
        <v>0</v>
      </c>
    </row>
    <row r="146" customFormat="false" ht="15" hidden="false" customHeight="false" outlineLevel="0" collapsed="false">
      <c r="B146" s="16" t="n">
        <v>32</v>
      </c>
      <c r="C146" s="31" t="n">
        <f aca="false">IF($C$31="Constante",$C$32,IF($C$31="Perfil 2024",INDEX($C$33:$M$33,MOD(B146-1,11)+1),INDEX($C$34:$K$34,MOD(B146-1,9)+1)))</f>
        <v>6</v>
      </c>
      <c r="D146" s="31" t="n">
        <f aca="false">C146*(1-$C$23)</f>
        <v>6</v>
      </c>
      <c r="E146" s="31" t="n">
        <f aca="false">E145+D146</f>
        <v>207</v>
      </c>
      <c r="F146" s="16" t="n">
        <f aca="false">COUNTIF($E$157:$E$216,B146)</f>
        <v>0</v>
      </c>
      <c r="G146" s="23" t="n">
        <f aca="false">IF(F146=0,0,INDEX($E$72:$E$78,MIN(F146,6)+1))</f>
        <v>0</v>
      </c>
      <c r="H146" s="23" t="n">
        <f aca="false">IF(F146=0,0,INDEX($F$72:$F$78,MIN(F146,6)+1))</f>
        <v>0</v>
      </c>
      <c r="I146" s="23" t="n">
        <f aca="false">IF(AND($C$16="Mensual fijo",F146&gt;0),$C$14/$C$7,0)</f>
        <v>0</v>
      </c>
    </row>
    <row r="147" customFormat="false" ht="15" hidden="false" customHeight="false" outlineLevel="0" collapsed="false">
      <c r="B147" s="16" t="n">
        <v>33</v>
      </c>
      <c r="C147" s="31" t="n">
        <f aca="false">IF($C$31="Constante",$C$32,IF($C$31="Perfil 2024",INDEX($C$33:$M$33,MOD(B147-1,11)+1),INDEX($C$34:$K$34,MOD(B147-1,9)+1)))</f>
        <v>3</v>
      </c>
      <c r="D147" s="31" t="n">
        <f aca="false">C147*(1-$C$23)</f>
        <v>3</v>
      </c>
      <c r="E147" s="31" t="n">
        <f aca="false">E146+D147</f>
        <v>210</v>
      </c>
      <c r="F147" s="16" t="n">
        <f aca="false">COUNTIF($E$157:$E$216,B147)</f>
        <v>0</v>
      </c>
      <c r="G147" s="23" t="n">
        <f aca="false">IF(F147=0,0,INDEX($E$72:$E$78,MIN(F147,6)+1))</f>
        <v>0</v>
      </c>
      <c r="H147" s="23" t="n">
        <f aca="false">IF(F147=0,0,INDEX($F$72:$F$78,MIN(F147,6)+1))</f>
        <v>0</v>
      </c>
      <c r="I147" s="23" t="n">
        <f aca="false">IF(AND($C$16="Mensual fijo",F147&gt;0),$C$14/$C$7,0)</f>
        <v>0</v>
      </c>
    </row>
    <row r="148" customFormat="false" ht="15" hidden="false" customHeight="false" outlineLevel="0" collapsed="false">
      <c r="B148" s="16" t="n">
        <v>34</v>
      </c>
      <c r="C148" s="31" t="n">
        <f aca="false">IF($C$31="Constante",$C$32,IF($C$31="Perfil 2024",INDEX($C$33:$M$33,MOD(B148-1,11)+1),INDEX($C$34:$K$34,MOD(B148-1,9)+1)))</f>
        <v>7</v>
      </c>
      <c r="D148" s="31" t="n">
        <f aca="false">C148*(1-$C$23)</f>
        <v>7</v>
      </c>
      <c r="E148" s="31" t="n">
        <f aca="false">E147+D148</f>
        <v>217</v>
      </c>
      <c r="F148" s="16" t="n">
        <f aca="false">COUNTIF($E$157:$E$216,B148)</f>
        <v>0</v>
      </c>
      <c r="G148" s="23" t="n">
        <f aca="false">IF(F148=0,0,INDEX($E$72:$E$78,MIN(F148,6)+1))</f>
        <v>0</v>
      </c>
      <c r="H148" s="23" t="n">
        <f aca="false">IF(F148=0,0,INDEX($F$72:$F$78,MIN(F148,6)+1))</f>
        <v>0</v>
      </c>
      <c r="I148" s="23" t="n">
        <f aca="false">IF(AND($C$16="Mensual fijo",F148&gt;0),$C$14/$C$7,0)</f>
        <v>0</v>
      </c>
    </row>
    <row r="149" customFormat="false" ht="15" hidden="false" customHeight="false" outlineLevel="0" collapsed="false">
      <c r="B149" s="16" t="n">
        <v>35</v>
      </c>
      <c r="C149" s="31" t="n">
        <f aca="false">IF($C$31="Constante",$C$32,IF($C$31="Perfil 2024",INDEX($C$33:$M$33,MOD(B149-1,11)+1),INDEX($C$34:$K$34,MOD(B149-1,9)+1)))</f>
        <v>8</v>
      </c>
      <c r="D149" s="31" t="n">
        <f aca="false">C149*(1-$C$23)</f>
        <v>8</v>
      </c>
      <c r="E149" s="31" t="n">
        <f aca="false">E148+D149</f>
        <v>225</v>
      </c>
      <c r="F149" s="16" t="n">
        <f aca="false">COUNTIF($E$157:$E$216,B149)</f>
        <v>0</v>
      </c>
      <c r="G149" s="23" t="n">
        <f aca="false">IF(F149=0,0,INDEX($E$72:$E$78,MIN(F149,6)+1))</f>
        <v>0</v>
      </c>
      <c r="H149" s="23" t="n">
        <f aca="false">IF(F149=0,0,INDEX($F$72:$F$78,MIN(F149,6)+1))</f>
        <v>0</v>
      </c>
      <c r="I149" s="23" t="n">
        <f aca="false">IF(AND($C$16="Mensual fijo",F149&gt;0),$C$14/$C$7,0)</f>
        <v>0</v>
      </c>
    </row>
    <row r="150" customFormat="false" ht="15" hidden="false" customHeight="false" outlineLevel="0" collapsed="false">
      <c r="B150" s="16" t="n">
        <v>36</v>
      </c>
      <c r="C150" s="31" t="n">
        <f aca="false">IF($C$31="Constante",$C$32,IF($C$31="Perfil 2024",INDEX($C$33:$M$33,MOD(B150-1,11)+1),INDEX($C$34:$K$34,MOD(B150-1,9)+1)))</f>
        <v>7</v>
      </c>
      <c r="D150" s="31" t="n">
        <f aca="false">C150*(1-$C$23)</f>
        <v>7</v>
      </c>
      <c r="E150" s="31" t="n">
        <f aca="false">E149+D150</f>
        <v>232</v>
      </c>
      <c r="F150" s="16" t="n">
        <f aca="false">COUNTIF($E$157:$E$216,B150)</f>
        <v>0</v>
      </c>
      <c r="G150" s="23" t="n">
        <f aca="false">IF(F150=0,0,INDEX($E$72:$E$78,MIN(F150,6)+1))</f>
        <v>0</v>
      </c>
      <c r="H150" s="23" t="n">
        <f aca="false">IF(F150=0,0,INDEX($F$72:$F$78,MIN(F150,6)+1))</f>
        <v>0</v>
      </c>
      <c r="I150" s="23" t="n">
        <f aca="false">IF(AND($C$16="Mensual fijo",F150&gt;0),$C$14/$C$7,0)</f>
        <v>0</v>
      </c>
    </row>
    <row r="151" customFormat="false" ht="15" hidden="false" customHeight="false" outlineLevel="0" collapsed="false">
      <c r="B151" s="32" t="s">
        <v>189</v>
      </c>
      <c r="F151" s="33" t="n">
        <f aca="false">SUM(F115:F150)</f>
        <v>35</v>
      </c>
      <c r="G151" s="22" t="n">
        <f aca="false">SUM(G115:G150)</f>
        <v>0</v>
      </c>
      <c r="H151" s="22" t="n">
        <f aca="false">SUM(H115:H150)</f>
        <v>0</v>
      </c>
      <c r="I151" s="22" t="n">
        <f aca="false">SUM(I115:I150)</f>
        <v>0</v>
      </c>
    </row>
    <row r="153" customFormat="false" ht="15" hidden="false" customHeight="false" outlineLevel="0" collapsed="false">
      <c r="B153" s="3" t="s">
        <v>190</v>
      </c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27.75" hidden="false" customHeight="true" outlineLevel="0" collapsed="false">
      <c r="B154" s="18" t="s">
        <v>191</v>
      </c>
      <c r="C154" s="18"/>
      <c r="D154" s="18"/>
      <c r="E154" s="18"/>
      <c r="F154" s="18"/>
      <c r="G154" s="18"/>
      <c r="H154" s="18"/>
      <c r="I154" s="18"/>
      <c r="J154" s="18"/>
      <c r="K154" s="18"/>
    </row>
    <row r="156" customFormat="false" ht="39.75" hidden="false" customHeight="true" outlineLevel="0" collapsed="false">
      <c r="B156" s="24" t="s">
        <v>192</v>
      </c>
      <c r="C156" s="24" t="s">
        <v>193</v>
      </c>
      <c r="D156" s="24" t="s">
        <v>194</v>
      </c>
      <c r="E156" s="24" t="s">
        <v>181</v>
      </c>
      <c r="F156" s="24" t="s">
        <v>195</v>
      </c>
      <c r="G156" s="24" t="s">
        <v>196</v>
      </c>
      <c r="H156" s="24" t="s">
        <v>21</v>
      </c>
      <c r="I156" s="24" t="s">
        <v>154</v>
      </c>
      <c r="J156" s="24" t="s">
        <v>155</v>
      </c>
      <c r="K156" s="24" t="s">
        <v>156</v>
      </c>
    </row>
    <row r="157" customFormat="false" ht="15" hidden="false" customHeight="false" outlineLevel="0" collapsed="false">
      <c r="B157" s="16" t="n">
        <v>1</v>
      </c>
      <c r="C157" s="5" t="str">
        <f aca="false">IF(B157&gt;$C$30,"",IF(INT(B157*$C$27/$C$30)&gt;INT((B157-1)*$C$27/$C$30),"Misma loc.","Otra loc."))</f>
        <v>Otra loc.</v>
      </c>
      <c r="D157" s="16" t="n">
        <f aca="false">IF(C157="","",IF(C157="Misma loc.",1,$C$29))</f>
        <v>2</v>
      </c>
      <c r="E157" s="16" t="n">
        <f aca="false">IF(C157="","",COUNTIF($E$115:$E$150,"&lt;"&amp;(B157-0.000001))+1)</f>
        <v>1</v>
      </c>
      <c r="F157" s="16" t="n">
        <f aca="false">IF(C157="","",COUNTIF($E$157:E157,E157))</f>
        <v>1</v>
      </c>
      <c r="G157" s="23" t="n">
        <f aca="false">IF(C157="","",INDEX($C$51:$F$51,D157))</f>
        <v>99473.8108108108</v>
      </c>
      <c r="H157" s="23" t="n">
        <f aca="false">IF(C157="","",IF(F157&gt;=$C$19,INDEX($C$63:$F$63,D157),INDEX($C$62:$F$62,D157)))</f>
        <v>88600.7254054054</v>
      </c>
      <c r="I157" s="23" t="n">
        <f aca="false">IF(C157="","",INDEX($C$64:$F$64,D157))</f>
        <v>111149.808108108</v>
      </c>
      <c r="J157" s="23" t="n">
        <f aca="false">IF(C157="","",IF(F157&gt;=$C$19,INDEX($C$65:$F$65,D157),INDEX($C$64:$F$64,D157)))</f>
        <v>111149.808108108</v>
      </c>
      <c r="K157" s="23" t="n">
        <f aca="false">IF(C157="","",IF(F157&gt;=$C$19,INDEX($C$67:$F$67,D157),INDEX($C$66:$F$66,D157)))</f>
        <v>85046.6491891892</v>
      </c>
    </row>
    <row r="158" customFormat="false" ht="15" hidden="false" customHeight="false" outlineLevel="0" collapsed="false">
      <c r="B158" s="16" t="n">
        <v>2</v>
      </c>
      <c r="C158" s="5" t="str">
        <f aca="false">IF(B158&gt;$C$30,"",IF(INT(B158*$C$27/$C$30)&gt;INT((B158-1)*$C$27/$C$30),"Misma loc.","Otra loc."))</f>
        <v>Otra loc.</v>
      </c>
      <c r="D158" s="16" t="n">
        <f aca="false">IF(C158="","",IF(C158="Misma loc.",1,$C$29))</f>
        <v>2</v>
      </c>
      <c r="E158" s="16" t="n">
        <f aca="false">IF(C158="","",COUNTIF($E$115:$E$150,"&lt;"&amp;(B158-0.000001))+1)</f>
        <v>1</v>
      </c>
      <c r="F158" s="16" t="n">
        <f aca="false">IF(C158="","",COUNTIF($E$157:E158,E158))</f>
        <v>2</v>
      </c>
      <c r="G158" s="23" t="n">
        <f aca="false">IF(C158="","",INDEX($C$51:$F$51,D158))</f>
        <v>99473.8108108108</v>
      </c>
      <c r="H158" s="23" t="n">
        <f aca="false">IF(C158="","",IF(F158&gt;=$C$19,INDEX($C$63:$F$63,D158),INDEX($C$62:$F$62,D158)))</f>
        <v>88600.7254054054</v>
      </c>
      <c r="I158" s="23" t="n">
        <f aca="false">IF(C158="","",INDEX($C$64:$F$64,D158))</f>
        <v>111149.808108108</v>
      </c>
      <c r="J158" s="23" t="n">
        <f aca="false">IF(C158="","",IF(F158&gt;=$C$19,INDEX($C$65:$F$65,D158),INDEX($C$64:$F$64,D158)))</f>
        <v>111149.808108108</v>
      </c>
      <c r="K158" s="23" t="n">
        <f aca="false">IF(C158="","",IF(F158&gt;=$C$19,INDEX($C$67:$F$67,D158),INDEX($C$66:$F$66,D158)))</f>
        <v>85046.6491891892</v>
      </c>
    </row>
    <row r="159" customFormat="false" ht="15" hidden="false" customHeight="false" outlineLevel="0" collapsed="false">
      <c r="B159" s="16" t="n">
        <v>3</v>
      </c>
      <c r="C159" s="5" t="str">
        <f aca="false">IF(B159&gt;$C$30,"",IF(INT(B159*$C$27/$C$30)&gt;INT((B159-1)*$C$27/$C$30),"Misma loc.","Otra loc."))</f>
        <v>Misma loc.</v>
      </c>
      <c r="D159" s="16" t="n">
        <f aca="false">IF(C159="","",IF(C159="Misma loc.",1,$C$29))</f>
        <v>1</v>
      </c>
      <c r="E159" s="16" t="n">
        <f aca="false">IF(C159="","",COUNTIF($E$115:$E$150,"&lt;"&amp;(B159-0.000001))+1)</f>
        <v>1</v>
      </c>
      <c r="F159" s="16" t="n">
        <f aca="false">IF(C159="","",COUNTIF($E$157:E159,E159))</f>
        <v>3</v>
      </c>
      <c r="G159" s="23" t="n">
        <f aca="false">IF(C159="","",INDEX($C$51:$F$51,D159))</f>
        <v>76047.4054054054</v>
      </c>
      <c r="H159" s="23" t="n">
        <f aca="false">IF(C159="","",IF(F159&gt;=$C$19,INDEX($C$63:$F$63,D159),INDEX($C$62:$F$62,D159)))</f>
        <v>58116.7137837838</v>
      </c>
      <c r="I159" s="23" t="n">
        <f aca="false">IF(C159="","",INDEX($C$64:$F$64,D159))</f>
        <v>68381.1581081081</v>
      </c>
      <c r="J159" s="23" t="n">
        <f aca="false">IF(C159="","",IF(F159&gt;=$C$19,INDEX($C$65:$F$65,D159),INDEX($C$64:$F$64,D159)))</f>
        <v>68381.1581081081</v>
      </c>
      <c r="K159" s="23" t="n">
        <f aca="false">IF(C159="","",IF(F159&gt;=$C$19,INDEX($C$67:$F$67,D159),INDEX($C$66:$F$66,D159)))</f>
        <v>58075.5140540541</v>
      </c>
    </row>
    <row r="160" customFormat="false" ht="15" hidden="false" customHeight="false" outlineLevel="0" collapsed="false">
      <c r="B160" s="16" t="n">
        <v>4</v>
      </c>
      <c r="C160" s="5" t="str">
        <f aca="false">IF(B160&gt;$C$30,"",IF(INT(B160*$C$27/$C$30)&gt;INT((B160-1)*$C$27/$C$30),"Misma loc.","Otra loc."))</f>
        <v>Otra loc.</v>
      </c>
      <c r="D160" s="16" t="n">
        <f aca="false">IF(C160="","",IF(C160="Misma loc.",1,$C$29))</f>
        <v>2</v>
      </c>
      <c r="E160" s="16" t="n">
        <f aca="false">IF(C160="","",COUNTIF($E$115:$E$150,"&lt;"&amp;(B160-0.000001))+1)</f>
        <v>1</v>
      </c>
      <c r="F160" s="16" t="n">
        <f aca="false">IF(C160="","",COUNTIF($E$157:E160,E160))</f>
        <v>4</v>
      </c>
      <c r="G160" s="23" t="n">
        <f aca="false">IF(C160="","",INDEX($C$51:$F$51,D160))</f>
        <v>99473.8108108108</v>
      </c>
      <c r="H160" s="23" t="n">
        <f aca="false">IF(C160="","",IF(F160&gt;=$C$19,INDEX($C$63:$F$63,D160),INDEX($C$62:$F$62,D160)))</f>
        <v>88600.7254054054</v>
      </c>
      <c r="I160" s="23" t="n">
        <f aca="false">IF(C160="","",INDEX($C$64:$F$64,D160))</f>
        <v>111149.808108108</v>
      </c>
      <c r="J160" s="23" t="n">
        <f aca="false">IF(C160="","",IF(F160&gt;=$C$19,INDEX($C$65:$F$65,D160),INDEX($C$64:$F$64,D160)))</f>
        <v>111149.808108108</v>
      </c>
      <c r="K160" s="23" t="n">
        <f aca="false">IF(C160="","",IF(F160&gt;=$C$19,INDEX($C$67:$F$67,D160),INDEX($C$66:$F$66,D160)))</f>
        <v>85046.6491891892</v>
      </c>
    </row>
    <row r="161" customFormat="false" ht="15" hidden="false" customHeight="false" outlineLevel="0" collapsed="false">
      <c r="B161" s="16" t="n">
        <v>5</v>
      </c>
      <c r="C161" s="5" t="str">
        <f aca="false">IF(B161&gt;$C$30,"",IF(INT(B161*$C$27/$C$30)&gt;INT((B161-1)*$C$27/$C$30),"Misma loc.","Otra loc."))</f>
        <v>Misma loc.</v>
      </c>
      <c r="D161" s="16" t="n">
        <f aca="false">IF(C161="","",IF(C161="Misma loc.",1,$C$29))</f>
        <v>1</v>
      </c>
      <c r="E161" s="16" t="n">
        <f aca="false">IF(C161="","",COUNTIF($E$115:$E$150,"&lt;"&amp;(B161-0.000001))+1)</f>
        <v>1</v>
      </c>
      <c r="F161" s="16" t="n">
        <f aca="false">IF(C161="","",COUNTIF($E$157:E161,E161))</f>
        <v>5</v>
      </c>
      <c r="G161" s="23" t="n">
        <f aca="false">IF(C161="","",INDEX($C$51:$F$51,D161))</f>
        <v>76047.4054054054</v>
      </c>
      <c r="H161" s="23" t="n">
        <f aca="false">IF(C161="","",IF(F161&gt;=$C$19,INDEX($C$63:$F$63,D161),INDEX($C$62:$F$62,D161)))</f>
        <v>58116.7137837838</v>
      </c>
      <c r="I161" s="23" t="n">
        <f aca="false">IF(C161="","",INDEX($C$64:$F$64,D161))</f>
        <v>68381.1581081081</v>
      </c>
      <c r="J161" s="23" t="n">
        <f aca="false">IF(C161="","",IF(F161&gt;=$C$19,INDEX($C$65:$F$65,D161),INDEX($C$64:$F$64,D161)))</f>
        <v>68381.1581081081</v>
      </c>
      <c r="K161" s="23" t="n">
        <f aca="false">IF(C161="","",IF(F161&gt;=$C$19,INDEX($C$67:$F$67,D161),INDEX($C$66:$F$66,D161)))</f>
        <v>58075.5140540541</v>
      </c>
    </row>
    <row r="162" customFormat="false" ht="15" hidden="false" customHeight="false" outlineLevel="0" collapsed="false">
      <c r="B162" s="16" t="n">
        <v>6</v>
      </c>
      <c r="C162" s="5" t="str">
        <f aca="false">IF(B162&gt;$C$30,"",IF(INT(B162*$C$27/$C$30)&gt;INT((B162-1)*$C$27/$C$30),"Misma loc.","Otra loc."))</f>
        <v>Otra loc.</v>
      </c>
      <c r="D162" s="16" t="n">
        <f aca="false">IF(C162="","",IF(C162="Misma loc.",1,$C$29))</f>
        <v>2</v>
      </c>
      <c r="E162" s="16" t="n">
        <f aca="false">IF(C162="","",COUNTIF($E$115:$E$150,"&lt;"&amp;(B162-0.000001))+1)</f>
        <v>1</v>
      </c>
      <c r="F162" s="16" t="n">
        <f aca="false">IF(C162="","",COUNTIF($E$157:E162,E162))</f>
        <v>6</v>
      </c>
      <c r="G162" s="23" t="n">
        <f aca="false">IF(C162="","",INDEX($C$51:$F$51,D162))</f>
        <v>99473.8108108108</v>
      </c>
      <c r="H162" s="23" t="n">
        <f aca="false">IF(C162="","",IF(F162&gt;=$C$19,INDEX($C$63:$F$63,D162),INDEX($C$62:$F$62,D162)))</f>
        <v>58755.7140540541</v>
      </c>
      <c r="I162" s="23" t="n">
        <f aca="false">IF(C162="","",INDEX($C$64:$F$64,D162))</f>
        <v>111149.808108108</v>
      </c>
      <c r="J162" s="23" t="n">
        <f aca="false">IF(C162="","",IF(F162&gt;=$C$19,INDEX($C$65:$F$65,D162),INDEX($C$64:$F$64,D162)))</f>
        <v>70030.2554054054</v>
      </c>
      <c r="K162" s="23" t="n">
        <f aca="false">IF(C162="","",IF(F162&gt;=$C$19,INDEX($C$67:$F$67,D162),INDEX($C$66:$F$66,D162)))</f>
        <v>62202.5945945946</v>
      </c>
    </row>
    <row r="163" customFormat="false" ht="15" hidden="false" customHeight="false" outlineLevel="0" collapsed="false">
      <c r="B163" s="16" t="n">
        <v>7</v>
      </c>
      <c r="C163" s="5" t="str">
        <f aca="false">IF(B163&gt;$C$30,"",IF(INT(B163*$C$27/$C$30)&gt;INT((B163-1)*$C$27/$C$30),"Misma loc.","Otra loc."))</f>
        <v>Misma loc.</v>
      </c>
      <c r="D163" s="16" t="n">
        <f aca="false">IF(C163="","",IF(C163="Misma loc.",1,$C$29))</f>
        <v>1</v>
      </c>
      <c r="E163" s="16" t="n">
        <f aca="false">IF(C163="","",COUNTIF($E$115:$E$150,"&lt;"&amp;(B163-0.000001))+1)</f>
        <v>1</v>
      </c>
      <c r="F163" s="16" t="n">
        <f aca="false">IF(C163="","",COUNTIF($E$157:E163,E163))</f>
        <v>7</v>
      </c>
      <c r="G163" s="23" t="n">
        <f aca="false">IF(C163="","",INDEX($C$51:$F$51,D163))</f>
        <v>76047.4054054054</v>
      </c>
      <c r="H163" s="23" t="n">
        <f aca="false">IF(C163="","",IF(F163&gt;=$C$19,INDEX($C$63:$F$63,D163),INDEX($C$62:$F$62,D163)))</f>
        <v>39145.7082432432</v>
      </c>
      <c r="I163" s="23" t="n">
        <f aca="false">IF(C163="","",INDEX($C$64:$F$64,D163))</f>
        <v>68381.1581081081</v>
      </c>
      <c r="J163" s="23" t="n">
        <f aca="false">IF(C163="","",IF(F163&gt;=$C$19,INDEX($C$65:$F$65,D163),INDEX($C$64:$F$64,D163)))</f>
        <v>44277.9304054054</v>
      </c>
      <c r="K163" s="23" t="n">
        <f aca="false">IF(C163="","",IF(F163&gt;=$C$19,INDEX($C$67:$F$67,D163),INDEX($C$66:$F$66,D163)))</f>
        <v>53466.5945945946</v>
      </c>
    </row>
    <row r="164" customFormat="false" ht="15" hidden="false" customHeight="false" outlineLevel="0" collapsed="false">
      <c r="B164" s="16" t="n">
        <v>8</v>
      </c>
      <c r="C164" s="5" t="str">
        <f aca="false">IF(B164&gt;$C$30,"",IF(INT(B164*$C$27/$C$30)&gt;INT((B164-1)*$C$27/$C$30),"Misma loc.","Otra loc."))</f>
        <v>Otra loc.</v>
      </c>
      <c r="D164" s="16" t="n">
        <f aca="false">IF(C164="","",IF(C164="Misma loc.",1,$C$29))</f>
        <v>2</v>
      </c>
      <c r="E164" s="16" t="n">
        <f aca="false">IF(C164="","",COUNTIF($E$115:$E$150,"&lt;"&amp;(B164-0.000001))+1)</f>
        <v>2</v>
      </c>
      <c r="F164" s="16" t="n">
        <f aca="false">IF(C164="","",COUNTIF($E$157:E164,E164))</f>
        <v>1</v>
      </c>
      <c r="G164" s="23" t="n">
        <f aca="false">IF(C164="","",INDEX($C$51:$F$51,D164))</f>
        <v>99473.8108108108</v>
      </c>
      <c r="H164" s="23" t="n">
        <f aca="false">IF(C164="","",IF(F164&gt;=$C$19,INDEX($C$63:$F$63,D164),INDEX($C$62:$F$62,D164)))</f>
        <v>88600.7254054054</v>
      </c>
      <c r="I164" s="23" t="n">
        <f aca="false">IF(C164="","",INDEX($C$64:$F$64,D164))</f>
        <v>111149.808108108</v>
      </c>
      <c r="J164" s="23" t="n">
        <f aca="false">IF(C164="","",IF(F164&gt;=$C$19,INDEX($C$65:$F$65,D164),INDEX($C$64:$F$64,D164)))</f>
        <v>111149.808108108</v>
      </c>
      <c r="K164" s="23" t="n">
        <f aca="false">IF(C164="","",IF(F164&gt;=$C$19,INDEX($C$67:$F$67,D164),INDEX($C$66:$F$66,D164)))</f>
        <v>85046.6491891892</v>
      </c>
    </row>
    <row r="165" customFormat="false" ht="15" hidden="false" customHeight="false" outlineLevel="0" collapsed="false">
      <c r="B165" s="16" t="n">
        <v>9</v>
      </c>
      <c r="C165" s="5" t="str">
        <f aca="false">IF(B165&gt;$C$30,"",IF(INT(B165*$C$27/$C$30)&gt;INT((B165-1)*$C$27/$C$30),"Misma loc.","Otra loc."))</f>
        <v>Otra loc.</v>
      </c>
      <c r="D165" s="16" t="n">
        <f aca="false">IF(C165="","",IF(C165="Misma loc.",1,$C$29))</f>
        <v>2</v>
      </c>
      <c r="E165" s="16" t="n">
        <f aca="false">IF(C165="","",COUNTIF($E$115:$E$150,"&lt;"&amp;(B165-0.000001))+1)</f>
        <v>2</v>
      </c>
      <c r="F165" s="16" t="n">
        <f aca="false">IF(C165="","",COUNTIF($E$157:E165,E165))</f>
        <v>2</v>
      </c>
      <c r="G165" s="23" t="n">
        <f aca="false">IF(C165="","",INDEX($C$51:$F$51,D165))</f>
        <v>99473.8108108108</v>
      </c>
      <c r="H165" s="23" t="n">
        <f aca="false">IF(C165="","",IF(F165&gt;=$C$19,INDEX($C$63:$F$63,D165),INDEX($C$62:$F$62,D165)))</f>
        <v>88600.7254054054</v>
      </c>
      <c r="I165" s="23" t="n">
        <f aca="false">IF(C165="","",INDEX($C$64:$F$64,D165))</f>
        <v>111149.808108108</v>
      </c>
      <c r="J165" s="23" t="n">
        <f aca="false">IF(C165="","",IF(F165&gt;=$C$19,INDEX($C$65:$F$65,D165),INDEX($C$64:$F$64,D165)))</f>
        <v>111149.808108108</v>
      </c>
      <c r="K165" s="23" t="n">
        <f aca="false">IF(C165="","",IF(F165&gt;=$C$19,INDEX($C$67:$F$67,D165),INDEX($C$66:$F$66,D165)))</f>
        <v>85046.6491891892</v>
      </c>
    </row>
    <row r="166" customFormat="false" ht="15" hidden="false" customHeight="false" outlineLevel="0" collapsed="false">
      <c r="B166" s="16" t="n">
        <v>10</v>
      </c>
      <c r="C166" s="5" t="str">
        <f aca="false">IF(B166&gt;$C$30,"",IF(INT(B166*$C$27/$C$30)&gt;INT((B166-1)*$C$27/$C$30),"Misma loc.","Otra loc."))</f>
        <v>Misma loc.</v>
      </c>
      <c r="D166" s="16" t="n">
        <f aca="false">IF(C166="","",IF(C166="Misma loc.",1,$C$29))</f>
        <v>1</v>
      </c>
      <c r="E166" s="16" t="n">
        <f aca="false">IF(C166="","",COUNTIF($E$115:$E$150,"&lt;"&amp;(B166-0.000001))+1)</f>
        <v>2</v>
      </c>
      <c r="F166" s="16" t="n">
        <f aca="false">IF(C166="","",COUNTIF($E$157:E166,E166))</f>
        <v>3</v>
      </c>
      <c r="G166" s="23" t="n">
        <f aca="false">IF(C166="","",INDEX($C$51:$F$51,D166))</f>
        <v>76047.4054054054</v>
      </c>
      <c r="H166" s="23" t="n">
        <f aca="false">IF(C166="","",IF(F166&gt;=$C$19,INDEX($C$63:$F$63,D166),INDEX($C$62:$F$62,D166)))</f>
        <v>58116.7137837838</v>
      </c>
      <c r="I166" s="23" t="n">
        <f aca="false">IF(C166="","",INDEX($C$64:$F$64,D166))</f>
        <v>68381.1581081081</v>
      </c>
      <c r="J166" s="23" t="n">
        <f aca="false">IF(C166="","",IF(F166&gt;=$C$19,INDEX($C$65:$F$65,D166),INDEX($C$64:$F$64,D166)))</f>
        <v>68381.1581081081</v>
      </c>
      <c r="K166" s="23" t="n">
        <f aca="false">IF(C166="","",IF(F166&gt;=$C$19,INDEX($C$67:$F$67,D166),INDEX($C$66:$F$66,D166)))</f>
        <v>58075.5140540541</v>
      </c>
    </row>
    <row r="167" customFormat="false" ht="15" hidden="false" customHeight="false" outlineLevel="0" collapsed="false">
      <c r="B167" s="16" t="n">
        <v>11</v>
      </c>
      <c r="C167" s="5" t="str">
        <f aca="false">IF(B167&gt;$C$30,"",IF(INT(B167*$C$27/$C$30)&gt;INT((B167-1)*$C$27/$C$30),"Misma loc.","Otra loc."))</f>
        <v>Otra loc.</v>
      </c>
      <c r="D167" s="16" t="n">
        <f aca="false">IF(C167="","",IF(C167="Misma loc.",1,$C$29))</f>
        <v>2</v>
      </c>
      <c r="E167" s="16" t="n">
        <f aca="false">IF(C167="","",COUNTIF($E$115:$E$150,"&lt;"&amp;(B167-0.000001))+1)</f>
        <v>2</v>
      </c>
      <c r="F167" s="16" t="n">
        <f aca="false">IF(C167="","",COUNTIF($E$157:E167,E167))</f>
        <v>4</v>
      </c>
      <c r="G167" s="23" t="n">
        <f aca="false">IF(C167="","",INDEX($C$51:$F$51,D167))</f>
        <v>99473.8108108108</v>
      </c>
      <c r="H167" s="23" t="n">
        <f aca="false">IF(C167="","",IF(F167&gt;=$C$19,INDEX($C$63:$F$63,D167),INDEX($C$62:$F$62,D167)))</f>
        <v>88600.7254054054</v>
      </c>
      <c r="I167" s="23" t="n">
        <f aca="false">IF(C167="","",INDEX($C$64:$F$64,D167))</f>
        <v>111149.808108108</v>
      </c>
      <c r="J167" s="23" t="n">
        <f aca="false">IF(C167="","",IF(F167&gt;=$C$19,INDEX($C$65:$F$65,D167),INDEX($C$64:$F$64,D167)))</f>
        <v>111149.808108108</v>
      </c>
      <c r="K167" s="23" t="n">
        <f aca="false">IF(C167="","",IF(F167&gt;=$C$19,INDEX($C$67:$F$67,D167),INDEX($C$66:$F$66,D167)))</f>
        <v>85046.6491891892</v>
      </c>
    </row>
    <row r="168" customFormat="false" ht="15" hidden="false" customHeight="false" outlineLevel="0" collapsed="false">
      <c r="B168" s="16" t="n">
        <v>12</v>
      </c>
      <c r="C168" s="5" t="str">
        <f aca="false">IF(B168&gt;$C$30,"",IF(INT(B168*$C$27/$C$30)&gt;INT((B168-1)*$C$27/$C$30),"Misma loc.","Otra loc."))</f>
        <v>Misma loc.</v>
      </c>
      <c r="D168" s="16" t="n">
        <f aca="false">IF(C168="","",IF(C168="Misma loc.",1,$C$29))</f>
        <v>1</v>
      </c>
      <c r="E168" s="16" t="n">
        <f aca="false">IF(C168="","",COUNTIF($E$115:$E$150,"&lt;"&amp;(B168-0.000001))+1)</f>
        <v>2</v>
      </c>
      <c r="F168" s="16" t="n">
        <f aca="false">IF(C168="","",COUNTIF($E$157:E168,E168))</f>
        <v>5</v>
      </c>
      <c r="G168" s="23" t="n">
        <f aca="false">IF(C168="","",INDEX($C$51:$F$51,D168))</f>
        <v>76047.4054054054</v>
      </c>
      <c r="H168" s="23" t="n">
        <f aca="false">IF(C168="","",IF(F168&gt;=$C$19,INDEX($C$63:$F$63,D168),INDEX($C$62:$F$62,D168)))</f>
        <v>58116.7137837838</v>
      </c>
      <c r="I168" s="23" t="n">
        <f aca="false">IF(C168="","",INDEX($C$64:$F$64,D168))</f>
        <v>68381.1581081081</v>
      </c>
      <c r="J168" s="23" t="n">
        <f aca="false">IF(C168="","",IF(F168&gt;=$C$19,INDEX($C$65:$F$65,D168),INDEX($C$64:$F$64,D168)))</f>
        <v>68381.1581081081</v>
      </c>
      <c r="K168" s="23" t="n">
        <f aca="false">IF(C168="","",IF(F168&gt;=$C$19,INDEX($C$67:$F$67,D168),INDEX($C$66:$F$66,D168)))</f>
        <v>58075.5140540541</v>
      </c>
    </row>
    <row r="169" customFormat="false" ht="15" hidden="false" customHeight="false" outlineLevel="0" collapsed="false">
      <c r="B169" s="16" t="n">
        <v>13</v>
      </c>
      <c r="C169" s="5" t="str">
        <f aca="false">IF(B169&gt;$C$30,"",IF(INT(B169*$C$27/$C$30)&gt;INT((B169-1)*$C$27/$C$30),"Misma loc.","Otra loc."))</f>
        <v>Otra loc.</v>
      </c>
      <c r="D169" s="16" t="n">
        <f aca="false">IF(C169="","",IF(C169="Misma loc.",1,$C$29))</f>
        <v>2</v>
      </c>
      <c r="E169" s="16" t="n">
        <f aca="false">IF(C169="","",COUNTIF($E$115:$E$150,"&lt;"&amp;(B169-0.000001))+1)</f>
        <v>2</v>
      </c>
      <c r="F169" s="16" t="n">
        <f aca="false">IF(C169="","",COUNTIF($E$157:E169,E169))</f>
        <v>6</v>
      </c>
      <c r="G169" s="23" t="n">
        <f aca="false">IF(C169="","",INDEX($C$51:$F$51,D169))</f>
        <v>99473.8108108108</v>
      </c>
      <c r="H169" s="23" t="n">
        <f aca="false">IF(C169="","",IF(F169&gt;=$C$19,INDEX($C$63:$F$63,D169),INDEX($C$62:$F$62,D169)))</f>
        <v>58755.7140540541</v>
      </c>
      <c r="I169" s="23" t="n">
        <f aca="false">IF(C169="","",INDEX($C$64:$F$64,D169))</f>
        <v>111149.808108108</v>
      </c>
      <c r="J169" s="23" t="n">
        <f aca="false">IF(C169="","",IF(F169&gt;=$C$19,INDEX($C$65:$F$65,D169),INDEX($C$64:$F$64,D169)))</f>
        <v>70030.2554054054</v>
      </c>
      <c r="K169" s="23" t="n">
        <f aca="false">IF(C169="","",IF(F169&gt;=$C$19,INDEX($C$67:$F$67,D169),INDEX($C$66:$F$66,D169)))</f>
        <v>62202.5945945946</v>
      </c>
    </row>
    <row r="170" customFormat="false" ht="15" hidden="false" customHeight="false" outlineLevel="0" collapsed="false">
      <c r="B170" s="16" t="n">
        <v>14</v>
      </c>
      <c r="C170" s="5" t="str">
        <f aca="false">IF(B170&gt;$C$30,"",IF(INT(B170*$C$27/$C$30)&gt;INT((B170-1)*$C$27/$C$30),"Misma loc.","Otra loc."))</f>
        <v>Misma loc.</v>
      </c>
      <c r="D170" s="16" t="n">
        <f aca="false">IF(C170="","",IF(C170="Misma loc.",1,$C$29))</f>
        <v>1</v>
      </c>
      <c r="E170" s="16" t="n">
        <f aca="false">IF(C170="","",COUNTIF($E$115:$E$150,"&lt;"&amp;(B170-0.000001))+1)</f>
        <v>2</v>
      </c>
      <c r="F170" s="16" t="n">
        <f aca="false">IF(C170="","",COUNTIF($E$157:E170,E170))</f>
        <v>7</v>
      </c>
      <c r="G170" s="23" t="n">
        <f aca="false">IF(C170="","",INDEX($C$51:$F$51,D170))</f>
        <v>76047.4054054054</v>
      </c>
      <c r="H170" s="23" t="n">
        <f aca="false">IF(C170="","",IF(F170&gt;=$C$19,INDEX($C$63:$F$63,D170),INDEX($C$62:$F$62,D170)))</f>
        <v>39145.7082432432</v>
      </c>
      <c r="I170" s="23" t="n">
        <f aca="false">IF(C170="","",INDEX($C$64:$F$64,D170))</f>
        <v>68381.1581081081</v>
      </c>
      <c r="J170" s="23" t="n">
        <f aca="false">IF(C170="","",IF(F170&gt;=$C$19,INDEX($C$65:$F$65,D170),INDEX($C$64:$F$64,D170)))</f>
        <v>44277.9304054054</v>
      </c>
      <c r="K170" s="23" t="n">
        <f aca="false">IF(C170="","",IF(F170&gt;=$C$19,INDEX($C$67:$F$67,D170),INDEX($C$66:$F$66,D170)))</f>
        <v>53466.5945945946</v>
      </c>
    </row>
    <row r="171" customFormat="false" ht="15" hidden="false" customHeight="false" outlineLevel="0" collapsed="false">
      <c r="B171" s="16" t="n">
        <v>15</v>
      </c>
      <c r="C171" s="5" t="str">
        <f aca="false">IF(B171&gt;$C$30,"",IF(INT(B171*$C$27/$C$30)&gt;INT((B171-1)*$C$27/$C$30),"Misma loc.","Otra loc."))</f>
        <v>Otra loc.</v>
      </c>
      <c r="D171" s="16" t="n">
        <f aca="false">IF(C171="","",IF(C171="Misma loc.",1,$C$29))</f>
        <v>2</v>
      </c>
      <c r="E171" s="16" t="n">
        <f aca="false">IF(C171="","",COUNTIF($E$115:$E$150,"&lt;"&amp;(B171-0.000001))+1)</f>
        <v>2</v>
      </c>
      <c r="F171" s="16" t="n">
        <f aca="false">IF(C171="","",COUNTIF($E$157:E171,E171))</f>
        <v>8</v>
      </c>
      <c r="G171" s="23" t="n">
        <f aca="false">IF(C171="","",INDEX($C$51:$F$51,D171))</f>
        <v>99473.8108108108</v>
      </c>
      <c r="H171" s="23" t="n">
        <f aca="false">IF(C171="","",IF(F171&gt;=$C$19,INDEX($C$63:$F$63,D171),INDEX($C$62:$F$62,D171)))</f>
        <v>58755.7140540541</v>
      </c>
      <c r="I171" s="23" t="n">
        <f aca="false">IF(C171="","",INDEX($C$64:$F$64,D171))</f>
        <v>111149.808108108</v>
      </c>
      <c r="J171" s="23" t="n">
        <f aca="false">IF(C171="","",IF(F171&gt;=$C$19,INDEX($C$65:$F$65,D171),INDEX($C$64:$F$64,D171)))</f>
        <v>70030.2554054054</v>
      </c>
      <c r="K171" s="23" t="n">
        <f aca="false">IF(C171="","",IF(F171&gt;=$C$19,INDEX($C$67:$F$67,D171),INDEX($C$66:$F$66,D171)))</f>
        <v>62202.5945945946</v>
      </c>
    </row>
    <row r="172" customFormat="false" ht="15" hidden="false" customHeight="false" outlineLevel="0" collapsed="false">
      <c r="B172" s="16" t="n">
        <v>16</v>
      </c>
      <c r="C172" s="5" t="str">
        <f aca="false">IF(B172&gt;$C$30,"",IF(INT(B172*$C$27/$C$30)&gt;INT((B172-1)*$C$27/$C$30),"Misma loc.","Otra loc."))</f>
        <v>Otra loc.</v>
      </c>
      <c r="D172" s="16" t="n">
        <f aca="false">IF(C172="","",IF(C172="Misma loc.",1,$C$29))</f>
        <v>2</v>
      </c>
      <c r="E172" s="16" t="n">
        <f aca="false">IF(C172="","",COUNTIF($E$115:$E$150,"&lt;"&amp;(B172-0.000001))+1)</f>
        <v>3</v>
      </c>
      <c r="F172" s="16" t="n">
        <f aca="false">IF(C172="","",COUNTIF($E$157:E172,E172))</f>
        <v>1</v>
      </c>
      <c r="G172" s="23" t="n">
        <f aca="false">IF(C172="","",INDEX($C$51:$F$51,D172))</f>
        <v>99473.8108108108</v>
      </c>
      <c r="H172" s="23" t="n">
        <f aca="false">IF(C172="","",IF(F172&gt;=$C$19,INDEX($C$63:$F$63,D172),INDEX($C$62:$F$62,D172)))</f>
        <v>88600.7254054054</v>
      </c>
      <c r="I172" s="23" t="n">
        <f aca="false">IF(C172="","",INDEX($C$64:$F$64,D172))</f>
        <v>111149.808108108</v>
      </c>
      <c r="J172" s="23" t="n">
        <f aca="false">IF(C172="","",IF(F172&gt;=$C$19,INDEX($C$65:$F$65,D172),INDEX($C$64:$F$64,D172)))</f>
        <v>111149.808108108</v>
      </c>
      <c r="K172" s="23" t="n">
        <f aca="false">IF(C172="","",IF(F172&gt;=$C$19,INDEX($C$67:$F$67,D172),INDEX($C$66:$F$66,D172)))</f>
        <v>85046.6491891892</v>
      </c>
    </row>
    <row r="173" customFormat="false" ht="15" hidden="false" customHeight="false" outlineLevel="0" collapsed="false">
      <c r="B173" s="16" t="n">
        <v>17</v>
      </c>
      <c r="C173" s="5" t="str">
        <f aca="false">IF(B173&gt;$C$30,"",IF(INT(B173*$C$27/$C$30)&gt;INT((B173-1)*$C$27/$C$30),"Misma loc.","Otra loc."))</f>
        <v>Misma loc.</v>
      </c>
      <c r="D173" s="16" t="n">
        <f aca="false">IF(C173="","",IF(C173="Misma loc.",1,$C$29))</f>
        <v>1</v>
      </c>
      <c r="E173" s="16" t="n">
        <f aca="false">IF(C173="","",COUNTIF($E$115:$E$150,"&lt;"&amp;(B173-0.000001))+1)</f>
        <v>3</v>
      </c>
      <c r="F173" s="16" t="n">
        <f aca="false">IF(C173="","",COUNTIF($E$157:E173,E173))</f>
        <v>2</v>
      </c>
      <c r="G173" s="23" t="n">
        <f aca="false">IF(C173="","",INDEX($C$51:$F$51,D173))</f>
        <v>76047.4054054054</v>
      </c>
      <c r="H173" s="23" t="n">
        <f aca="false">IF(C173="","",IF(F173&gt;=$C$19,INDEX($C$63:$F$63,D173),INDEX($C$62:$F$62,D173)))</f>
        <v>58116.7137837838</v>
      </c>
      <c r="I173" s="23" t="n">
        <f aca="false">IF(C173="","",INDEX($C$64:$F$64,D173))</f>
        <v>68381.1581081081</v>
      </c>
      <c r="J173" s="23" t="n">
        <f aca="false">IF(C173="","",IF(F173&gt;=$C$19,INDEX($C$65:$F$65,D173),INDEX($C$64:$F$64,D173)))</f>
        <v>68381.1581081081</v>
      </c>
      <c r="K173" s="23" t="n">
        <f aca="false">IF(C173="","",IF(F173&gt;=$C$19,INDEX($C$67:$F$67,D173),INDEX($C$66:$F$66,D173)))</f>
        <v>58075.5140540541</v>
      </c>
    </row>
    <row r="174" customFormat="false" ht="15" hidden="false" customHeight="false" outlineLevel="0" collapsed="false">
      <c r="B174" s="16" t="n">
        <v>18</v>
      </c>
      <c r="C174" s="5" t="str">
        <f aca="false">IF(B174&gt;$C$30,"",IF(INT(B174*$C$27/$C$30)&gt;INT((B174-1)*$C$27/$C$30),"Misma loc.","Otra loc."))</f>
        <v>Otra loc.</v>
      </c>
      <c r="D174" s="16" t="n">
        <f aca="false">IF(C174="","",IF(C174="Misma loc.",1,$C$29))</f>
        <v>2</v>
      </c>
      <c r="E174" s="16" t="n">
        <f aca="false">IF(C174="","",COUNTIF($E$115:$E$150,"&lt;"&amp;(B174-0.000001))+1)</f>
        <v>3</v>
      </c>
      <c r="F174" s="16" t="n">
        <f aca="false">IF(C174="","",COUNTIF($E$157:E174,E174))</f>
        <v>3</v>
      </c>
      <c r="G174" s="23" t="n">
        <f aca="false">IF(C174="","",INDEX($C$51:$F$51,D174))</f>
        <v>99473.8108108108</v>
      </c>
      <c r="H174" s="23" t="n">
        <f aca="false">IF(C174="","",IF(F174&gt;=$C$19,INDEX($C$63:$F$63,D174),INDEX($C$62:$F$62,D174)))</f>
        <v>88600.7254054054</v>
      </c>
      <c r="I174" s="23" t="n">
        <f aca="false">IF(C174="","",INDEX($C$64:$F$64,D174))</f>
        <v>111149.808108108</v>
      </c>
      <c r="J174" s="23" t="n">
        <f aca="false">IF(C174="","",IF(F174&gt;=$C$19,INDEX($C$65:$F$65,D174),INDEX($C$64:$F$64,D174)))</f>
        <v>111149.808108108</v>
      </c>
      <c r="K174" s="23" t="n">
        <f aca="false">IF(C174="","",IF(F174&gt;=$C$19,INDEX($C$67:$F$67,D174),INDEX($C$66:$F$66,D174)))</f>
        <v>85046.6491891892</v>
      </c>
    </row>
    <row r="175" customFormat="false" ht="15" hidden="false" customHeight="false" outlineLevel="0" collapsed="false">
      <c r="B175" s="16" t="n">
        <v>19</v>
      </c>
      <c r="C175" s="5" t="str">
        <f aca="false">IF(B175&gt;$C$30,"",IF(INT(B175*$C$27/$C$30)&gt;INT((B175-1)*$C$27/$C$30),"Misma loc.","Otra loc."))</f>
        <v>Misma loc.</v>
      </c>
      <c r="D175" s="16" t="n">
        <f aca="false">IF(C175="","",IF(C175="Misma loc.",1,$C$29))</f>
        <v>1</v>
      </c>
      <c r="E175" s="16" t="n">
        <f aca="false">IF(C175="","",COUNTIF($E$115:$E$150,"&lt;"&amp;(B175-0.000001))+1)</f>
        <v>3</v>
      </c>
      <c r="F175" s="16" t="n">
        <f aca="false">IF(C175="","",COUNTIF($E$157:E175,E175))</f>
        <v>4</v>
      </c>
      <c r="G175" s="23" t="n">
        <f aca="false">IF(C175="","",INDEX($C$51:$F$51,D175))</f>
        <v>76047.4054054054</v>
      </c>
      <c r="H175" s="23" t="n">
        <f aca="false">IF(C175="","",IF(F175&gt;=$C$19,INDEX($C$63:$F$63,D175),INDEX($C$62:$F$62,D175)))</f>
        <v>58116.7137837838</v>
      </c>
      <c r="I175" s="23" t="n">
        <f aca="false">IF(C175="","",INDEX($C$64:$F$64,D175))</f>
        <v>68381.1581081081</v>
      </c>
      <c r="J175" s="23" t="n">
        <f aca="false">IF(C175="","",IF(F175&gt;=$C$19,INDEX($C$65:$F$65,D175),INDEX($C$64:$F$64,D175)))</f>
        <v>68381.1581081081</v>
      </c>
      <c r="K175" s="23" t="n">
        <f aca="false">IF(C175="","",IF(F175&gt;=$C$19,INDEX($C$67:$F$67,D175),INDEX($C$66:$F$66,D175)))</f>
        <v>58075.5140540541</v>
      </c>
    </row>
    <row r="176" customFormat="false" ht="15" hidden="false" customHeight="false" outlineLevel="0" collapsed="false">
      <c r="B176" s="16" t="n">
        <v>20</v>
      </c>
      <c r="C176" s="5" t="str">
        <f aca="false">IF(B176&gt;$C$30,"",IF(INT(B176*$C$27/$C$30)&gt;INT((B176-1)*$C$27/$C$30),"Misma loc.","Otra loc."))</f>
        <v>Otra loc.</v>
      </c>
      <c r="D176" s="16" t="n">
        <f aca="false">IF(C176="","",IF(C176="Misma loc.",1,$C$29))</f>
        <v>2</v>
      </c>
      <c r="E176" s="16" t="n">
        <f aca="false">IF(C176="","",COUNTIF($E$115:$E$150,"&lt;"&amp;(B176-0.000001))+1)</f>
        <v>3</v>
      </c>
      <c r="F176" s="16" t="n">
        <f aca="false">IF(C176="","",COUNTIF($E$157:E176,E176))</f>
        <v>5</v>
      </c>
      <c r="G176" s="23" t="n">
        <f aca="false">IF(C176="","",INDEX($C$51:$F$51,D176))</f>
        <v>99473.8108108108</v>
      </c>
      <c r="H176" s="23" t="n">
        <f aca="false">IF(C176="","",IF(F176&gt;=$C$19,INDEX($C$63:$F$63,D176),INDEX($C$62:$F$62,D176)))</f>
        <v>88600.7254054054</v>
      </c>
      <c r="I176" s="23" t="n">
        <f aca="false">IF(C176="","",INDEX($C$64:$F$64,D176))</f>
        <v>111149.808108108</v>
      </c>
      <c r="J176" s="23" t="n">
        <f aca="false">IF(C176="","",IF(F176&gt;=$C$19,INDEX($C$65:$F$65,D176),INDEX($C$64:$F$64,D176)))</f>
        <v>111149.808108108</v>
      </c>
      <c r="K176" s="23" t="n">
        <f aca="false">IF(C176="","",IF(F176&gt;=$C$19,INDEX($C$67:$F$67,D176),INDEX($C$66:$F$66,D176)))</f>
        <v>85046.6491891892</v>
      </c>
    </row>
    <row r="177" customFormat="false" ht="15" hidden="false" customHeight="false" outlineLevel="0" collapsed="false">
      <c r="B177" s="16" t="n">
        <v>21</v>
      </c>
      <c r="C177" s="5" t="str">
        <f aca="false">IF(B177&gt;$C$30,"",IF(INT(B177*$C$27/$C$30)&gt;INT((B177-1)*$C$27/$C$30),"Misma loc.","Otra loc."))</f>
        <v>Misma loc.</v>
      </c>
      <c r="D177" s="16" t="n">
        <f aca="false">IF(C177="","",IF(C177="Misma loc.",1,$C$29))</f>
        <v>1</v>
      </c>
      <c r="E177" s="16" t="n">
        <f aca="false">IF(C177="","",COUNTIF($E$115:$E$150,"&lt;"&amp;(B177-0.000001))+1)</f>
        <v>3</v>
      </c>
      <c r="F177" s="16" t="n">
        <f aca="false">IF(C177="","",COUNTIF($E$157:E177,E177))</f>
        <v>6</v>
      </c>
      <c r="G177" s="23" t="n">
        <f aca="false">IF(C177="","",INDEX($C$51:$F$51,D177))</f>
        <v>76047.4054054054</v>
      </c>
      <c r="H177" s="23" t="n">
        <f aca="false">IF(C177="","",IF(F177&gt;=$C$19,INDEX($C$63:$F$63,D177),INDEX($C$62:$F$62,D177)))</f>
        <v>39145.7082432432</v>
      </c>
      <c r="I177" s="23" t="n">
        <f aca="false">IF(C177="","",INDEX($C$64:$F$64,D177))</f>
        <v>68381.1581081081</v>
      </c>
      <c r="J177" s="23" t="n">
        <f aca="false">IF(C177="","",IF(F177&gt;=$C$19,INDEX($C$65:$F$65,D177),INDEX($C$64:$F$64,D177)))</f>
        <v>44277.9304054054</v>
      </c>
      <c r="K177" s="23" t="n">
        <f aca="false">IF(C177="","",IF(F177&gt;=$C$19,INDEX($C$67:$F$67,D177),INDEX($C$66:$F$66,D177)))</f>
        <v>53466.5945945946</v>
      </c>
    </row>
    <row r="178" customFormat="false" ht="15" hidden="false" customHeight="false" outlineLevel="0" collapsed="false">
      <c r="B178" s="16" t="n">
        <v>22</v>
      </c>
      <c r="C178" s="5" t="str">
        <f aca="false">IF(B178&gt;$C$30,"",IF(INT(B178*$C$27/$C$30)&gt;INT((B178-1)*$C$27/$C$30),"Misma loc.","Otra loc."))</f>
        <v>Otra loc.</v>
      </c>
      <c r="D178" s="16" t="n">
        <f aca="false">IF(C178="","",IF(C178="Misma loc.",1,$C$29))</f>
        <v>2</v>
      </c>
      <c r="E178" s="16" t="n">
        <f aca="false">IF(C178="","",COUNTIF($E$115:$E$150,"&lt;"&amp;(B178-0.000001))+1)</f>
        <v>3</v>
      </c>
      <c r="F178" s="16" t="n">
        <f aca="false">IF(C178="","",COUNTIF($E$157:E178,E178))</f>
        <v>7</v>
      </c>
      <c r="G178" s="23" t="n">
        <f aca="false">IF(C178="","",INDEX($C$51:$F$51,D178))</f>
        <v>99473.8108108108</v>
      </c>
      <c r="H178" s="23" t="n">
        <f aca="false">IF(C178="","",IF(F178&gt;=$C$19,INDEX($C$63:$F$63,D178),INDEX($C$62:$F$62,D178)))</f>
        <v>58755.7140540541</v>
      </c>
      <c r="I178" s="23" t="n">
        <f aca="false">IF(C178="","",INDEX($C$64:$F$64,D178))</f>
        <v>111149.808108108</v>
      </c>
      <c r="J178" s="23" t="n">
        <f aca="false">IF(C178="","",IF(F178&gt;=$C$19,INDEX($C$65:$F$65,D178),INDEX($C$64:$F$64,D178)))</f>
        <v>70030.2554054054</v>
      </c>
      <c r="K178" s="23" t="n">
        <f aca="false">IF(C178="","",IF(F178&gt;=$C$19,INDEX($C$67:$F$67,D178),INDEX($C$66:$F$66,D178)))</f>
        <v>62202.5945945946</v>
      </c>
    </row>
    <row r="179" customFormat="false" ht="15" hidden="false" customHeight="false" outlineLevel="0" collapsed="false">
      <c r="B179" s="16" t="n">
        <v>23</v>
      </c>
      <c r="C179" s="5" t="str">
        <f aca="false">IF(B179&gt;$C$30,"",IF(INT(B179*$C$27/$C$30)&gt;INT((B179-1)*$C$27/$C$30),"Misma loc.","Otra loc."))</f>
        <v>Otra loc.</v>
      </c>
      <c r="D179" s="16" t="n">
        <f aca="false">IF(C179="","",IF(C179="Misma loc.",1,$C$29))</f>
        <v>2</v>
      </c>
      <c r="E179" s="16" t="n">
        <f aca="false">IF(C179="","",COUNTIF($E$115:$E$150,"&lt;"&amp;(B179-0.000001))+1)</f>
        <v>4</v>
      </c>
      <c r="F179" s="16" t="n">
        <f aca="false">IF(C179="","",COUNTIF($E$157:E179,E179))</f>
        <v>1</v>
      </c>
      <c r="G179" s="23" t="n">
        <f aca="false">IF(C179="","",INDEX($C$51:$F$51,D179))</f>
        <v>99473.8108108108</v>
      </c>
      <c r="H179" s="23" t="n">
        <f aca="false">IF(C179="","",IF(F179&gt;=$C$19,INDEX($C$63:$F$63,D179),INDEX($C$62:$F$62,D179)))</f>
        <v>88600.7254054054</v>
      </c>
      <c r="I179" s="23" t="n">
        <f aca="false">IF(C179="","",INDEX($C$64:$F$64,D179))</f>
        <v>111149.808108108</v>
      </c>
      <c r="J179" s="23" t="n">
        <f aca="false">IF(C179="","",IF(F179&gt;=$C$19,INDEX($C$65:$F$65,D179),INDEX($C$64:$F$64,D179)))</f>
        <v>111149.808108108</v>
      </c>
      <c r="K179" s="23" t="n">
        <f aca="false">IF(C179="","",IF(F179&gt;=$C$19,INDEX($C$67:$F$67,D179),INDEX($C$66:$F$66,D179)))</f>
        <v>85046.6491891892</v>
      </c>
    </row>
    <row r="180" customFormat="false" ht="15" hidden="false" customHeight="false" outlineLevel="0" collapsed="false">
      <c r="B180" s="16" t="n">
        <v>24</v>
      </c>
      <c r="C180" s="5" t="str">
        <f aca="false">IF(B180&gt;$C$30,"",IF(INT(B180*$C$27/$C$30)&gt;INT((B180-1)*$C$27/$C$30),"Misma loc.","Otra loc."))</f>
        <v>Misma loc.</v>
      </c>
      <c r="D180" s="16" t="n">
        <f aca="false">IF(C180="","",IF(C180="Misma loc.",1,$C$29))</f>
        <v>1</v>
      </c>
      <c r="E180" s="16" t="n">
        <f aca="false">IF(C180="","",COUNTIF($E$115:$E$150,"&lt;"&amp;(B180-0.000001))+1)</f>
        <v>4</v>
      </c>
      <c r="F180" s="16" t="n">
        <f aca="false">IF(C180="","",COUNTIF($E$157:E180,E180))</f>
        <v>2</v>
      </c>
      <c r="G180" s="23" t="n">
        <f aca="false">IF(C180="","",INDEX($C$51:$F$51,D180))</f>
        <v>76047.4054054054</v>
      </c>
      <c r="H180" s="23" t="n">
        <f aca="false">IF(C180="","",IF(F180&gt;=$C$19,INDEX($C$63:$F$63,D180),INDEX($C$62:$F$62,D180)))</f>
        <v>58116.7137837838</v>
      </c>
      <c r="I180" s="23" t="n">
        <f aca="false">IF(C180="","",INDEX($C$64:$F$64,D180))</f>
        <v>68381.1581081081</v>
      </c>
      <c r="J180" s="23" t="n">
        <f aca="false">IF(C180="","",IF(F180&gt;=$C$19,INDEX($C$65:$F$65,D180),INDEX($C$64:$F$64,D180)))</f>
        <v>68381.1581081081</v>
      </c>
      <c r="K180" s="23" t="n">
        <f aca="false">IF(C180="","",IF(F180&gt;=$C$19,INDEX($C$67:$F$67,D180),INDEX($C$66:$F$66,D180)))</f>
        <v>58075.5140540541</v>
      </c>
    </row>
    <row r="181" customFormat="false" ht="15" hidden="false" customHeight="false" outlineLevel="0" collapsed="false">
      <c r="B181" s="16" t="n">
        <v>25</v>
      </c>
      <c r="C181" s="5" t="str">
        <f aca="false">IF(B181&gt;$C$30,"",IF(INT(B181*$C$27/$C$30)&gt;INT((B181-1)*$C$27/$C$30),"Misma loc.","Otra loc."))</f>
        <v>Otra loc.</v>
      </c>
      <c r="D181" s="16" t="n">
        <f aca="false">IF(C181="","",IF(C181="Misma loc.",1,$C$29))</f>
        <v>2</v>
      </c>
      <c r="E181" s="16" t="n">
        <f aca="false">IF(C181="","",COUNTIF($E$115:$E$150,"&lt;"&amp;(B181-0.000001))+1)</f>
        <v>4</v>
      </c>
      <c r="F181" s="16" t="n">
        <f aca="false">IF(C181="","",COUNTIF($E$157:E181,E181))</f>
        <v>3</v>
      </c>
      <c r="G181" s="23" t="n">
        <f aca="false">IF(C181="","",INDEX($C$51:$F$51,D181))</f>
        <v>99473.8108108108</v>
      </c>
      <c r="H181" s="23" t="n">
        <f aca="false">IF(C181="","",IF(F181&gt;=$C$19,INDEX($C$63:$F$63,D181),INDEX($C$62:$F$62,D181)))</f>
        <v>88600.7254054054</v>
      </c>
      <c r="I181" s="23" t="n">
        <f aca="false">IF(C181="","",INDEX($C$64:$F$64,D181))</f>
        <v>111149.808108108</v>
      </c>
      <c r="J181" s="23" t="n">
        <f aca="false">IF(C181="","",IF(F181&gt;=$C$19,INDEX($C$65:$F$65,D181),INDEX($C$64:$F$64,D181)))</f>
        <v>111149.808108108</v>
      </c>
      <c r="K181" s="23" t="n">
        <f aca="false">IF(C181="","",IF(F181&gt;=$C$19,INDEX($C$67:$F$67,D181),INDEX($C$66:$F$66,D181)))</f>
        <v>85046.6491891892</v>
      </c>
    </row>
    <row r="182" customFormat="false" ht="15" hidden="false" customHeight="false" outlineLevel="0" collapsed="false">
      <c r="B182" s="16" t="n">
        <v>26</v>
      </c>
      <c r="C182" s="5" t="str">
        <f aca="false">IF(B182&gt;$C$30,"",IF(INT(B182*$C$27/$C$30)&gt;INT((B182-1)*$C$27/$C$30),"Misma loc.","Otra loc."))</f>
        <v>Misma loc.</v>
      </c>
      <c r="D182" s="16" t="n">
        <f aca="false">IF(C182="","",IF(C182="Misma loc.",1,$C$29))</f>
        <v>1</v>
      </c>
      <c r="E182" s="16" t="n">
        <f aca="false">IF(C182="","",COUNTIF($E$115:$E$150,"&lt;"&amp;(B182-0.000001))+1)</f>
        <v>4</v>
      </c>
      <c r="F182" s="16" t="n">
        <f aca="false">IF(C182="","",COUNTIF($E$157:E182,E182))</f>
        <v>4</v>
      </c>
      <c r="G182" s="23" t="n">
        <f aca="false">IF(C182="","",INDEX($C$51:$F$51,D182))</f>
        <v>76047.4054054054</v>
      </c>
      <c r="H182" s="23" t="n">
        <f aca="false">IF(C182="","",IF(F182&gt;=$C$19,INDEX($C$63:$F$63,D182),INDEX($C$62:$F$62,D182)))</f>
        <v>58116.7137837838</v>
      </c>
      <c r="I182" s="23" t="n">
        <f aca="false">IF(C182="","",INDEX($C$64:$F$64,D182))</f>
        <v>68381.1581081081</v>
      </c>
      <c r="J182" s="23" t="n">
        <f aca="false">IF(C182="","",IF(F182&gt;=$C$19,INDEX($C$65:$F$65,D182),INDEX($C$64:$F$64,D182)))</f>
        <v>68381.1581081081</v>
      </c>
      <c r="K182" s="23" t="n">
        <f aca="false">IF(C182="","",IF(F182&gt;=$C$19,INDEX($C$67:$F$67,D182),INDEX($C$66:$F$66,D182)))</f>
        <v>58075.5140540541</v>
      </c>
    </row>
    <row r="183" customFormat="false" ht="15" hidden="false" customHeight="false" outlineLevel="0" collapsed="false">
      <c r="B183" s="16" t="n">
        <v>27</v>
      </c>
      <c r="C183" s="5" t="str">
        <f aca="false">IF(B183&gt;$C$30,"",IF(INT(B183*$C$27/$C$30)&gt;INT((B183-1)*$C$27/$C$30),"Misma loc.","Otra loc."))</f>
        <v>Otra loc.</v>
      </c>
      <c r="D183" s="16" t="n">
        <f aca="false">IF(C183="","",IF(C183="Misma loc.",1,$C$29))</f>
        <v>2</v>
      </c>
      <c r="E183" s="16" t="n">
        <f aca="false">IF(C183="","",COUNTIF($E$115:$E$150,"&lt;"&amp;(B183-0.000001))+1)</f>
        <v>4</v>
      </c>
      <c r="F183" s="16" t="n">
        <f aca="false">IF(C183="","",COUNTIF($E$157:E183,E183))</f>
        <v>5</v>
      </c>
      <c r="G183" s="23" t="n">
        <f aca="false">IF(C183="","",INDEX($C$51:$F$51,D183))</f>
        <v>99473.8108108108</v>
      </c>
      <c r="H183" s="23" t="n">
        <f aca="false">IF(C183="","",IF(F183&gt;=$C$19,INDEX($C$63:$F$63,D183),INDEX($C$62:$F$62,D183)))</f>
        <v>88600.7254054054</v>
      </c>
      <c r="I183" s="23" t="n">
        <f aca="false">IF(C183="","",INDEX($C$64:$F$64,D183))</f>
        <v>111149.808108108</v>
      </c>
      <c r="J183" s="23" t="n">
        <f aca="false">IF(C183="","",IF(F183&gt;=$C$19,INDEX($C$65:$F$65,D183),INDEX($C$64:$F$64,D183)))</f>
        <v>111149.808108108</v>
      </c>
      <c r="K183" s="23" t="n">
        <f aca="false">IF(C183="","",IF(F183&gt;=$C$19,INDEX($C$67:$F$67,D183),INDEX($C$66:$F$66,D183)))</f>
        <v>85046.6491891892</v>
      </c>
    </row>
    <row r="184" customFormat="false" ht="15" hidden="false" customHeight="false" outlineLevel="0" collapsed="false">
      <c r="B184" s="16" t="n">
        <v>28</v>
      </c>
      <c r="C184" s="5" t="str">
        <f aca="false">IF(B184&gt;$C$30,"",IF(INT(B184*$C$27/$C$30)&gt;INT((B184-1)*$C$27/$C$30),"Misma loc.","Otra loc."))</f>
        <v>Misma loc.</v>
      </c>
      <c r="D184" s="16" t="n">
        <f aca="false">IF(C184="","",IF(C184="Misma loc.",1,$C$29))</f>
        <v>1</v>
      </c>
      <c r="E184" s="16" t="n">
        <f aca="false">IF(C184="","",COUNTIF($E$115:$E$150,"&lt;"&amp;(B184-0.000001))+1)</f>
        <v>4</v>
      </c>
      <c r="F184" s="16" t="n">
        <f aca="false">IF(C184="","",COUNTIF($E$157:E184,E184))</f>
        <v>6</v>
      </c>
      <c r="G184" s="23" t="n">
        <f aca="false">IF(C184="","",INDEX($C$51:$F$51,D184))</f>
        <v>76047.4054054054</v>
      </c>
      <c r="H184" s="23" t="n">
        <f aca="false">IF(C184="","",IF(F184&gt;=$C$19,INDEX($C$63:$F$63,D184),INDEX($C$62:$F$62,D184)))</f>
        <v>39145.7082432432</v>
      </c>
      <c r="I184" s="23" t="n">
        <f aca="false">IF(C184="","",INDEX($C$64:$F$64,D184))</f>
        <v>68381.1581081081</v>
      </c>
      <c r="J184" s="23" t="n">
        <f aca="false">IF(C184="","",IF(F184&gt;=$C$19,INDEX($C$65:$F$65,D184),INDEX($C$64:$F$64,D184)))</f>
        <v>44277.9304054054</v>
      </c>
      <c r="K184" s="23" t="n">
        <f aca="false">IF(C184="","",IF(F184&gt;=$C$19,INDEX($C$67:$F$67,D184),INDEX($C$66:$F$66,D184)))</f>
        <v>53466.5945945946</v>
      </c>
    </row>
    <row r="185" customFormat="false" ht="15" hidden="false" customHeight="false" outlineLevel="0" collapsed="false">
      <c r="B185" s="16" t="n">
        <v>29</v>
      </c>
      <c r="C185" s="5" t="str">
        <f aca="false">IF(B185&gt;$C$30,"",IF(INT(B185*$C$27/$C$30)&gt;INT((B185-1)*$C$27/$C$30),"Misma loc.","Otra loc."))</f>
        <v>Otra loc.</v>
      </c>
      <c r="D185" s="16" t="n">
        <f aca="false">IF(C185="","",IF(C185="Misma loc.",1,$C$29))</f>
        <v>2</v>
      </c>
      <c r="E185" s="16" t="n">
        <f aca="false">IF(C185="","",COUNTIF($E$115:$E$150,"&lt;"&amp;(B185-0.000001))+1)</f>
        <v>4</v>
      </c>
      <c r="F185" s="16" t="n">
        <f aca="false">IF(C185="","",COUNTIF($E$157:E185,E185))</f>
        <v>7</v>
      </c>
      <c r="G185" s="23" t="n">
        <f aca="false">IF(C185="","",INDEX($C$51:$F$51,D185))</f>
        <v>99473.8108108108</v>
      </c>
      <c r="H185" s="23" t="n">
        <f aca="false">IF(C185="","",IF(F185&gt;=$C$19,INDEX($C$63:$F$63,D185),INDEX($C$62:$F$62,D185)))</f>
        <v>58755.7140540541</v>
      </c>
      <c r="I185" s="23" t="n">
        <f aca="false">IF(C185="","",INDEX($C$64:$F$64,D185))</f>
        <v>111149.808108108</v>
      </c>
      <c r="J185" s="23" t="n">
        <f aca="false">IF(C185="","",IF(F185&gt;=$C$19,INDEX($C$65:$F$65,D185),INDEX($C$64:$F$64,D185)))</f>
        <v>70030.2554054054</v>
      </c>
      <c r="K185" s="23" t="n">
        <f aca="false">IF(C185="","",IF(F185&gt;=$C$19,INDEX($C$67:$F$67,D185),INDEX($C$66:$F$66,D185)))</f>
        <v>62202.5945945946</v>
      </c>
    </row>
    <row r="186" customFormat="false" ht="15" hidden="false" customHeight="false" outlineLevel="0" collapsed="false">
      <c r="B186" s="16" t="n">
        <v>30</v>
      </c>
      <c r="C186" s="5" t="str">
        <f aca="false">IF(B186&gt;$C$30,"",IF(INT(B186*$C$27/$C$30)&gt;INT((B186-1)*$C$27/$C$30),"Misma loc.","Otra loc."))</f>
        <v>Otra loc.</v>
      </c>
      <c r="D186" s="16" t="n">
        <f aca="false">IF(C186="","",IF(C186="Misma loc.",1,$C$29))</f>
        <v>2</v>
      </c>
      <c r="E186" s="16" t="n">
        <f aca="false">IF(C186="","",COUNTIF($E$115:$E$150,"&lt;"&amp;(B186-0.000001))+1)</f>
        <v>5</v>
      </c>
      <c r="F186" s="16" t="n">
        <f aca="false">IF(C186="","",COUNTIF($E$157:E186,E186))</f>
        <v>1</v>
      </c>
      <c r="G186" s="23" t="n">
        <f aca="false">IF(C186="","",INDEX($C$51:$F$51,D186))</f>
        <v>99473.8108108108</v>
      </c>
      <c r="H186" s="23" t="n">
        <f aca="false">IF(C186="","",IF(F186&gt;=$C$19,INDEX($C$63:$F$63,D186),INDEX($C$62:$F$62,D186)))</f>
        <v>88600.7254054054</v>
      </c>
      <c r="I186" s="23" t="n">
        <f aca="false">IF(C186="","",INDEX($C$64:$F$64,D186))</f>
        <v>111149.808108108</v>
      </c>
      <c r="J186" s="23" t="n">
        <f aca="false">IF(C186="","",IF(F186&gt;=$C$19,INDEX($C$65:$F$65,D186),INDEX($C$64:$F$64,D186)))</f>
        <v>111149.808108108</v>
      </c>
      <c r="K186" s="23" t="n">
        <f aca="false">IF(C186="","",IF(F186&gt;=$C$19,INDEX($C$67:$F$67,D186),INDEX($C$66:$F$66,D186)))</f>
        <v>85046.6491891892</v>
      </c>
    </row>
    <row r="187" customFormat="false" ht="15" hidden="false" customHeight="false" outlineLevel="0" collapsed="false">
      <c r="B187" s="16" t="n">
        <v>31</v>
      </c>
      <c r="C187" s="5" t="str">
        <f aca="false">IF(B187&gt;$C$30,"",IF(INT(B187*$C$27/$C$30)&gt;INT((B187-1)*$C$27/$C$30),"Misma loc.","Otra loc."))</f>
        <v>Misma loc.</v>
      </c>
      <c r="D187" s="16" t="n">
        <f aca="false">IF(C187="","",IF(C187="Misma loc.",1,$C$29))</f>
        <v>1</v>
      </c>
      <c r="E187" s="16" t="n">
        <f aca="false">IF(C187="","",COUNTIF($E$115:$E$150,"&lt;"&amp;(B187-0.000001))+1)</f>
        <v>5</v>
      </c>
      <c r="F187" s="16" t="n">
        <f aca="false">IF(C187="","",COUNTIF($E$157:E187,E187))</f>
        <v>2</v>
      </c>
      <c r="G187" s="23" t="n">
        <f aca="false">IF(C187="","",INDEX($C$51:$F$51,D187))</f>
        <v>76047.4054054054</v>
      </c>
      <c r="H187" s="23" t="n">
        <f aca="false">IF(C187="","",IF(F187&gt;=$C$19,INDEX($C$63:$F$63,D187),INDEX($C$62:$F$62,D187)))</f>
        <v>58116.7137837838</v>
      </c>
      <c r="I187" s="23" t="n">
        <f aca="false">IF(C187="","",INDEX($C$64:$F$64,D187))</f>
        <v>68381.1581081081</v>
      </c>
      <c r="J187" s="23" t="n">
        <f aca="false">IF(C187="","",IF(F187&gt;=$C$19,INDEX($C$65:$F$65,D187),INDEX($C$64:$F$64,D187)))</f>
        <v>68381.1581081081</v>
      </c>
      <c r="K187" s="23" t="n">
        <f aca="false">IF(C187="","",IF(F187&gt;=$C$19,INDEX($C$67:$F$67,D187),INDEX($C$66:$F$66,D187)))</f>
        <v>58075.5140540541</v>
      </c>
    </row>
    <row r="188" customFormat="false" ht="15" hidden="false" customHeight="false" outlineLevel="0" collapsed="false">
      <c r="B188" s="16" t="n">
        <v>32</v>
      </c>
      <c r="C188" s="5" t="str">
        <f aca="false">IF(B188&gt;$C$30,"",IF(INT(B188*$C$27/$C$30)&gt;INT((B188-1)*$C$27/$C$30),"Misma loc.","Otra loc."))</f>
        <v>Otra loc.</v>
      </c>
      <c r="D188" s="16" t="n">
        <f aca="false">IF(C188="","",IF(C188="Misma loc.",1,$C$29))</f>
        <v>2</v>
      </c>
      <c r="E188" s="16" t="n">
        <f aca="false">IF(C188="","",COUNTIF($E$115:$E$150,"&lt;"&amp;(B188-0.000001))+1)</f>
        <v>5</v>
      </c>
      <c r="F188" s="16" t="n">
        <f aca="false">IF(C188="","",COUNTIF($E$157:E188,E188))</f>
        <v>3</v>
      </c>
      <c r="G188" s="23" t="n">
        <f aca="false">IF(C188="","",INDEX($C$51:$F$51,D188))</f>
        <v>99473.8108108108</v>
      </c>
      <c r="H188" s="23" t="n">
        <f aca="false">IF(C188="","",IF(F188&gt;=$C$19,INDEX($C$63:$F$63,D188),INDEX($C$62:$F$62,D188)))</f>
        <v>88600.7254054054</v>
      </c>
      <c r="I188" s="23" t="n">
        <f aca="false">IF(C188="","",INDEX($C$64:$F$64,D188))</f>
        <v>111149.808108108</v>
      </c>
      <c r="J188" s="23" t="n">
        <f aca="false">IF(C188="","",IF(F188&gt;=$C$19,INDEX($C$65:$F$65,D188),INDEX($C$64:$F$64,D188)))</f>
        <v>111149.808108108</v>
      </c>
      <c r="K188" s="23" t="n">
        <f aca="false">IF(C188="","",IF(F188&gt;=$C$19,INDEX($C$67:$F$67,D188),INDEX($C$66:$F$66,D188)))</f>
        <v>85046.6491891892</v>
      </c>
    </row>
    <row r="189" customFormat="false" ht="15" hidden="false" customHeight="false" outlineLevel="0" collapsed="false">
      <c r="B189" s="16" t="n">
        <v>33</v>
      </c>
      <c r="C189" s="5" t="str">
        <f aca="false">IF(B189&gt;$C$30,"",IF(INT(B189*$C$27/$C$30)&gt;INT((B189-1)*$C$27/$C$30),"Misma loc.","Otra loc."))</f>
        <v>Misma loc.</v>
      </c>
      <c r="D189" s="16" t="n">
        <f aca="false">IF(C189="","",IF(C189="Misma loc.",1,$C$29))</f>
        <v>1</v>
      </c>
      <c r="E189" s="16" t="n">
        <f aca="false">IF(C189="","",COUNTIF($E$115:$E$150,"&lt;"&amp;(B189-0.000001))+1)</f>
        <v>5</v>
      </c>
      <c r="F189" s="16" t="n">
        <f aca="false">IF(C189="","",COUNTIF($E$157:E189,E189))</f>
        <v>4</v>
      </c>
      <c r="G189" s="23" t="n">
        <f aca="false">IF(C189="","",INDEX($C$51:$F$51,D189))</f>
        <v>76047.4054054054</v>
      </c>
      <c r="H189" s="23" t="n">
        <f aca="false">IF(C189="","",IF(F189&gt;=$C$19,INDEX($C$63:$F$63,D189),INDEX($C$62:$F$62,D189)))</f>
        <v>58116.7137837838</v>
      </c>
      <c r="I189" s="23" t="n">
        <f aca="false">IF(C189="","",INDEX($C$64:$F$64,D189))</f>
        <v>68381.1581081081</v>
      </c>
      <c r="J189" s="23" t="n">
        <f aca="false">IF(C189="","",IF(F189&gt;=$C$19,INDEX($C$65:$F$65,D189),INDEX($C$64:$F$64,D189)))</f>
        <v>68381.1581081081</v>
      </c>
      <c r="K189" s="23" t="n">
        <f aca="false">IF(C189="","",IF(F189&gt;=$C$19,INDEX($C$67:$F$67,D189),INDEX($C$66:$F$66,D189)))</f>
        <v>58075.5140540541</v>
      </c>
    </row>
    <row r="190" customFormat="false" ht="15" hidden="false" customHeight="false" outlineLevel="0" collapsed="false">
      <c r="B190" s="16" t="n">
        <v>34</v>
      </c>
      <c r="C190" s="5" t="str">
        <f aca="false">IF(B190&gt;$C$30,"",IF(INT(B190*$C$27/$C$30)&gt;INT((B190-1)*$C$27/$C$30),"Misma loc.","Otra loc."))</f>
        <v>Otra loc.</v>
      </c>
      <c r="D190" s="16" t="n">
        <f aca="false">IF(C190="","",IF(C190="Misma loc.",1,$C$29))</f>
        <v>2</v>
      </c>
      <c r="E190" s="16" t="n">
        <f aca="false">IF(C190="","",COUNTIF($E$115:$E$150,"&lt;"&amp;(B190-0.000001))+1)</f>
        <v>5</v>
      </c>
      <c r="F190" s="16" t="n">
        <f aca="false">IF(C190="","",COUNTIF($E$157:E190,E190))</f>
        <v>5</v>
      </c>
      <c r="G190" s="23" t="n">
        <f aca="false">IF(C190="","",INDEX($C$51:$F$51,D190))</f>
        <v>99473.8108108108</v>
      </c>
      <c r="H190" s="23" t="n">
        <f aca="false">IF(C190="","",IF(F190&gt;=$C$19,INDEX($C$63:$F$63,D190),INDEX($C$62:$F$62,D190)))</f>
        <v>88600.7254054054</v>
      </c>
      <c r="I190" s="23" t="n">
        <f aca="false">IF(C190="","",INDEX($C$64:$F$64,D190))</f>
        <v>111149.808108108</v>
      </c>
      <c r="J190" s="23" t="n">
        <f aca="false">IF(C190="","",IF(F190&gt;=$C$19,INDEX($C$65:$F$65,D190),INDEX($C$64:$F$64,D190)))</f>
        <v>111149.808108108</v>
      </c>
      <c r="K190" s="23" t="n">
        <f aca="false">IF(C190="","",IF(F190&gt;=$C$19,INDEX($C$67:$F$67,D190),INDEX($C$66:$F$66,D190)))</f>
        <v>85046.6491891892</v>
      </c>
    </row>
    <row r="191" customFormat="false" ht="15" hidden="false" customHeight="false" outlineLevel="0" collapsed="false">
      <c r="B191" s="16" t="n">
        <v>35</v>
      </c>
      <c r="C191" s="5" t="str">
        <f aca="false">IF(B191&gt;$C$30,"",IF(INT(B191*$C$27/$C$30)&gt;INT((B191-1)*$C$27/$C$30),"Misma loc.","Otra loc."))</f>
        <v>Misma loc.</v>
      </c>
      <c r="D191" s="16" t="n">
        <f aca="false">IF(C191="","",IF(C191="Misma loc.",1,$C$29))</f>
        <v>1</v>
      </c>
      <c r="E191" s="16" t="n">
        <f aca="false">IF(C191="","",COUNTIF($E$115:$E$150,"&lt;"&amp;(B191-0.000001))+1)</f>
        <v>5</v>
      </c>
      <c r="F191" s="16" t="n">
        <f aca="false">IF(C191="","",COUNTIF($E$157:E191,E191))</f>
        <v>6</v>
      </c>
      <c r="G191" s="23" t="n">
        <f aca="false">IF(C191="","",INDEX($C$51:$F$51,D191))</f>
        <v>76047.4054054054</v>
      </c>
      <c r="H191" s="23" t="n">
        <f aca="false">IF(C191="","",IF(F191&gt;=$C$19,INDEX($C$63:$F$63,D191),INDEX($C$62:$F$62,D191)))</f>
        <v>39145.7082432432</v>
      </c>
      <c r="I191" s="23" t="n">
        <f aca="false">IF(C191="","",INDEX($C$64:$F$64,D191))</f>
        <v>68381.1581081081</v>
      </c>
      <c r="J191" s="23" t="n">
        <f aca="false">IF(C191="","",IF(F191&gt;=$C$19,INDEX($C$65:$F$65,D191),INDEX($C$64:$F$64,D191)))</f>
        <v>44277.9304054054</v>
      </c>
      <c r="K191" s="23" t="n">
        <f aca="false">IF(C191="","",IF(F191&gt;=$C$19,INDEX($C$67:$F$67,D191),INDEX($C$66:$F$66,D191)))</f>
        <v>53466.5945945946</v>
      </c>
    </row>
    <row r="192" customFormat="false" ht="15" hidden="false" customHeight="false" outlineLevel="0" collapsed="false">
      <c r="B192" s="16" t="n">
        <v>36</v>
      </c>
      <c r="C192" s="5" t="str">
        <f aca="false">IF(B192&gt;$C$30,"",IF(INT(B192*$C$27/$C$30)&gt;INT((B192-1)*$C$27/$C$30),"Misma loc.","Otra loc."))</f>
        <v/>
      </c>
      <c r="D192" s="16" t="str">
        <f aca="false">IF(C192="","",IF(C192="Misma loc.",1,$C$29))</f>
        <v/>
      </c>
      <c r="E192" s="16" t="str">
        <f aca="false">IF(C192="","",COUNTIF($E$115:$E$150,"&lt;"&amp;(B192-0.000001))+1)</f>
        <v/>
      </c>
      <c r="F192" s="16" t="str">
        <f aca="false">IF(C192="","",COUNTIF($E$157:E192,E192))</f>
        <v/>
      </c>
      <c r="G192" s="23" t="str">
        <f aca="false">IF(C192="","",INDEX($C$51:$F$51,D192))</f>
        <v/>
      </c>
      <c r="H192" s="23" t="str">
        <f aca="false">IF(C192="","",IF(F192&gt;=$C$19,INDEX($C$63:$F$63,D192),INDEX($C$62:$F$62,D192)))</f>
        <v/>
      </c>
      <c r="I192" s="23" t="str">
        <f aca="false">IF(C192="","",INDEX($C$64:$F$64,D192))</f>
        <v/>
      </c>
      <c r="J192" s="23" t="str">
        <f aca="false">IF(C192="","",IF(F192&gt;=$C$19,INDEX($C$65:$F$65,D192),INDEX($C$64:$F$64,D192)))</f>
        <v/>
      </c>
      <c r="K192" s="23" t="str">
        <f aca="false">IF(C192="","",IF(F192&gt;=$C$19,INDEX($C$67:$F$67,D192),INDEX($C$66:$F$66,D192)))</f>
        <v/>
      </c>
    </row>
    <row r="193" customFormat="false" ht="15" hidden="false" customHeight="false" outlineLevel="0" collapsed="false">
      <c r="B193" s="16" t="n">
        <v>37</v>
      </c>
      <c r="C193" s="5" t="str">
        <f aca="false">IF(B193&gt;$C$30,"",IF(INT(B193*$C$27/$C$30)&gt;INT((B193-1)*$C$27/$C$30),"Misma loc.","Otra loc."))</f>
        <v/>
      </c>
      <c r="D193" s="16" t="str">
        <f aca="false">IF(C193="","",IF(C193="Misma loc.",1,$C$29))</f>
        <v/>
      </c>
      <c r="E193" s="16" t="str">
        <f aca="false">IF(C193="","",COUNTIF($E$115:$E$150,"&lt;"&amp;(B193-0.000001))+1)</f>
        <v/>
      </c>
      <c r="F193" s="16" t="str">
        <f aca="false">IF(C193="","",COUNTIF($E$157:E193,E193))</f>
        <v/>
      </c>
      <c r="G193" s="23" t="str">
        <f aca="false">IF(C193="","",INDEX($C$51:$F$51,D193))</f>
        <v/>
      </c>
      <c r="H193" s="23" t="str">
        <f aca="false">IF(C193="","",IF(F193&gt;=$C$19,INDEX($C$63:$F$63,D193),INDEX($C$62:$F$62,D193)))</f>
        <v/>
      </c>
      <c r="I193" s="23" t="str">
        <f aca="false">IF(C193="","",INDEX($C$64:$F$64,D193))</f>
        <v/>
      </c>
      <c r="J193" s="23" t="str">
        <f aca="false">IF(C193="","",IF(F193&gt;=$C$19,INDEX($C$65:$F$65,D193),INDEX($C$64:$F$64,D193)))</f>
        <v/>
      </c>
      <c r="K193" s="23" t="str">
        <f aca="false">IF(C193="","",IF(F193&gt;=$C$19,INDEX($C$67:$F$67,D193),INDEX($C$66:$F$66,D193)))</f>
        <v/>
      </c>
    </row>
    <row r="194" customFormat="false" ht="15" hidden="false" customHeight="false" outlineLevel="0" collapsed="false">
      <c r="B194" s="16" t="n">
        <v>38</v>
      </c>
      <c r="C194" s="5" t="str">
        <f aca="false">IF(B194&gt;$C$30,"",IF(INT(B194*$C$27/$C$30)&gt;INT((B194-1)*$C$27/$C$30),"Misma loc.","Otra loc."))</f>
        <v/>
      </c>
      <c r="D194" s="16" t="str">
        <f aca="false">IF(C194="","",IF(C194="Misma loc.",1,$C$29))</f>
        <v/>
      </c>
      <c r="E194" s="16" t="str">
        <f aca="false">IF(C194="","",COUNTIF($E$115:$E$150,"&lt;"&amp;(B194-0.000001))+1)</f>
        <v/>
      </c>
      <c r="F194" s="16" t="str">
        <f aca="false">IF(C194="","",COUNTIF($E$157:E194,E194))</f>
        <v/>
      </c>
      <c r="G194" s="23" t="str">
        <f aca="false">IF(C194="","",INDEX($C$51:$F$51,D194))</f>
        <v/>
      </c>
      <c r="H194" s="23" t="str">
        <f aca="false">IF(C194="","",IF(F194&gt;=$C$19,INDEX($C$63:$F$63,D194),INDEX($C$62:$F$62,D194)))</f>
        <v/>
      </c>
      <c r="I194" s="23" t="str">
        <f aca="false">IF(C194="","",INDEX($C$64:$F$64,D194))</f>
        <v/>
      </c>
      <c r="J194" s="23" t="str">
        <f aca="false">IF(C194="","",IF(F194&gt;=$C$19,INDEX($C$65:$F$65,D194),INDEX($C$64:$F$64,D194)))</f>
        <v/>
      </c>
      <c r="K194" s="23" t="str">
        <f aca="false">IF(C194="","",IF(F194&gt;=$C$19,INDEX($C$67:$F$67,D194),INDEX($C$66:$F$66,D194)))</f>
        <v/>
      </c>
    </row>
    <row r="195" customFormat="false" ht="15" hidden="false" customHeight="false" outlineLevel="0" collapsed="false">
      <c r="B195" s="16" t="n">
        <v>39</v>
      </c>
      <c r="C195" s="5" t="str">
        <f aca="false">IF(B195&gt;$C$30,"",IF(INT(B195*$C$27/$C$30)&gt;INT((B195-1)*$C$27/$C$30),"Misma loc.","Otra loc."))</f>
        <v/>
      </c>
      <c r="D195" s="16" t="str">
        <f aca="false">IF(C195="","",IF(C195="Misma loc.",1,$C$29))</f>
        <v/>
      </c>
      <c r="E195" s="16" t="str">
        <f aca="false">IF(C195="","",COUNTIF($E$115:$E$150,"&lt;"&amp;(B195-0.000001))+1)</f>
        <v/>
      </c>
      <c r="F195" s="16" t="str">
        <f aca="false">IF(C195="","",COUNTIF($E$157:E195,E195))</f>
        <v/>
      </c>
      <c r="G195" s="23" t="str">
        <f aca="false">IF(C195="","",INDEX($C$51:$F$51,D195))</f>
        <v/>
      </c>
      <c r="H195" s="23" t="str">
        <f aca="false">IF(C195="","",IF(F195&gt;=$C$19,INDEX($C$63:$F$63,D195),INDEX($C$62:$F$62,D195)))</f>
        <v/>
      </c>
      <c r="I195" s="23" t="str">
        <f aca="false">IF(C195="","",INDEX($C$64:$F$64,D195))</f>
        <v/>
      </c>
      <c r="J195" s="23" t="str">
        <f aca="false">IF(C195="","",IF(F195&gt;=$C$19,INDEX($C$65:$F$65,D195),INDEX($C$64:$F$64,D195)))</f>
        <v/>
      </c>
      <c r="K195" s="23" t="str">
        <f aca="false">IF(C195="","",IF(F195&gt;=$C$19,INDEX($C$67:$F$67,D195),INDEX($C$66:$F$66,D195)))</f>
        <v/>
      </c>
    </row>
    <row r="196" customFormat="false" ht="15" hidden="false" customHeight="false" outlineLevel="0" collapsed="false">
      <c r="B196" s="16" t="n">
        <v>40</v>
      </c>
      <c r="C196" s="5" t="str">
        <f aca="false">IF(B196&gt;$C$30,"",IF(INT(B196*$C$27/$C$30)&gt;INT((B196-1)*$C$27/$C$30),"Misma loc.","Otra loc."))</f>
        <v/>
      </c>
      <c r="D196" s="16" t="str">
        <f aca="false">IF(C196="","",IF(C196="Misma loc.",1,$C$29))</f>
        <v/>
      </c>
      <c r="E196" s="16" t="str">
        <f aca="false">IF(C196="","",COUNTIF($E$115:$E$150,"&lt;"&amp;(B196-0.000001))+1)</f>
        <v/>
      </c>
      <c r="F196" s="16" t="str">
        <f aca="false">IF(C196="","",COUNTIF($E$157:E196,E196))</f>
        <v/>
      </c>
      <c r="G196" s="23" t="str">
        <f aca="false">IF(C196="","",INDEX($C$51:$F$51,D196))</f>
        <v/>
      </c>
      <c r="H196" s="23" t="str">
        <f aca="false">IF(C196="","",IF(F196&gt;=$C$19,INDEX($C$63:$F$63,D196),INDEX($C$62:$F$62,D196)))</f>
        <v/>
      </c>
      <c r="I196" s="23" t="str">
        <f aca="false">IF(C196="","",INDEX($C$64:$F$64,D196))</f>
        <v/>
      </c>
      <c r="J196" s="23" t="str">
        <f aca="false">IF(C196="","",IF(F196&gt;=$C$19,INDEX($C$65:$F$65,D196),INDEX($C$64:$F$64,D196)))</f>
        <v/>
      </c>
      <c r="K196" s="23" t="str">
        <f aca="false">IF(C196="","",IF(F196&gt;=$C$19,INDEX($C$67:$F$67,D196),INDEX($C$66:$F$66,D196)))</f>
        <v/>
      </c>
    </row>
    <row r="197" customFormat="false" ht="15" hidden="false" customHeight="false" outlineLevel="0" collapsed="false">
      <c r="B197" s="16" t="n">
        <v>41</v>
      </c>
      <c r="C197" s="5" t="str">
        <f aca="false">IF(B197&gt;$C$30,"",IF(INT(B197*$C$27/$C$30)&gt;INT((B197-1)*$C$27/$C$30),"Misma loc.","Otra loc."))</f>
        <v/>
      </c>
      <c r="D197" s="16" t="str">
        <f aca="false">IF(C197="","",IF(C197="Misma loc.",1,$C$29))</f>
        <v/>
      </c>
      <c r="E197" s="16" t="str">
        <f aca="false">IF(C197="","",COUNTIF($E$115:$E$150,"&lt;"&amp;(B197-0.000001))+1)</f>
        <v/>
      </c>
      <c r="F197" s="16" t="str">
        <f aca="false">IF(C197="","",COUNTIF($E$157:E197,E197))</f>
        <v/>
      </c>
      <c r="G197" s="23" t="str">
        <f aca="false">IF(C197="","",INDEX($C$51:$F$51,D197))</f>
        <v/>
      </c>
      <c r="H197" s="23" t="str">
        <f aca="false">IF(C197="","",IF(F197&gt;=$C$19,INDEX($C$63:$F$63,D197),INDEX($C$62:$F$62,D197)))</f>
        <v/>
      </c>
      <c r="I197" s="23" t="str">
        <f aca="false">IF(C197="","",INDEX($C$64:$F$64,D197))</f>
        <v/>
      </c>
      <c r="J197" s="23" t="str">
        <f aca="false">IF(C197="","",IF(F197&gt;=$C$19,INDEX($C$65:$F$65,D197),INDEX($C$64:$F$64,D197)))</f>
        <v/>
      </c>
      <c r="K197" s="23" t="str">
        <f aca="false">IF(C197="","",IF(F197&gt;=$C$19,INDEX($C$67:$F$67,D197),INDEX($C$66:$F$66,D197)))</f>
        <v/>
      </c>
    </row>
    <row r="198" customFormat="false" ht="15" hidden="false" customHeight="false" outlineLevel="0" collapsed="false">
      <c r="B198" s="16" t="n">
        <v>42</v>
      </c>
      <c r="C198" s="5" t="str">
        <f aca="false">IF(B198&gt;$C$30,"",IF(INT(B198*$C$27/$C$30)&gt;INT((B198-1)*$C$27/$C$30),"Misma loc.","Otra loc."))</f>
        <v/>
      </c>
      <c r="D198" s="16" t="str">
        <f aca="false">IF(C198="","",IF(C198="Misma loc.",1,$C$29))</f>
        <v/>
      </c>
      <c r="E198" s="16" t="str">
        <f aca="false">IF(C198="","",COUNTIF($E$115:$E$150,"&lt;"&amp;(B198-0.000001))+1)</f>
        <v/>
      </c>
      <c r="F198" s="16" t="str">
        <f aca="false">IF(C198="","",COUNTIF($E$157:E198,E198))</f>
        <v/>
      </c>
      <c r="G198" s="23" t="str">
        <f aca="false">IF(C198="","",INDEX($C$51:$F$51,D198))</f>
        <v/>
      </c>
      <c r="H198" s="23" t="str">
        <f aca="false">IF(C198="","",IF(F198&gt;=$C$19,INDEX($C$63:$F$63,D198),INDEX($C$62:$F$62,D198)))</f>
        <v/>
      </c>
      <c r="I198" s="23" t="str">
        <f aca="false">IF(C198="","",INDEX($C$64:$F$64,D198))</f>
        <v/>
      </c>
      <c r="J198" s="23" t="str">
        <f aca="false">IF(C198="","",IF(F198&gt;=$C$19,INDEX($C$65:$F$65,D198),INDEX($C$64:$F$64,D198)))</f>
        <v/>
      </c>
      <c r="K198" s="23" t="str">
        <f aca="false">IF(C198="","",IF(F198&gt;=$C$19,INDEX($C$67:$F$67,D198),INDEX($C$66:$F$66,D198)))</f>
        <v/>
      </c>
    </row>
    <row r="199" customFormat="false" ht="15" hidden="false" customHeight="false" outlineLevel="0" collapsed="false">
      <c r="B199" s="16" t="n">
        <v>43</v>
      </c>
      <c r="C199" s="5" t="str">
        <f aca="false">IF(B199&gt;$C$30,"",IF(INT(B199*$C$27/$C$30)&gt;INT((B199-1)*$C$27/$C$30),"Misma loc.","Otra loc."))</f>
        <v/>
      </c>
      <c r="D199" s="16" t="str">
        <f aca="false">IF(C199="","",IF(C199="Misma loc.",1,$C$29))</f>
        <v/>
      </c>
      <c r="E199" s="16" t="str">
        <f aca="false">IF(C199="","",COUNTIF($E$115:$E$150,"&lt;"&amp;(B199-0.000001))+1)</f>
        <v/>
      </c>
      <c r="F199" s="16" t="str">
        <f aca="false">IF(C199="","",COUNTIF($E$157:E199,E199))</f>
        <v/>
      </c>
      <c r="G199" s="23" t="str">
        <f aca="false">IF(C199="","",INDEX($C$51:$F$51,D199))</f>
        <v/>
      </c>
      <c r="H199" s="23" t="str">
        <f aca="false">IF(C199="","",IF(F199&gt;=$C$19,INDEX($C$63:$F$63,D199),INDEX($C$62:$F$62,D199)))</f>
        <v/>
      </c>
      <c r="I199" s="23" t="str">
        <f aca="false">IF(C199="","",INDEX($C$64:$F$64,D199))</f>
        <v/>
      </c>
      <c r="J199" s="23" t="str">
        <f aca="false">IF(C199="","",IF(F199&gt;=$C$19,INDEX($C$65:$F$65,D199),INDEX($C$64:$F$64,D199)))</f>
        <v/>
      </c>
      <c r="K199" s="23" t="str">
        <f aca="false">IF(C199="","",IF(F199&gt;=$C$19,INDEX($C$67:$F$67,D199),INDEX($C$66:$F$66,D199)))</f>
        <v/>
      </c>
    </row>
    <row r="200" customFormat="false" ht="15" hidden="false" customHeight="false" outlineLevel="0" collapsed="false">
      <c r="B200" s="16" t="n">
        <v>44</v>
      </c>
      <c r="C200" s="5" t="str">
        <f aca="false">IF(B200&gt;$C$30,"",IF(INT(B200*$C$27/$C$30)&gt;INT((B200-1)*$C$27/$C$30),"Misma loc.","Otra loc."))</f>
        <v/>
      </c>
      <c r="D200" s="16" t="str">
        <f aca="false">IF(C200="","",IF(C200="Misma loc.",1,$C$29))</f>
        <v/>
      </c>
      <c r="E200" s="16" t="str">
        <f aca="false">IF(C200="","",COUNTIF($E$115:$E$150,"&lt;"&amp;(B200-0.000001))+1)</f>
        <v/>
      </c>
      <c r="F200" s="16" t="str">
        <f aca="false">IF(C200="","",COUNTIF($E$157:E200,E200))</f>
        <v/>
      </c>
      <c r="G200" s="23" t="str">
        <f aca="false">IF(C200="","",INDEX($C$51:$F$51,D200))</f>
        <v/>
      </c>
      <c r="H200" s="23" t="str">
        <f aca="false">IF(C200="","",IF(F200&gt;=$C$19,INDEX($C$63:$F$63,D200),INDEX($C$62:$F$62,D200)))</f>
        <v/>
      </c>
      <c r="I200" s="23" t="str">
        <f aca="false">IF(C200="","",INDEX($C$64:$F$64,D200))</f>
        <v/>
      </c>
      <c r="J200" s="23" t="str">
        <f aca="false">IF(C200="","",IF(F200&gt;=$C$19,INDEX($C$65:$F$65,D200),INDEX($C$64:$F$64,D200)))</f>
        <v/>
      </c>
      <c r="K200" s="23" t="str">
        <f aca="false">IF(C200="","",IF(F200&gt;=$C$19,INDEX($C$67:$F$67,D200),INDEX($C$66:$F$66,D200)))</f>
        <v/>
      </c>
    </row>
    <row r="201" customFormat="false" ht="15" hidden="false" customHeight="false" outlineLevel="0" collapsed="false">
      <c r="B201" s="16" t="n">
        <v>45</v>
      </c>
      <c r="C201" s="5" t="str">
        <f aca="false">IF(B201&gt;$C$30,"",IF(INT(B201*$C$27/$C$30)&gt;INT((B201-1)*$C$27/$C$30),"Misma loc.","Otra loc."))</f>
        <v/>
      </c>
      <c r="D201" s="16" t="str">
        <f aca="false">IF(C201="","",IF(C201="Misma loc.",1,$C$29))</f>
        <v/>
      </c>
      <c r="E201" s="16" t="str">
        <f aca="false">IF(C201="","",COUNTIF($E$115:$E$150,"&lt;"&amp;(B201-0.000001))+1)</f>
        <v/>
      </c>
      <c r="F201" s="16" t="str">
        <f aca="false">IF(C201="","",COUNTIF($E$157:E201,E201))</f>
        <v/>
      </c>
      <c r="G201" s="23" t="str">
        <f aca="false">IF(C201="","",INDEX($C$51:$F$51,D201))</f>
        <v/>
      </c>
      <c r="H201" s="23" t="str">
        <f aca="false">IF(C201="","",IF(F201&gt;=$C$19,INDEX($C$63:$F$63,D201),INDEX($C$62:$F$62,D201)))</f>
        <v/>
      </c>
      <c r="I201" s="23" t="str">
        <f aca="false">IF(C201="","",INDEX($C$64:$F$64,D201))</f>
        <v/>
      </c>
      <c r="J201" s="23" t="str">
        <f aca="false">IF(C201="","",IF(F201&gt;=$C$19,INDEX($C$65:$F$65,D201),INDEX($C$64:$F$64,D201)))</f>
        <v/>
      </c>
      <c r="K201" s="23" t="str">
        <f aca="false">IF(C201="","",IF(F201&gt;=$C$19,INDEX($C$67:$F$67,D201),INDEX($C$66:$F$66,D201)))</f>
        <v/>
      </c>
    </row>
    <row r="202" customFormat="false" ht="15" hidden="false" customHeight="false" outlineLevel="0" collapsed="false">
      <c r="B202" s="16" t="n">
        <v>46</v>
      </c>
      <c r="C202" s="5" t="str">
        <f aca="false">IF(B202&gt;$C$30,"",IF(INT(B202*$C$27/$C$30)&gt;INT((B202-1)*$C$27/$C$30),"Misma loc.","Otra loc."))</f>
        <v/>
      </c>
      <c r="D202" s="16" t="str">
        <f aca="false">IF(C202="","",IF(C202="Misma loc.",1,$C$29))</f>
        <v/>
      </c>
      <c r="E202" s="16" t="str">
        <f aca="false">IF(C202="","",COUNTIF($E$115:$E$150,"&lt;"&amp;(B202-0.000001))+1)</f>
        <v/>
      </c>
      <c r="F202" s="16" t="str">
        <f aca="false">IF(C202="","",COUNTIF($E$157:E202,E202))</f>
        <v/>
      </c>
      <c r="G202" s="23" t="str">
        <f aca="false">IF(C202="","",INDEX($C$51:$F$51,D202))</f>
        <v/>
      </c>
      <c r="H202" s="23" t="str">
        <f aca="false">IF(C202="","",IF(F202&gt;=$C$19,INDEX($C$63:$F$63,D202),INDEX($C$62:$F$62,D202)))</f>
        <v/>
      </c>
      <c r="I202" s="23" t="str">
        <f aca="false">IF(C202="","",INDEX($C$64:$F$64,D202))</f>
        <v/>
      </c>
      <c r="J202" s="23" t="str">
        <f aca="false">IF(C202="","",IF(F202&gt;=$C$19,INDEX($C$65:$F$65,D202),INDEX($C$64:$F$64,D202)))</f>
        <v/>
      </c>
      <c r="K202" s="23" t="str">
        <f aca="false">IF(C202="","",IF(F202&gt;=$C$19,INDEX($C$67:$F$67,D202),INDEX($C$66:$F$66,D202)))</f>
        <v/>
      </c>
    </row>
    <row r="203" customFormat="false" ht="15" hidden="false" customHeight="false" outlineLevel="0" collapsed="false">
      <c r="B203" s="16" t="n">
        <v>47</v>
      </c>
      <c r="C203" s="5" t="str">
        <f aca="false">IF(B203&gt;$C$30,"",IF(INT(B203*$C$27/$C$30)&gt;INT((B203-1)*$C$27/$C$30),"Misma loc.","Otra loc."))</f>
        <v/>
      </c>
      <c r="D203" s="16" t="str">
        <f aca="false">IF(C203="","",IF(C203="Misma loc.",1,$C$29))</f>
        <v/>
      </c>
      <c r="E203" s="16" t="str">
        <f aca="false">IF(C203="","",COUNTIF($E$115:$E$150,"&lt;"&amp;(B203-0.000001))+1)</f>
        <v/>
      </c>
      <c r="F203" s="16" t="str">
        <f aca="false">IF(C203="","",COUNTIF($E$157:E203,E203))</f>
        <v/>
      </c>
      <c r="G203" s="23" t="str">
        <f aca="false">IF(C203="","",INDEX($C$51:$F$51,D203))</f>
        <v/>
      </c>
      <c r="H203" s="23" t="str">
        <f aca="false">IF(C203="","",IF(F203&gt;=$C$19,INDEX($C$63:$F$63,D203),INDEX($C$62:$F$62,D203)))</f>
        <v/>
      </c>
      <c r="I203" s="23" t="str">
        <f aca="false">IF(C203="","",INDEX($C$64:$F$64,D203))</f>
        <v/>
      </c>
      <c r="J203" s="23" t="str">
        <f aca="false">IF(C203="","",IF(F203&gt;=$C$19,INDEX($C$65:$F$65,D203),INDEX($C$64:$F$64,D203)))</f>
        <v/>
      </c>
      <c r="K203" s="23" t="str">
        <f aca="false">IF(C203="","",IF(F203&gt;=$C$19,INDEX($C$67:$F$67,D203),INDEX($C$66:$F$66,D203)))</f>
        <v/>
      </c>
    </row>
    <row r="204" customFormat="false" ht="15" hidden="false" customHeight="false" outlineLevel="0" collapsed="false">
      <c r="B204" s="16" t="n">
        <v>48</v>
      </c>
      <c r="C204" s="5" t="str">
        <f aca="false">IF(B204&gt;$C$30,"",IF(INT(B204*$C$27/$C$30)&gt;INT((B204-1)*$C$27/$C$30),"Misma loc.","Otra loc."))</f>
        <v/>
      </c>
      <c r="D204" s="16" t="str">
        <f aca="false">IF(C204="","",IF(C204="Misma loc.",1,$C$29))</f>
        <v/>
      </c>
      <c r="E204" s="16" t="str">
        <f aca="false">IF(C204="","",COUNTIF($E$115:$E$150,"&lt;"&amp;(B204-0.000001))+1)</f>
        <v/>
      </c>
      <c r="F204" s="16" t="str">
        <f aca="false">IF(C204="","",COUNTIF($E$157:E204,E204))</f>
        <v/>
      </c>
      <c r="G204" s="23" t="str">
        <f aca="false">IF(C204="","",INDEX($C$51:$F$51,D204))</f>
        <v/>
      </c>
      <c r="H204" s="23" t="str">
        <f aca="false">IF(C204="","",IF(F204&gt;=$C$19,INDEX($C$63:$F$63,D204),INDEX($C$62:$F$62,D204)))</f>
        <v/>
      </c>
      <c r="I204" s="23" t="str">
        <f aca="false">IF(C204="","",INDEX($C$64:$F$64,D204))</f>
        <v/>
      </c>
      <c r="J204" s="23" t="str">
        <f aca="false">IF(C204="","",IF(F204&gt;=$C$19,INDEX($C$65:$F$65,D204),INDEX($C$64:$F$64,D204)))</f>
        <v/>
      </c>
      <c r="K204" s="23" t="str">
        <f aca="false">IF(C204="","",IF(F204&gt;=$C$19,INDEX($C$67:$F$67,D204),INDEX($C$66:$F$66,D204)))</f>
        <v/>
      </c>
    </row>
    <row r="205" customFormat="false" ht="15" hidden="false" customHeight="false" outlineLevel="0" collapsed="false">
      <c r="B205" s="16" t="n">
        <v>49</v>
      </c>
      <c r="C205" s="5" t="str">
        <f aca="false">IF(B205&gt;$C$30,"",IF(INT(B205*$C$27/$C$30)&gt;INT((B205-1)*$C$27/$C$30),"Misma loc.","Otra loc."))</f>
        <v/>
      </c>
      <c r="D205" s="16" t="str">
        <f aca="false">IF(C205="","",IF(C205="Misma loc.",1,$C$29))</f>
        <v/>
      </c>
      <c r="E205" s="16" t="str">
        <f aca="false">IF(C205="","",COUNTIF($E$115:$E$150,"&lt;"&amp;(B205-0.000001))+1)</f>
        <v/>
      </c>
      <c r="F205" s="16" t="str">
        <f aca="false">IF(C205="","",COUNTIF($E$157:E205,E205))</f>
        <v/>
      </c>
      <c r="G205" s="23" t="str">
        <f aca="false">IF(C205="","",INDEX($C$51:$F$51,D205))</f>
        <v/>
      </c>
      <c r="H205" s="23" t="str">
        <f aca="false">IF(C205="","",IF(F205&gt;=$C$19,INDEX($C$63:$F$63,D205),INDEX($C$62:$F$62,D205)))</f>
        <v/>
      </c>
      <c r="I205" s="23" t="str">
        <f aca="false">IF(C205="","",INDEX($C$64:$F$64,D205))</f>
        <v/>
      </c>
      <c r="J205" s="23" t="str">
        <f aca="false">IF(C205="","",IF(F205&gt;=$C$19,INDEX($C$65:$F$65,D205),INDEX($C$64:$F$64,D205)))</f>
        <v/>
      </c>
      <c r="K205" s="23" t="str">
        <f aca="false">IF(C205="","",IF(F205&gt;=$C$19,INDEX($C$67:$F$67,D205),INDEX($C$66:$F$66,D205)))</f>
        <v/>
      </c>
    </row>
    <row r="206" customFormat="false" ht="15" hidden="false" customHeight="false" outlineLevel="0" collapsed="false">
      <c r="B206" s="16" t="n">
        <v>50</v>
      </c>
      <c r="C206" s="5" t="str">
        <f aca="false">IF(B206&gt;$C$30,"",IF(INT(B206*$C$27/$C$30)&gt;INT((B206-1)*$C$27/$C$30),"Misma loc.","Otra loc."))</f>
        <v/>
      </c>
      <c r="D206" s="16" t="str">
        <f aca="false">IF(C206="","",IF(C206="Misma loc.",1,$C$29))</f>
        <v/>
      </c>
      <c r="E206" s="16" t="str">
        <f aca="false">IF(C206="","",COUNTIF($E$115:$E$150,"&lt;"&amp;(B206-0.000001))+1)</f>
        <v/>
      </c>
      <c r="F206" s="16" t="str">
        <f aca="false">IF(C206="","",COUNTIF($E$157:E206,E206))</f>
        <v/>
      </c>
      <c r="G206" s="23" t="str">
        <f aca="false">IF(C206="","",INDEX($C$51:$F$51,D206))</f>
        <v/>
      </c>
      <c r="H206" s="23" t="str">
        <f aca="false">IF(C206="","",IF(F206&gt;=$C$19,INDEX($C$63:$F$63,D206),INDEX($C$62:$F$62,D206)))</f>
        <v/>
      </c>
      <c r="I206" s="23" t="str">
        <f aca="false">IF(C206="","",INDEX($C$64:$F$64,D206))</f>
        <v/>
      </c>
      <c r="J206" s="23" t="str">
        <f aca="false">IF(C206="","",IF(F206&gt;=$C$19,INDEX($C$65:$F$65,D206),INDEX($C$64:$F$64,D206)))</f>
        <v/>
      </c>
      <c r="K206" s="23" t="str">
        <f aca="false">IF(C206="","",IF(F206&gt;=$C$19,INDEX($C$67:$F$67,D206),INDEX($C$66:$F$66,D206)))</f>
        <v/>
      </c>
    </row>
    <row r="207" customFormat="false" ht="15" hidden="false" customHeight="false" outlineLevel="0" collapsed="false">
      <c r="B207" s="16" t="n">
        <v>51</v>
      </c>
      <c r="C207" s="5" t="str">
        <f aca="false">IF(B207&gt;$C$30,"",IF(INT(B207*$C$27/$C$30)&gt;INT((B207-1)*$C$27/$C$30),"Misma loc.","Otra loc."))</f>
        <v/>
      </c>
      <c r="D207" s="16" t="str">
        <f aca="false">IF(C207="","",IF(C207="Misma loc.",1,$C$29))</f>
        <v/>
      </c>
      <c r="E207" s="16" t="str">
        <f aca="false">IF(C207="","",COUNTIF($E$115:$E$150,"&lt;"&amp;(B207-0.000001))+1)</f>
        <v/>
      </c>
      <c r="F207" s="16" t="str">
        <f aca="false">IF(C207="","",COUNTIF($E$157:E207,E207))</f>
        <v/>
      </c>
      <c r="G207" s="23" t="str">
        <f aca="false">IF(C207="","",INDEX($C$51:$F$51,D207))</f>
        <v/>
      </c>
      <c r="H207" s="23" t="str">
        <f aca="false">IF(C207="","",IF(F207&gt;=$C$19,INDEX($C$63:$F$63,D207),INDEX($C$62:$F$62,D207)))</f>
        <v/>
      </c>
      <c r="I207" s="23" t="str">
        <f aca="false">IF(C207="","",INDEX($C$64:$F$64,D207))</f>
        <v/>
      </c>
      <c r="J207" s="23" t="str">
        <f aca="false">IF(C207="","",IF(F207&gt;=$C$19,INDEX($C$65:$F$65,D207),INDEX($C$64:$F$64,D207)))</f>
        <v/>
      </c>
      <c r="K207" s="23" t="str">
        <f aca="false">IF(C207="","",IF(F207&gt;=$C$19,INDEX($C$67:$F$67,D207),INDEX($C$66:$F$66,D207)))</f>
        <v/>
      </c>
    </row>
    <row r="208" customFormat="false" ht="15" hidden="false" customHeight="false" outlineLevel="0" collapsed="false">
      <c r="B208" s="16" t="n">
        <v>52</v>
      </c>
      <c r="C208" s="5" t="str">
        <f aca="false">IF(B208&gt;$C$30,"",IF(INT(B208*$C$27/$C$30)&gt;INT((B208-1)*$C$27/$C$30),"Misma loc.","Otra loc."))</f>
        <v/>
      </c>
      <c r="D208" s="16" t="str">
        <f aca="false">IF(C208="","",IF(C208="Misma loc.",1,$C$29))</f>
        <v/>
      </c>
      <c r="E208" s="16" t="str">
        <f aca="false">IF(C208="","",COUNTIF($E$115:$E$150,"&lt;"&amp;(B208-0.000001))+1)</f>
        <v/>
      </c>
      <c r="F208" s="16" t="str">
        <f aca="false">IF(C208="","",COUNTIF($E$157:E208,E208))</f>
        <v/>
      </c>
      <c r="G208" s="23" t="str">
        <f aca="false">IF(C208="","",INDEX($C$51:$F$51,D208))</f>
        <v/>
      </c>
      <c r="H208" s="23" t="str">
        <f aca="false">IF(C208="","",IF(F208&gt;=$C$19,INDEX($C$63:$F$63,D208),INDEX($C$62:$F$62,D208)))</f>
        <v/>
      </c>
      <c r="I208" s="23" t="str">
        <f aca="false">IF(C208="","",INDEX($C$64:$F$64,D208))</f>
        <v/>
      </c>
      <c r="J208" s="23" t="str">
        <f aca="false">IF(C208="","",IF(F208&gt;=$C$19,INDEX($C$65:$F$65,D208),INDEX($C$64:$F$64,D208)))</f>
        <v/>
      </c>
      <c r="K208" s="23" t="str">
        <f aca="false">IF(C208="","",IF(F208&gt;=$C$19,INDEX($C$67:$F$67,D208),INDEX($C$66:$F$66,D208)))</f>
        <v/>
      </c>
    </row>
    <row r="209" customFormat="false" ht="15" hidden="false" customHeight="false" outlineLevel="0" collapsed="false">
      <c r="B209" s="16" t="n">
        <v>53</v>
      </c>
      <c r="C209" s="5" t="str">
        <f aca="false">IF(B209&gt;$C$30,"",IF(INT(B209*$C$27/$C$30)&gt;INT((B209-1)*$C$27/$C$30),"Misma loc.","Otra loc."))</f>
        <v/>
      </c>
      <c r="D209" s="16" t="str">
        <f aca="false">IF(C209="","",IF(C209="Misma loc.",1,$C$29))</f>
        <v/>
      </c>
      <c r="E209" s="16" t="str">
        <f aca="false">IF(C209="","",COUNTIF($E$115:$E$150,"&lt;"&amp;(B209-0.000001))+1)</f>
        <v/>
      </c>
      <c r="F209" s="16" t="str">
        <f aca="false">IF(C209="","",COUNTIF($E$157:E209,E209))</f>
        <v/>
      </c>
      <c r="G209" s="23" t="str">
        <f aca="false">IF(C209="","",INDEX($C$51:$F$51,D209))</f>
        <v/>
      </c>
      <c r="H209" s="23" t="str">
        <f aca="false">IF(C209="","",IF(F209&gt;=$C$19,INDEX($C$63:$F$63,D209),INDEX($C$62:$F$62,D209)))</f>
        <v/>
      </c>
      <c r="I209" s="23" t="str">
        <f aca="false">IF(C209="","",INDEX($C$64:$F$64,D209))</f>
        <v/>
      </c>
      <c r="J209" s="23" t="str">
        <f aca="false">IF(C209="","",IF(F209&gt;=$C$19,INDEX($C$65:$F$65,D209),INDEX($C$64:$F$64,D209)))</f>
        <v/>
      </c>
      <c r="K209" s="23" t="str">
        <f aca="false">IF(C209="","",IF(F209&gt;=$C$19,INDEX($C$67:$F$67,D209),INDEX($C$66:$F$66,D209)))</f>
        <v/>
      </c>
    </row>
    <row r="210" customFormat="false" ht="15" hidden="false" customHeight="false" outlineLevel="0" collapsed="false">
      <c r="B210" s="16" t="n">
        <v>54</v>
      </c>
      <c r="C210" s="5" t="str">
        <f aca="false">IF(B210&gt;$C$30,"",IF(INT(B210*$C$27/$C$30)&gt;INT((B210-1)*$C$27/$C$30),"Misma loc.","Otra loc."))</f>
        <v/>
      </c>
      <c r="D210" s="16" t="str">
        <f aca="false">IF(C210="","",IF(C210="Misma loc.",1,$C$29))</f>
        <v/>
      </c>
      <c r="E210" s="16" t="str">
        <f aca="false">IF(C210="","",COUNTIF($E$115:$E$150,"&lt;"&amp;(B210-0.000001))+1)</f>
        <v/>
      </c>
      <c r="F210" s="16" t="str">
        <f aca="false">IF(C210="","",COUNTIF($E$157:E210,E210))</f>
        <v/>
      </c>
      <c r="G210" s="23" t="str">
        <f aca="false">IF(C210="","",INDEX($C$51:$F$51,D210))</f>
        <v/>
      </c>
      <c r="H210" s="23" t="str">
        <f aca="false">IF(C210="","",IF(F210&gt;=$C$19,INDEX($C$63:$F$63,D210),INDEX($C$62:$F$62,D210)))</f>
        <v/>
      </c>
      <c r="I210" s="23" t="str">
        <f aca="false">IF(C210="","",INDEX($C$64:$F$64,D210))</f>
        <v/>
      </c>
      <c r="J210" s="23" t="str">
        <f aca="false">IF(C210="","",IF(F210&gt;=$C$19,INDEX($C$65:$F$65,D210),INDEX($C$64:$F$64,D210)))</f>
        <v/>
      </c>
      <c r="K210" s="23" t="str">
        <f aca="false">IF(C210="","",IF(F210&gt;=$C$19,INDEX($C$67:$F$67,D210),INDEX($C$66:$F$66,D210)))</f>
        <v/>
      </c>
    </row>
    <row r="211" customFormat="false" ht="15" hidden="false" customHeight="false" outlineLevel="0" collapsed="false">
      <c r="B211" s="16" t="n">
        <v>55</v>
      </c>
      <c r="C211" s="5" t="str">
        <f aca="false">IF(B211&gt;$C$30,"",IF(INT(B211*$C$27/$C$30)&gt;INT((B211-1)*$C$27/$C$30),"Misma loc.","Otra loc."))</f>
        <v/>
      </c>
      <c r="D211" s="16" t="str">
        <f aca="false">IF(C211="","",IF(C211="Misma loc.",1,$C$29))</f>
        <v/>
      </c>
      <c r="E211" s="16" t="str">
        <f aca="false">IF(C211="","",COUNTIF($E$115:$E$150,"&lt;"&amp;(B211-0.000001))+1)</f>
        <v/>
      </c>
      <c r="F211" s="16" t="str">
        <f aca="false">IF(C211="","",COUNTIF($E$157:E211,E211))</f>
        <v/>
      </c>
      <c r="G211" s="23" t="str">
        <f aca="false">IF(C211="","",INDEX($C$51:$F$51,D211))</f>
        <v/>
      </c>
      <c r="H211" s="23" t="str">
        <f aca="false">IF(C211="","",IF(F211&gt;=$C$19,INDEX($C$63:$F$63,D211),INDEX($C$62:$F$62,D211)))</f>
        <v/>
      </c>
      <c r="I211" s="23" t="str">
        <f aca="false">IF(C211="","",INDEX($C$64:$F$64,D211))</f>
        <v/>
      </c>
      <c r="J211" s="23" t="str">
        <f aca="false">IF(C211="","",IF(F211&gt;=$C$19,INDEX($C$65:$F$65,D211),INDEX($C$64:$F$64,D211)))</f>
        <v/>
      </c>
      <c r="K211" s="23" t="str">
        <f aca="false">IF(C211="","",IF(F211&gt;=$C$19,INDEX($C$67:$F$67,D211),INDEX($C$66:$F$66,D211)))</f>
        <v/>
      </c>
    </row>
    <row r="212" customFormat="false" ht="15" hidden="false" customHeight="false" outlineLevel="0" collapsed="false">
      <c r="B212" s="16" t="n">
        <v>56</v>
      </c>
      <c r="C212" s="5" t="str">
        <f aca="false">IF(B212&gt;$C$30,"",IF(INT(B212*$C$27/$C$30)&gt;INT((B212-1)*$C$27/$C$30),"Misma loc.","Otra loc."))</f>
        <v/>
      </c>
      <c r="D212" s="16" t="str">
        <f aca="false">IF(C212="","",IF(C212="Misma loc.",1,$C$29))</f>
        <v/>
      </c>
      <c r="E212" s="16" t="str">
        <f aca="false">IF(C212="","",COUNTIF($E$115:$E$150,"&lt;"&amp;(B212-0.000001))+1)</f>
        <v/>
      </c>
      <c r="F212" s="16" t="str">
        <f aca="false">IF(C212="","",COUNTIF($E$157:E212,E212))</f>
        <v/>
      </c>
      <c r="G212" s="23" t="str">
        <f aca="false">IF(C212="","",INDEX($C$51:$F$51,D212))</f>
        <v/>
      </c>
      <c r="H212" s="23" t="str">
        <f aca="false">IF(C212="","",IF(F212&gt;=$C$19,INDEX($C$63:$F$63,D212),INDEX($C$62:$F$62,D212)))</f>
        <v/>
      </c>
      <c r="I212" s="23" t="str">
        <f aca="false">IF(C212="","",INDEX($C$64:$F$64,D212))</f>
        <v/>
      </c>
      <c r="J212" s="23" t="str">
        <f aca="false">IF(C212="","",IF(F212&gt;=$C$19,INDEX($C$65:$F$65,D212),INDEX($C$64:$F$64,D212)))</f>
        <v/>
      </c>
      <c r="K212" s="23" t="str">
        <f aca="false">IF(C212="","",IF(F212&gt;=$C$19,INDEX($C$67:$F$67,D212),INDEX($C$66:$F$66,D212)))</f>
        <v/>
      </c>
    </row>
    <row r="213" customFormat="false" ht="15" hidden="false" customHeight="false" outlineLevel="0" collapsed="false">
      <c r="B213" s="16" t="n">
        <v>57</v>
      </c>
      <c r="C213" s="5" t="str">
        <f aca="false">IF(B213&gt;$C$30,"",IF(INT(B213*$C$27/$C$30)&gt;INT((B213-1)*$C$27/$C$30),"Misma loc.","Otra loc."))</f>
        <v/>
      </c>
      <c r="D213" s="16" t="str">
        <f aca="false">IF(C213="","",IF(C213="Misma loc.",1,$C$29))</f>
        <v/>
      </c>
      <c r="E213" s="16" t="str">
        <f aca="false">IF(C213="","",COUNTIF($E$115:$E$150,"&lt;"&amp;(B213-0.000001))+1)</f>
        <v/>
      </c>
      <c r="F213" s="16" t="str">
        <f aca="false">IF(C213="","",COUNTIF($E$157:E213,E213))</f>
        <v/>
      </c>
      <c r="G213" s="23" t="str">
        <f aca="false">IF(C213="","",INDEX($C$51:$F$51,D213))</f>
        <v/>
      </c>
      <c r="H213" s="23" t="str">
        <f aca="false">IF(C213="","",IF(F213&gt;=$C$19,INDEX($C$63:$F$63,D213),INDEX($C$62:$F$62,D213)))</f>
        <v/>
      </c>
      <c r="I213" s="23" t="str">
        <f aca="false">IF(C213="","",INDEX($C$64:$F$64,D213))</f>
        <v/>
      </c>
      <c r="J213" s="23" t="str">
        <f aca="false">IF(C213="","",IF(F213&gt;=$C$19,INDEX($C$65:$F$65,D213),INDEX($C$64:$F$64,D213)))</f>
        <v/>
      </c>
      <c r="K213" s="23" t="str">
        <f aca="false">IF(C213="","",IF(F213&gt;=$C$19,INDEX($C$67:$F$67,D213),INDEX($C$66:$F$66,D213)))</f>
        <v/>
      </c>
    </row>
    <row r="214" customFormat="false" ht="15" hidden="false" customHeight="false" outlineLevel="0" collapsed="false">
      <c r="B214" s="16" t="n">
        <v>58</v>
      </c>
      <c r="C214" s="5" t="str">
        <f aca="false">IF(B214&gt;$C$30,"",IF(INT(B214*$C$27/$C$30)&gt;INT((B214-1)*$C$27/$C$30),"Misma loc.","Otra loc."))</f>
        <v/>
      </c>
      <c r="D214" s="16" t="str">
        <f aca="false">IF(C214="","",IF(C214="Misma loc.",1,$C$29))</f>
        <v/>
      </c>
      <c r="E214" s="16" t="str">
        <f aca="false">IF(C214="","",COUNTIF($E$115:$E$150,"&lt;"&amp;(B214-0.000001))+1)</f>
        <v/>
      </c>
      <c r="F214" s="16" t="str">
        <f aca="false">IF(C214="","",COUNTIF($E$157:E214,E214))</f>
        <v/>
      </c>
      <c r="G214" s="23" t="str">
        <f aca="false">IF(C214="","",INDEX($C$51:$F$51,D214))</f>
        <v/>
      </c>
      <c r="H214" s="23" t="str">
        <f aca="false">IF(C214="","",IF(F214&gt;=$C$19,INDEX($C$63:$F$63,D214),INDEX($C$62:$F$62,D214)))</f>
        <v/>
      </c>
      <c r="I214" s="23" t="str">
        <f aca="false">IF(C214="","",INDEX($C$64:$F$64,D214))</f>
        <v/>
      </c>
      <c r="J214" s="23" t="str">
        <f aca="false">IF(C214="","",IF(F214&gt;=$C$19,INDEX($C$65:$F$65,D214),INDEX($C$64:$F$64,D214)))</f>
        <v/>
      </c>
      <c r="K214" s="23" t="str">
        <f aca="false">IF(C214="","",IF(F214&gt;=$C$19,INDEX($C$67:$F$67,D214),INDEX($C$66:$F$66,D214)))</f>
        <v/>
      </c>
    </row>
    <row r="215" customFormat="false" ht="15" hidden="false" customHeight="false" outlineLevel="0" collapsed="false">
      <c r="B215" s="16" t="n">
        <v>59</v>
      </c>
      <c r="C215" s="5" t="str">
        <f aca="false">IF(B215&gt;$C$30,"",IF(INT(B215*$C$27/$C$30)&gt;INT((B215-1)*$C$27/$C$30),"Misma loc.","Otra loc."))</f>
        <v/>
      </c>
      <c r="D215" s="16" t="str">
        <f aca="false">IF(C215="","",IF(C215="Misma loc.",1,$C$29))</f>
        <v/>
      </c>
      <c r="E215" s="16" t="str">
        <f aca="false">IF(C215="","",COUNTIF($E$115:$E$150,"&lt;"&amp;(B215-0.000001))+1)</f>
        <v/>
      </c>
      <c r="F215" s="16" t="str">
        <f aca="false">IF(C215="","",COUNTIF($E$157:E215,E215))</f>
        <v/>
      </c>
      <c r="G215" s="23" t="str">
        <f aca="false">IF(C215="","",INDEX($C$51:$F$51,D215))</f>
        <v/>
      </c>
      <c r="H215" s="23" t="str">
        <f aca="false">IF(C215="","",IF(F215&gt;=$C$19,INDEX($C$63:$F$63,D215),INDEX($C$62:$F$62,D215)))</f>
        <v/>
      </c>
      <c r="I215" s="23" t="str">
        <f aca="false">IF(C215="","",INDEX($C$64:$F$64,D215))</f>
        <v/>
      </c>
      <c r="J215" s="23" t="str">
        <f aca="false">IF(C215="","",IF(F215&gt;=$C$19,INDEX($C$65:$F$65,D215),INDEX($C$64:$F$64,D215)))</f>
        <v/>
      </c>
      <c r="K215" s="23" t="str">
        <f aca="false">IF(C215="","",IF(F215&gt;=$C$19,INDEX($C$67:$F$67,D215),INDEX($C$66:$F$66,D215)))</f>
        <v/>
      </c>
    </row>
    <row r="216" customFormat="false" ht="15" hidden="false" customHeight="false" outlineLevel="0" collapsed="false">
      <c r="B216" s="16" t="n">
        <v>60</v>
      </c>
      <c r="C216" s="5" t="str">
        <f aca="false">IF(B216&gt;$C$30,"",IF(INT(B216*$C$27/$C$30)&gt;INT((B216-1)*$C$27/$C$30),"Misma loc.","Otra loc."))</f>
        <v/>
      </c>
      <c r="D216" s="16" t="str">
        <f aca="false">IF(C216="","",IF(C216="Misma loc.",1,$C$29))</f>
        <v/>
      </c>
      <c r="E216" s="16" t="str">
        <f aca="false">IF(C216="","",COUNTIF($E$115:$E$150,"&lt;"&amp;(B216-0.000001))+1)</f>
        <v/>
      </c>
      <c r="F216" s="16" t="str">
        <f aca="false">IF(C216="","",COUNTIF($E$157:E216,E216))</f>
        <v/>
      </c>
      <c r="G216" s="23" t="str">
        <f aca="false">IF(C216="","",INDEX($C$51:$F$51,D216))</f>
        <v/>
      </c>
      <c r="H216" s="23" t="str">
        <f aca="false">IF(C216="","",IF(F216&gt;=$C$19,INDEX($C$63:$F$63,D216),INDEX($C$62:$F$62,D216)))</f>
        <v/>
      </c>
      <c r="I216" s="23" t="str">
        <f aca="false">IF(C216="","",INDEX($C$64:$F$64,D216))</f>
        <v/>
      </c>
      <c r="J216" s="23" t="str">
        <f aca="false">IF(C216="","",IF(F216&gt;=$C$19,INDEX($C$65:$F$65,D216),INDEX($C$64:$F$64,D216)))</f>
        <v/>
      </c>
      <c r="K216" s="23" t="str">
        <f aca="false">IF(C216="","",IF(F216&gt;=$C$19,INDEX($C$67:$F$67,D216),INDEX($C$66:$F$66,D216)))</f>
        <v/>
      </c>
    </row>
    <row r="217" customFormat="false" ht="15" hidden="false" customHeight="false" outlineLevel="0" collapsed="false">
      <c r="B217" s="32" t="s">
        <v>197</v>
      </c>
      <c r="G217" s="22" t="n">
        <f aca="false">SUM(G157:G216)</f>
        <v>3130187.2972973</v>
      </c>
      <c r="H217" s="22" t="n">
        <f aca="false">SUM(H157:H216)</f>
        <v>2399685.13040541</v>
      </c>
      <c r="I217" s="22" t="n">
        <f aca="false">SUM(I157:I216)</f>
        <v>3248713.53378378</v>
      </c>
      <c r="J217" s="22" t="n">
        <f aca="false">SUM(J157:J216)</f>
        <v>2922599.63175676</v>
      </c>
      <c r="K217" s="22" t="n">
        <f aca="false">SUM(K157:K216)</f>
        <v>2434800.82432432</v>
      </c>
    </row>
  </sheetData>
  <mergeCells count="61">
    <mergeCell ref="B5:I5"/>
    <mergeCell ref="F6:I6"/>
    <mergeCell ref="F7:I7"/>
    <mergeCell ref="F8:I8"/>
    <mergeCell ref="F9:I9"/>
    <mergeCell ref="F10:I10"/>
    <mergeCell ref="F11:I11"/>
    <mergeCell ref="F12:I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B25:I25"/>
    <mergeCell ref="F26:I26"/>
    <mergeCell ref="F27:I27"/>
    <mergeCell ref="F28:I28"/>
    <mergeCell ref="F29:I29"/>
    <mergeCell ref="F30:I30"/>
    <mergeCell ref="F31:I31"/>
    <mergeCell ref="F32:I32"/>
    <mergeCell ref="B35:M35"/>
    <mergeCell ref="B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G50:I50"/>
    <mergeCell ref="G53:I53"/>
    <mergeCell ref="G54:I54"/>
    <mergeCell ref="B68:I68"/>
    <mergeCell ref="B70:I70"/>
    <mergeCell ref="G71:I71"/>
    <mergeCell ref="G72:I72"/>
    <mergeCell ref="G73:I73"/>
    <mergeCell ref="G74:I74"/>
    <mergeCell ref="G75:I75"/>
    <mergeCell ref="G76:I76"/>
    <mergeCell ref="G77:I77"/>
    <mergeCell ref="G78:I78"/>
    <mergeCell ref="B79:I79"/>
    <mergeCell ref="B81:I81"/>
    <mergeCell ref="B89:I89"/>
    <mergeCell ref="B91:P91"/>
    <mergeCell ref="B109:O109"/>
    <mergeCell ref="B111:K111"/>
    <mergeCell ref="B112:K112"/>
    <mergeCell ref="B153:K153"/>
    <mergeCell ref="B154:K154"/>
  </mergeCells>
  <conditionalFormatting sqref="D84:E88">
    <cfRule type="cellIs" priority="2" operator="lessThan" aboveAverage="0" equalAverage="0" bottom="0" percent="0" rank="0" text="" dxfId="0">
      <formula>0</formula>
    </cfRule>
  </conditionalFormatting>
  <conditionalFormatting sqref="C93:N108">
    <cfRule type="cellIs" priority="3" operator="lessThan" aboveAverage="0" equalAverage="0" bottom="0" percent="0" rank="0" text="" dxfId="1">
      <formula>0</formula>
    </cfRule>
    <cfRule type="cellIs" priority="4" operator="greaterThanOrEqual" aboveAverage="0" equalAverage="0" bottom="0" percent="0" rank="0" text="" dxfId="2">
      <formula>0</formula>
    </cfRule>
  </conditionalFormatting>
  <dataValidations count="5">
    <dataValidation allowBlank="false" errorStyle="stop" operator="between" showDropDown="false" showErrorMessage="false" showInputMessage="false" sqref="C10" type="list">
      <formula1>"Petro Star tarifa normal,Petro Star Lump Sum (sin descuento),Ecotransur"</formula1>
      <formula2>0</formula2>
    </dataValidation>
    <dataValidation allowBlank="false" errorStyle="stop" operator="between" showDropDown="false" showErrorMessage="false" showInputMessage="false" sqref="C16" type="list">
      <formula1>"Por movilización (Excel),Mensual fijo"</formula1>
      <formula2>0</formula2>
    </dataValidation>
    <dataValidation allowBlank="false" errorStyle="stop" operator="between" showDropDown="false" showErrorMessage="false" showInputMessage="false" sqref="C22" type="list">
      <formula1>"Sí,No"</formula1>
      <formula2>0</formula2>
    </dataValidation>
    <dataValidation allowBlank="false" errorStyle="stop" operator="between" showDropDown="false" showErrorMessage="false" showInputMessage="false" sqref="C31" type="list">
      <formula1>"Perfil 2024,Perfil 2025,Constante"</formula1>
      <formula2>0</formula2>
    </dataValidation>
    <dataValidation allowBlank="false" errorStyle="stop" operator="between" showDropDown="false" showErrorMessage="false" showInputMessage="false" sqref="C29" type="whole">
      <formula1>2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198</v>
      </c>
    </row>
    <row r="2" customFormat="false" ht="15" hidden="false" customHeight="false" outlineLevel="0" collapsed="false">
      <c r="B2" s="2" t="s">
        <v>199</v>
      </c>
    </row>
    <row r="3" customFormat="false" ht="30" hidden="false" customHeight="true" outlineLevel="0" collapsed="false">
      <c r="W3" s="4" t="s">
        <v>146</v>
      </c>
      <c r="X3" s="34" t="s">
        <v>200</v>
      </c>
      <c r="Y3" s="34" t="s">
        <v>201</v>
      </c>
      <c r="Z3" s="34" t="s">
        <v>202</v>
      </c>
      <c r="AA3" s="34" t="s">
        <v>203</v>
      </c>
    </row>
    <row r="4" customFormat="false" ht="15" hidden="false" customHeight="false" outlineLevel="0" collapsed="false">
      <c r="B4" s="35" t="s">
        <v>204</v>
      </c>
      <c r="W4" s="5" t="s">
        <v>196</v>
      </c>
      <c r="X4" s="23" t="n">
        <f aca="false">L79</f>
        <v>6424357.43243243</v>
      </c>
      <c r="Y4" s="23"/>
      <c r="Z4" s="23" t="n">
        <f aca="false">L79</f>
        <v>6424357.43243243</v>
      </c>
      <c r="AA4" s="23"/>
    </row>
    <row r="5" customFormat="false" ht="15" hidden="false" customHeight="false" outlineLevel="0" collapsed="false">
      <c r="W5" s="5" t="s">
        <v>205</v>
      </c>
      <c r="X5" s="23" t="n">
        <f aca="false">M79+$H$95+$J$95</f>
        <v>5389631.37608108</v>
      </c>
      <c r="Y5" s="23" t="n">
        <f aca="false">$X$4-X5</f>
        <v>1034726.05635135</v>
      </c>
      <c r="Z5" s="23" t="n">
        <f aca="false">Q79+$H$95+$J$95</f>
        <v>5209232.97608108</v>
      </c>
      <c r="AA5" s="23" t="n">
        <f aca="false">$Z$4-Z5</f>
        <v>1215124.45635135</v>
      </c>
    </row>
    <row r="6" customFormat="false" ht="15" hidden="false" customHeight="false" outlineLevel="0" collapsed="false">
      <c r="W6" s="5" t="s">
        <v>206</v>
      </c>
      <c r="X6" s="23" t="n">
        <f aca="false">N79+$H$95+$J$95</f>
        <v>7498806.7127027</v>
      </c>
      <c r="Y6" s="23" t="n">
        <f aca="false">$X$4-X6</f>
        <v>-1074449.28027027</v>
      </c>
      <c r="Z6" s="23" t="n">
        <f aca="false">R79+$H$95+$J$95</f>
        <v>7318408.3127027</v>
      </c>
      <c r="AA6" s="23" t="n">
        <f aca="false">$Z$4-Z6</f>
        <v>-894050.880270271</v>
      </c>
    </row>
    <row r="7" customFormat="false" ht="30" hidden="false" customHeight="true" outlineLevel="0" collapsed="false">
      <c r="B7" s="36" t="s">
        <v>207</v>
      </c>
      <c r="C7" s="36" t="s">
        <v>208</v>
      </c>
      <c r="D7" s="36" t="s">
        <v>209</v>
      </c>
      <c r="E7" s="36" t="s">
        <v>210</v>
      </c>
      <c r="F7" s="36" t="s">
        <v>211</v>
      </c>
      <c r="G7" s="36" t="s">
        <v>212</v>
      </c>
      <c r="H7" s="36" t="s">
        <v>213</v>
      </c>
      <c r="I7" s="36" t="s">
        <v>214</v>
      </c>
      <c r="J7" s="36" t="s">
        <v>215</v>
      </c>
      <c r="K7" s="36" t="s">
        <v>216</v>
      </c>
      <c r="L7" s="36" t="s">
        <v>196</v>
      </c>
      <c r="M7" s="36" t="s">
        <v>217</v>
      </c>
      <c r="N7" s="36" t="s">
        <v>218</v>
      </c>
      <c r="O7" s="36" t="s">
        <v>219</v>
      </c>
      <c r="P7" s="36" t="s">
        <v>220</v>
      </c>
      <c r="Q7" s="36" t="s">
        <v>221</v>
      </c>
      <c r="R7" s="36" t="s">
        <v>222</v>
      </c>
      <c r="S7" s="36" t="s">
        <v>223</v>
      </c>
      <c r="T7" s="36" t="s">
        <v>224</v>
      </c>
      <c r="U7" s="36" t="s">
        <v>225</v>
      </c>
      <c r="W7" s="5" t="s">
        <v>226</v>
      </c>
      <c r="X7" s="23" t="n">
        <f aca="false">O79+$H$95+$J$95</f>
        <v>6750187.51554054</v>
      </c>
      <c r="Y7" s="23" t="n">
        <f aca="false">$X$4-X7</f>
        <v>-325830.083108108</v>
      </c>
      <c r="Z7" s="23" t="n">
        <f aca="false">S79+$H$95+$J$95</f>
        <v>6569789.11554054</v>
      </c>
      <c r="AA7" s="23" t="n">
        <f aca="false">$Z$4-Z7</f>
        <v>-145431.683108108</v>
      </c>
    </row>
    <row r="8" customFormat="false" ht="15" hidden="false" customHeight="false" outlineLevel="0" collapsed="false">
      <c r="B8" s="37" t="n">
        <v>45298</v>
      </c>
      <c r="C8" s="9" t="s">
        <v>227</v>
      </c>
      <c r="D8" s="38" t="n">
        <v>22.1</v>
      </c>
      <c r="E8" s="9" t="s">
        <v>228</v>
      </c>
      <c r="F8" s="16" t="n">
        <f aca="false">MATCH(E8,{"Misma locación","0.15 - 5 km","5 - 10 km","10+ km"},0)</f>
        <v>4</v>
      </c>
      <c r="G8" s="16" t="n">
        <f aca="false">MONTH(B8)</f>
        <v>1</v>
      </c>
      <c r="H8" s="16" t="n">
        <f aca="false">COUNTIF($G$8:G8,G8)</f>
        <v>1</v>
      </c>
      <c r="I8" s="38" t="n">
        <v>22</v>
      </c>
      <c r="J8" s="39" t="n">
        <f aca="false">INDEX(Simulador!$C$39:$F$39,F8)</f>
        <v>28</v>
      </c>
      <c r="K8" s="40" t="n">
        <f aca="false">IF(I8="","",I8-J8)</f>
        <v>-6</v>
      </c>
      <c r="L8" s="41" t="n">
        <f aca="false">INDEX(Simulador!$C$51:$F$51,F8)</f>
        <v>110984.810810811</v>
      </c>
      <c r="M8" s="23" t="n">
        <f aca="false">IF(H8&gt;=Simulador!$C$19,INDEX(Simulador!$C$63:$F$63,F8),INDEX(Simulador!$C$62:$F$62,F8))</f>
        <v>110082.323783784</v>
      </c>
      <c r="N8" s="23" t="n">
        <f aca="false">INDEX(Simulador!$C$64:$F$64,F8)</f>
        <v>155579.061621622</v>
      </c>
      <c r="O8" s="23" t="n">
        <f aca="false">IF(H8&gt;=Simulador!$C$19,INDEX(Simulador!$C$65:$F$65,F8),INDEX(Simulador!$C$64:$F$64,F8))</f>
        <v>155579.061621622</v>
      </c>
      <c r="P8" s="23" t="n">
        <f aca="false">IF(H8&gt;=Simulador!$C$19,INDEX(Simulador!$C$67:$F$67,F8),INDEX(Simulador!$C$66:$F$66,F8))</f>
        <v>111865.297837838</v>
      </c>
      <c r="Q8" s="23" t="n">
        <f aca="false">M8+(IF(I8="",J8,I8)-J8)*Simulador!$C$9</f>
        <v>101346.323783784</v>
      </c>
      <c r="R8" s="23" t="n">
        <f aca="false">N8+(IF(I8="",J8,I8)-J8)*Simulador!$C$9</f>
        <v>146843.061621622</v>
      </c>
      <c r="S8" s="23" t="n">
        <f aca="false">O8+(IF(I8="",J8,I8)-J8)*Simulador!$C$9</f>
        <v>146843.061621622</v>
      </c>
      <c r="T8" s="23" t="n">
        <f aca="false">P8+(IF(I8="",J8,I8)-J8)*Simulador!$C$9</f>
        <v>103129.297837838</v>
      </c>
      <c r="U8" s="2" t="s">
        <v>229</v>
      </c>
      <c r="W8" s="5" t="s">
        <v>156</v>
      </c>
      <c r="X8" s="23" t="n">
        <f aca="false">P79+$I$95+$J$95</f>
        <v>5529029.77567568</v>
      </c>
      <c r="Y8" s="23" t="n">
        <f aca="false">$X$4-X8</f>
        <v>895327.656756757</v>
      </c>
      <c r="Z8" s="23" t="n">
        <f aca="false">T79+$I$95+$J$95</f>
        <v>5348631.37567568</v>
      </c>
      <c r="AA8" s="23" t="n">
        <f aca="false">$Z$4-Z8</f>
        <v>1075726.05675676</v>
      </c>
    </row>
    <row r="9" customFormat="false" ht="15" hidden="false" customHeight="false" outlineLevel="0" collapsed="false">
      <c r="B9" s="37" t="n">
        <v>45301</v>
      </c>
      <c r="C9" s="9" t="s">
        <v>230</v>
      </c>
      <c r="D9" s="38" t="n">
        <v>4.1</v>
      </c>
      <c r="E9" s="9" t="s">
        <v>231</v>
      </c>
      <c r="F9" s="16" t="n">
        <f aca="false">MATCH(E9,{"Misma locación","0.15 - 5 km","5 - 10 km","10+ km"},0)</f>
        <v>2</v>
      </c>
      <c r="G9" s="16" t="n">
        <f aca="false">MONTH(B9)</f>
        <v>1</v>
      </c>
      <c r="H9" s="16" t="n">
        <f aca="false">COUNTIF($G$8:G9,G9)</f>
        <v>2</v>
      </c>
      <c r="I9" s="38" t="n">
        <v>19.5</v>
      </c>
      <c r="J9" s="39" t="n">
        <f aca="false">INDEX(Simulador!$C$39:$F$39,F9)</f>
        <v>18</v>
      </c>
      <c r="K9" s="40" t="n">
        <f aca="false">IF(I9="","",I9-J9)</f>
        <v>1.5</v>
      </c>
      <c r="L9" s="41" t="n">
        <f aca="false">INDEX(Simulador!$C$51:$F$51,F9)</f>
        <v>99473.8108108108</v>
      </c>
      <c r="M9" s="23" t="n">
        <f aca="false">IF(H9&gt;=Simulador!$C$19,INDEX(Simulador!$C$63:$F$63,F9),INDEX(Simulador!$C$62:$F$62,F9))</f>
        <v>88600.7254054054</v>
      </c>
      <c r="N9" s="23" t="n">
        <f aca="false">INDEX(Simulador!$C$64:$F$64,F9)</f>
        <v>111149.808108108</v>
      </c>
      <c r="O9" s="23" t="n">
        <f aca="false">IF(H9&gt;=Simulador!$C$19,INDEX(Simulador!$C$65:$F$65,F9),INDEX(Simulador!$C$64:$F$64,F9))</f>
        <v>111149.808108108</v>
      </c>
      <c r="P9" s="23" t="n">
        <f aca="false">IF(H9&gt;=Simulador!$C$19,INDEX(Simulador!$C$67:$F$67,F9),INDEX(Simulador!$C$66:$F$66,F9))</f>
        <v>85046.6491891892</v>
      </c>
      <c r="Q9" s="23" t="n">
        <f aca="false">M9+(IF(I9="",J9,I9)-J9)*Simulador!$C$9</f>
        <v>90784.7254054054</v>
      </c>
      <c r="R9" s="23" t="n">
        <f aca="false">N9+(IF(I9="",J9,I9)-J9)*Simulador!$C$9</f>
        <v>113333.808108108</v>
      </c>
      <c r="S9" s="23" t="n">
        <f aca="false">O9+(IF(I9="",J9,I9)-J9)*Simulador!$C$9</f>
        <v>113333.808108108</v>
      </c>
      <c r="T9" s="23" t="n">
        <f aca="false">P9+(IF(I9="",J9,I9)-J9)*Simulador!$C$9</f>
        <v>87230.6491891892</v>
      </c>
      <c r="U9" s="2"/>
      <c r="W9" s="42" t="s">
        <v>232</v>
      </c>
      <c r="X9" s="42" t="n">
        <v>70</v>
      </c>
    </row>
    <row r="10" customFormat="false" ht="15" hidden="false" customHeight="false" outlineLevel="0" collapsed="false">
      <c r="B10" s="37" t="n">
        <v>45305</v>
      </c>
      <c r="C10" s="9" t="s">
        <v>233</v>
      </c>
      <c r="D10" s="38" t="n">
        <v>4.1</v>
      </c>
      <c r="E10" s="9" t="s">
        <v>231</v>
      </c>
      <c r="F10" s="16" t="n">
        <f aca="false">MATCH(E10,{"Misma locación","0.15 - 5 km","5 - 10 km","10+ km"},0)</f>
        <v>2</v>
      </c>
      <c r="G10" s="16" t="n">
        <f aca="false">MONTH(B10)</f>
        <v>1</v>
      </c>
      <c r="H10" s="16" t="n">
        <f aca="false">COUNTIF($G$8:G10,G10)</f>
        <v>3</v>
      </c>
      <c r="I10" s="38" t="n">
        <v>15.75</v>
      </c>
      <c r="J10" s="39" t="n">
        <f aca="false">INDEX(Simulador!$C$39:$F$39,F10)</f>
        <v>18</v>
      </c>
      <c r="K10" s="40" t="n">
        <f aca="false">IF(I10="","",I10-J10)</f>
        <v>-2.25</v>
      </c>
      <c r="L10" s="41" t="n">
        <f aca="false">INDEX(Simulador!$C$51:$F$51,F10)</f>
        <v>99473.8108108108</v>
      </c>
      <c r="M10" s="23" t="n">
        <f aca="false">IF(H10&gt;=Simulador!$C$19,INDEX(Simulador!$C$63:$F$63,F10),INDEX(Simulador!$C$62:$F$62,F10))</f>
        <v>88600.7254054054</v>
      </c>
      <c r="N10" s="23" t="n">
        <f aca="false">INDEX(Simulador!$C$64:$F$64,F10)</f>
        <v>111149.808108108</v>
      </c>
      <c r="O10" s="23" t="n">
        <f aca="false">IF(H10&gt;=Simulador!$C$19,INDEX(Simulador!$C$65:$F$65,F10),INDEX(Simulador!$C$64:$F$64,F10))</f>
        <v>111149.808108108</v>
      </c>
      <c r="P10" s="23" t="n">
        <f aca="false">IF(H10&gt;=Simulador!$C$19,INDEX(Simulador!$C$67:$F$67,F10),INDEX(Simulador!$C$66:$F$66,F10))</f>
        <v>85046.6491891892</v>
      </c>
      <c r="Q10" s="23" t="n">
        <f aca="false">M10+(IF(I10="",J10,I10)-J10)*Simulador!$C$9</f>
        <v>85324.7254054054</v>
      </c>
      <c r="R10" s="23" t="n">
        <f aca="false">N10+(IF(I10="",J10,I10)-J10)*Simulador!$C$9</f>
        <v>107873.808108108</v>
      </c>
      <c r="S10" s="23" t="n">
        <f aca="false">O10+(IF(I10="",J10,I10)-J10)*Simulador!$C$9</f>
        <v>107873.808108108</v>
      </c>
      <c r="T10" s="23" t="n">
        <f aca="false">P10+(IF(I10="",J10,I10)-J10)*Simulador!$C$9</f>
        <v>81770.6491891892</v>
      </c>
      <c r="U10" s="2"/>
      <c r="W10" s="42" t="s">
        <v>234</v>
      </c>
      <c r="X10" s="42" t="n">
        <v>11</v>
      </c>
    </row>
    <row r="11" customFormat="false" ht="15" hidden="false" customHeight="false" outlineLevel="0" collapsed="false">
      <c r="B11" s="37" t="n">
        <v>45309</v>
      </c>
      <c r="C11" s="9" t="s">
        <v>235</v>
      </c>
      <c r="D11" s="38" t="n">
        <v>3.25</v>
      </c>
      <c r="E11" s="9" t="s">
        <v>231</v>
      </c>
      <c r="F11" s="16" t="n">
        <f aca="false">MATCH(E11,{"Misma locación","0.15 - 5 km","5 - 10 km","10+ km"},0)</f>
        <v>2</v>
      </c>
      <c r="G11" s="16" t="n">
        <f aca="false">MONTH(B11)</f>
        <v>1</v>
      </c>
      <c r="H11" s="16" t="n">
        <f aca="false">COUNTIF($G$8:G11,G11)</f>
        <v>4</v>
      </c>
      <c r="I11" s="38"/>
      <c r="J11" s="39" t="n">
        <f aca="false">INDEX(Simulador!$C$39:$F$39,F11)</f>
        <v>18</v>
      </c>
      <c r="K11" s="40" t="str">
        <f aca="false">IF(I11="","",I11-J11)</f>
        <v/>
      </c>
      <c r="L11" s="41" t="n">
        <f aca="false">INDEX(Simulador!$C$51:$F$51,F11)</f>
        <v>99473.8108108108</v>
      </c>
      <c r="M11" s="23" t="n">
        <f aca="false">IF(H11&gt;=Simulador!$C$19,INDEX(Simulador!$C$63:$F$63,F11),INDEX(Simulador!$C$62:$F$62,F11))</f>
        <v>88600.7254054054</v>
      </c>
      <c r="N11" s="23" t="n">
        <f aca="false">INDEX(Simulador!$C$64:$F$64,F11)</f>
        <v>111149.808108108</v>
      </c>
      <c r="O11" s="23" t="n">
        <f aca="false">IF(H11&gt;=Simulador!$C$19,INDEX(Simulador!$C$65:$F$65,F11),INDEX(Simulador!$C$64:$F$64,F11))</f>
        <v>111149.808108108</v>
      </c>
      <c r="P11" s="23" t="n">
        <f aca="false">IF(H11&gt;=Simulador!$C$19,INDEX(Simulador!$C$67:$F$67,F11),INDEX(Simulador!$C$66:$F$66,F11))</f>
        <v>85046.6491891892</v>
      </c>
      <c r="Q11" s="23" t="n">
        <f aca="false">M11+(IF(I11="",J11,I11)-J11)*Simulador!$C$9</f>
        <v>88600.7254054054</v>
      </c>
      <c r="R11" s="23" t="n">
        <f aca="false">N11+(IF(I11="",J11,I11)-J11)*Simulador!$C$9</f>
        <v>111149.808108108</v>
      </c>
      <c r="S11" s="23" t="n">
        <f aca="false">O11+(IF(I11="",J11,I11)-J11)*Simulador!$C$9</f>
        <v>111149.808108108</v>
      </c>
      <c r="T11" s="23" t="n">
        <f aca="false">P11+(IF(I11="",J11,I11)-J11)*Simulador!$C$9</f>
        <v>85046.6491891892</v>
      </c>
      <c r="U11" s="2" t="s">
        <v>236</v>
      </c>
      <c r="W11" s="42" t="s">
        <v>237</v>
      </c>
      <c r="X11" s="43" t="n">
        <f aca="false">X9/X10</f>
        <v>6.36363636363636</v>
      </c>
    </row>
    <row r="12" customFormat="false" ht="15" hidden="false" customHeight="false" outlineLevel="0" collapsed="false">
      <c r="B12" s="37" t="n">
        <v>45312</v>
      </c>
      <c r="C12" s="9" t="s">
        <v>238</v>
      </c>
      <c r="D12" s="38" t="n">
        <v>4.9</v>
      </c>
      <c r="E12" s="9" t="s">
        <v>231</v>
      </c>
      <c r="F12" s="16" t="n">
        <f aca="false">MATCH(E12,{"Misma locación","0.15 - 5 km","5 - 10 km","10+ km"},0)</f>
        <v>2</v>
      </c>
      <c r="G12" s="16" t="n">
        <f aca="false">MONTH(B12)</f>
        <v>1</v>
      </c>
      <c r="H12" s="16" t="n">
        <f aca="false">COUNTIF($G$8:G12,G12)</f>
        <v>5</v>
      </c>
      <c r="I12" s="38" t="n">
        <v>20</v>
      </c>
      <c r="J12" s="39" t="n">
        <f aca="false">INDEX(Simulador!$C$39:$F$39,F12)</f>
        <v>18</v>
      </c>
      <c r="K12" s="40" t="n">
        <f aca="false">IF(I12="","",I12-J12)</f>
        <v>2</v>
      </c>
      <c r="L12" s="41" t="n">
        <f aca="false">INDEX(Simulador!$C$51:$F$51,F12)</f>
        <v>99473.8108108108</v>
      </c>
      <c r="M12" s="23" t="n">
        <f aca="false">IF(H12&gt;=Simulador!$C$19,INDEX(Simulador!$C$63:$F$63,F12),INDEX(Simulador!$C$62:$F$62,F12))</f>
        <v>88600.7254054054</v>
      </c>
      <c r="N12" s="23" t="n">
        <f aca="false">INDEX(Simulador!$C$64:$F$64,F12)</f>
        <v>111149.808108108</v>
      </c>
      <c r="O12" s="23" t="n">
        <f aca="false">IF(H12&gt;=Simulador!$C$19,INDEX(Simulador!$C$65:$F$65,F12),INDEX(Simulador!$C$64:$F$64,F12))</f>
        <v>111149.808108108</v>
      </c>
      <c r="P12" s="23" t="n">
        <f aca="false">IF(H12&gt;=Simulador!$C$19,INDEX(Simulador!$C$67:$F$67,F12),INDEX(Simulador!$C$66:$F$66,F12))</f>
        <v>85046.6491891892</v>
      </c>
      <c r="Q12" s="23" t="n">
        <f aca="false">M12+(IF(I12="",J12,I12)-J12)*Simulador!$C$9</f>
        <v>91512.7254054054</v>
      </c>
      <c r="R12" s="23" t="n">
        <f aca="false">N12+(IF(I12="",J12,I12)-J12)*Simulador!$C$9</f>
        <v>114061.808108108</v>
      </c>
      <c r="S12" s="23" t="n">
        <f aca="false">O12+(IF(I12="",J12,I12)-J12)*Simulador!$C$9</f>
        <v>114061.808108108</v>
      </c>
      <c r="T12" s="23" t="n">
        <f aca="false">P12+(IF(I12="",J12,I12)-J12)*Simulador!$C$9</f>
        <v>87958.6491891892</v>
      </c>
      <c r="U12" s="2"/>
      <c r="W12" s="42" t="s">
        <v>239</v>
      </c>
      <c r="X12" s="42" t="n">
        <f aca="false">COUNTIF(C84:C94,"&gt;=6")</f>
        <v>9</v>
      </c>
    </row>
    <row r="13" customFormat="false" ht="15" hidden="false" customHeight="false" outlineLevel="0" collapsed="false">
      <c r="B13" s="37" t="n">
        <v>45317</v>
      </c>
      <c r="C13" s="9" t="s">
        <v>240</v>
      </c>
      <c r="D13" s="38" t="n">
        <v>0.4</v>
      </c>
      <c r="E13" s="9" t="s">
        <v>231</v>
      </c>
      <c r="F13" s="16" t="n">
        <f aca="false">MATCH(E13,{"Misma locación","0.15 - 5 km","5 - 10 km","10+ km"},0)</f>
        <v>2</v>
      </c>
      <c r="G13" s="16" t="n">
        <f aca="false">MONTH(B13)</f>
        <v>1</v>
      </c>
      <c r="H13" s="16" t="n">
        <f aca="false">COUNTIF($G$8:G13,G13)</f>
        <v>6</v>
      </c>
      <c r="I13" s="38" t="n">
        <v>12.5</v>
      </c>
      <c r="J13" s="39" t="n">
        <f aca="false">INDEX(Simulador!$C$39:$F$39,F13)</f>
        <v>18</v>
      </c>
      <c r="K13" s="40" t="n">
        <f aca="false">IF(I13="","",I13-J13)</f>
        <v>-5.5</v>
      </c>
      <c r="L13" s="41" t="n">
        <f aca="false">INDEX(Simulador!$C$51:$F$51,F13)</f>
        <v>99473.8108108108</v>
      </c>
      <c r="M13" s="23" t="n">
        <f aca="false">IF(H13&gt;=Simulador!$C$19,INDEX(Simulador!$C$63:$F$63,F13),INDEX(Simulador!$C$62:$F$62,F13))</f>
        <v>58755.7140540541</v>
      </c>
      <c r="N13" s="23" t="n">
        <f aca="false">INDEX(Simulador!$C$64:$F$64,F13)</f>
        <v>111149.808108108</v>
      </c>
      <c r="O13" s="23" t="n">
        <f aca="false">IF(H13&gt;=Simulador!$C$19,INDEX(Simulador!$C$65:$F$65,F13),INDEX(Simulador!$C$64:$F$64,F13))</f>
        <v>70030.2554054054</v>
      </c>
      <c r="P13" s="23" t="n">
        <f aca="false">IF(H13&gt;=Simulador!$C$19,INDEX(Simulador!$C$67:$F$67,F13),INDEX(Simulador!$C$66:$F$66,F13))</f>
        <v>62202.5945945946</v>
      </c>
      <c r="Q13" s="23" t="n">
        <f aca="false">M13+(IF(I13="",J13,I13)-J13)*Simulador!$C$9</f>
        <v>50747.7140540541</v>
      </c>
      <c r="R13" s="23" t="n">
        <f aca="false">N13+(IF(I13="",J13,I13)-J13)*Simulador!$C$9</f>
        <v>103141.808108108</v>
      </c>
      <c r="S13" s="23" t="n">
        <f aca="false">O13+(IF(I13="",J13,I13)-J13)*Simulador!$C$9</f>
        <v>62022.2554054054</v>
      </c>
      <c r="T13" s="23" t="n">
        <f aca="false">P13+(IF(I13="",J13,I13)-J13)*Simulador!$C$9</f>
        <v>54194.5945945946</v>
      </c>
      <c r="U13" s="2"/>
      <c r="W13" s="42" t="s">
        <v>241</v>
      </c>
      <c r="X13" s="42" t="n">
        <f aca="false">COUNTIF(C84:C94,"&lt;5")</f>
        <v>2</v>
      </c>
    </row>
    <row r="14" customFormat="false" ht="15" hidden="false" customHeight="false" outlineLevel="0" collapsed="false">
      <c r="B14" s="37" t="n">
        <v>45321</v>
      </c>
      <c r="C14" s="9" t="s">
        <v>242</v>
      </c>
      <c r="D14" s="38" t="n">
        <v>5.2</v>
      </c>
      <c r="E14" s="9" t="s">
        <v>243</v>
      </c>
      <c r="F14" s="16" t="n">
        <f aca="false">MATCH(E14,{"Misma locación","0.15 - 5 km","5 - 10 km","10+ km"},0)</f>
        <v>3</v>
      </c>
      <c r="G14" s="16" t="n">
        <f aca="false">MONTH(B14)</f>
        <v>1</v>
      </c>
      <c r="H14" s="16" t="n">
        <f aca="false">COUNTIF($G$8:G14,G14)</f>
        <v>7</v>
      </c>
      <c r="I14" s="38" t="n">
        <v>16</v>
      </c>
      <c r="J14" s="39" t="n">
        <f aca="false">INDEX(Simulador!$C$39:$F$39,F14)</f>
        <v>24</v>
      </c>
      <c r="K14" s="40" t="n">
        <f aca="false">IF(I14="","",I14-J14)</f>
        <v>-8</v>
      </c>
      <c r="L14" s="41" t="n">
        <f aca="false">INDEX(Simulador!$C$51:$F$51,F14)</f>
        <v>96184.8108108108</v>
      </c>
      <c r="M14" s="23" t="n">
        <f aca="false">IF(H14&gt;=Simulador!$C$19,INDEX(Simulador!$C$63:$F$63,F14),INDEX(Simulador!$C$62:$F$62,F14))</f>
        <v>69871.4321621622</v>
      </c>
      <c r="N14" s="23" t="n">
        <f aca="false">INDEX(Simulador!$C$64:$F$64,F14)</f>
        <v>138633.155135135</v>
      </c>
      <c r="O14" s="23" t="n">
        <f aca="false">IF(H14&gt;=Simulador!$C$19,INDEX(Simulador!$C$65:$F$65,F14),INDEX(Simulador!$C$64:$F$64,F14))</f>
        <v>88139.9289189189</v>
      </c>
      <c r="P14" s="23" t="n">
        <f aca="false">IF(H14&gt;=Simulador!$C$19,INDEX(Simulador!$C$67:$F$67,F14),INDEX(Simulador!$C$66:$F$66,F14))</f>
        <v>75215.6216216216</v>
      </c>
      <c r="Q14" s="23" t="n">
        <f aca="false">M14+(IF(I14="",J14,I14)-J14)*Simulador!$C$9</f>
        <v>58223.4321621622</v>
      </c>
      <c r="R14" s="23" t="n">
        <f aca="false">N14+(IF(I14="",J14,I14)-J14)*Simulador!$C$9</f>
        <v>126985.155135135</v>
      </c>
      <c r="S14" s="23" t="n">
        <f aca="false">O14+(IF(I14="",J14,I14)-J14)*Simulador!$C$9</f>
        <v>76491.9289189189</v>
      </c>
      <c r="T14" s="23" t="n">
        <f aca="false">P14+(IF(I14="",J14,I14)-J14)*Simulador!$C$9</f>
        <v>63567.6216216216</v>
      </c>
      <c r="U14" s="2"/>
    </row>
    <row r="15" customFormat="false" ht="15" hidden="false" customHeight="false" outlineLevel="0" collapsed="false">
      <c r="B15" s="37" t="n">
        <v>45325</v>
      </c>
      <c r="C15" s="9" t="s">
        <v>244</v>
      </c>
      <c r="D15" s="38" t="n">
        <v>0.00640079979517441</v>
      </c>
      <c r="E15" s="9" t="s">
        <v>245</v>
      </c>
      <c r="F15" s="16" t="n">
        <f aca="false">MATCH(E15,{"Misma locación","0.15 - 5 km","5 - 10 km","10+ km"},0)</f>
        <v>1</v>
      </c>
      <c r="G15" s="16" t="n">
        <f aca="false">MONTH(B15)</f>
        <v>2</v>
      </c>
      <c r="H15" s="16" t="n">
        <f aca="false">COUNTIF($G$8:G15,G15)</f>
        <v>1</v>
      </c>
      <c r="I15" s="38" t="n">
        <v>8</v>
      </c>
      <c r="J15" s="39" t="n">
        <f aca="false">INDEX(Simulador!$C$39:$F$39,F15)</f>
        <v>12</v>
      </c>
      <c r="K15" s="40" t="n">
        <f aca="false">IF(I15="","",I15-J15)</f>
        <v>-4</v>
      </c>
      <c r="L15" s="41" t="n">
        <f aca="false">INDEX(Simulador!$C$51:$F$51,F15)</f>
        <v>76047.4054054054</v>
      </c>
      <c r="M15" s="23" t="n">
        <f aca="false">IF(H15&gt;=Simulador!$C$19,INDEX(Simulador!$C$63:$F$63,F15),INDEX(Simulador!$C$62:$F$62,F15))</f>
        <v>58116.7137837838</v>
      </c>
      <c r="N15" s="23" t="n">
        <f aca="false">INDEX(Simulador!$C$64:$F$64,F15)</f>
        <v>68381.1581081081</v>
      </c>
      <c r="O15" s="23" t="n">
        <f aca="false">IF(H15&gt;=Simulador!$C$19,INDEX(Simulador!$C$65:$F$65,F15),INDEX(Simulador!$C$64:$F$64,F15))</f>
        <v>68381.1581081081</v>
      </c>
      <c r="P15" s="23" t="n">
        <f aca="false">IF(H15&gt;=Simulador!$C$19,INDEX(Simulador!$C$67:$F$67,F15),INDEX(Simulador!$C$66:$F$66,F15))</f>
        <v>58075.5140540541</v>
      </c>
      <c r="Q15" s="23" t="n">
        <f aca="false">M15+(IF(I15="",J15,I15)-J15)*Simulador!$C$9</f>
        <v>52292.7137837838</v>
      </c>
      <c r="R15" s="23" t="n">
        <f aca="false">N15+(IF(I15="",J15,I15)-J15)*Simulador!$C$9</f>
        <v>62557.1581081081</v>
      </c>
      <c r="S15" s="23" t="n">
        <f aca="false">O15+(IF(I15="",J15,I15)-J15)*Simulador!$C$9</f>
        <v>62557.1581081081</v>
      </c>
      <c r="T15" s="23" t="n">
        <f aca="false">P15+(IF(I15="",J15,I15)-J15)*Simulador!$C$9</f>
        <v>52251.5140540541</v>
      </c>
      <c r="U15" s="2"/>
    </row>
    <row r="16" customFormat="false" ht="15" hidden="false" customHeight="false" outlineLevel="0" collapsed="false">
      <c r="B16" s="37" t="n">
        <v>45328</v>
      </c>
      <c r="C16" s="9" t="s">
        <v>246</v>
      </c>
      <c r="D16" s="38" t="n">
        <v>3</v>
      </c>
      <c r="E16" s="9" t="s">
        <v>231</v>
      </c>
      <c r="F16" s="16" t="n">
        <f aca="false">MATCH(E16,{"Misma locación","0.15 - 5 km","5 - 10 km","10+ km"},0)</f>
        <v>2</v>
      </c>
      <c r="G16" s="16" t="n">
        <f aca="false">MONTH(B16)</f>
        <v>2</v>
      </c>
      <c r="H16" s="16" t="n">
        <f aca="false">COUNTIF($G$8:G16,G16)</f>
        <v>2</v>
      </c>
      <c r="I16" s="38" t="n">
        <v>22</v>
      </c>
      <c r="J16" s="39" t="n">
        <f aca="false">INDEX(Simulador!$C$39:$F$39,F16)</f>
        <v>18</v>
      </c>
      <c r="K16" s="40" t="n">
        <f aca="false">IF(I16="","",I16-J16)</f>
        <v>4</v>
      </c>
      <c r="L16" s="41" t="n">
        <f aca="false">INDEX(Simulador!$C$51:$F$51,F16)</f>
        <v>99473.8108108108</v>
      </c>
      <c r="M16" s="23" t="n">
        <f aca="false">IF(H16&gt;=Simulador!$C$19,INDEX(Simulador!$C$63:$F$63,F16),INDEX(Simulador!$C$62:$F$62,F16))</f>
        <v>88600.7254054054</v>
      </c>
      <c r="N16" s="23" t="n">
        <f aca="false">INDEX(Simulador!$C$64:$F$64,F16)</f>
        <v>111149.808108108</v>
      </c>
      <c r="O16" s="23" t="n">
        <f aca="false">IF(H16&gt;=Simulador!$C$19,INDEX(Simulador!$C$65:$F$65,F16),INDEX(Simulador!$C$64:$F$64,F16))</f>
        <v>111149.808108108</v>
      </c>
      <c r="P16" s="23" t="n">
        <f aca="false">IF(H16&gt;=Simulador!$C$19,INDEX(Simulador!$C$67:$F$67,F16),INDEX(Simulador!$C$66:$F$66,F16))</f>
        <v>85046.6491891892</v>
      </c>
      <c r="Q16" s="23" t="n">
        <f aca="false">M16+(IF(I16="",J16,I16)-J16)*Simulador!$C$9</f>
        <v>94424.7254054054</v>
      </c>
      <c r="R16" s="23" t="n">
        <f aca="false">N16+(IF(I16="",J16,I16)-J16)*Simulador!$C$9</f>
        <v>116973.808108108</v>
      </c>
      <c r="S16" s="23" t="n">
        <f aca="false">O16+(IF(I16="",J16,I16)-J16)*Simulador!$C$9</f>
        <v>116973.808108108</v>
      </c>
      <c r="T16" s="23" t="n">
        <f aca="false">P16+(IF(I16="",J16,I16)-J16)*Simulador!$C$9</f>
        <v>90870.6491891892</v>
      </c>
      <c r="U16" s="2"/>
    </row>
    <row r="17" customFormat="false" ht="15" hidden="false" customHeight="false" outlineLevel="0" collapsed="false">
      <c r="B17" s="37" t="n">
        <v>45331</v>
      </c>
      <c r="C17" s="9" t="s">
        <v>247</v>
      </c>
      <c r="D17" s="38" t="n">
        <v>0.02</v>
      </c>
      <c r="E17" s="9" t="s">
        <v>245</v>
      </c>
      <c r="F17" s="16" t="n">
        <f aca="false">MATCH(E17,{"Misma locación","0.15 - 5 km","5 - 10 km","10+ km"},0)</f>
        <v>1</v>
      </c>
      <c r="G17" s="16" t="n">
        <f aca="false">MONTH(B17)</f>
        <v>2</v>
      </c>
      <c r="H17" s="16" t="n">
        <f aca="false">COUNTIF($G$8:G17,G17)</f>
        <v>3</v>
      </c>
      <c r="I17" s="38" t="n">
        <v>10</v>
      </c>
      <c r="J17" s="39" t="n">
        <f aca="false">INDEX(Simulador!$C$39:$F$39,F17)</f>
        <v>12</v>
      </c>
      <c r="K17" s="40" t="n">
        <f aca="false">IF(I17="","",I17-J17)</f>
        <v>-2</v>
      </c>
      <c r="L17" s="41" t="n">
        <f aca="false">INDEX(Simulador!$C$51:$F$51,F17)</f>
        <v>76047.4054054054</v>
      </c>
      <c r="M17" s="23" t="n">
        <f aca="false">IF(H17&gt;=Simulador!$C$19,INDEX(Simulador!$C$63:$F$63,F17),INDEX(Simulador!$C$62:$F$62,F17))</f>
        <v>58116.7137837838</v>
      </c>
      <c r="N17" s="23" t="n">
        <f aca="false">INDEX(Simulador!$C$64:$F$64,F17)</f>
        <v>68381.1581081081</v>
      </c>
      <c r="O17" s="23" t="n">
        <f aca="false">IF(H17&gt;=Simulador!$C$19,INDEX(Simulador!$C$65:$F$65,F17),INDEX(Simulador!$C$64:$F$64,F17))</f>
        <v>68381.1581081081</v>
      </c>
      <c r="P17" s="23" t="n">
        <f aca="false">IF(H17&gt;=Simulador!$C$19,INDEX(Simulador!$C$67:$F$67,F17),INDEX(Simulador!$C$66:$F$66,F17))</f>
        <v>58075.5140540541</v>
      </c>
      <c r="Q17" s="23" t="n">
        <f aca="false">M17+(IF(I17="",J17,I17)-J17)*Simulador!$C$9</f>
        <v>55204.7137837838</v>
      </c>
      <c r="R17" s="23" t="n">
        <f aca="false">N17+(IF(I17="",J17,I17)-J17)*Simulador!$C$9</f>
        <v>65469.1581081081</v>
      </c>
      <c r="S17" s="23" t="n">
        <f aca="false">O17+(IF(I17="",J17,I17)-J17)*Simulador!$C$9</f>
        <v>65469.1581081081</v>
      </c>
      <c r="T17" s="23" t="n">
        <f aca="false">P17+(IF(I17="",J17,I17)-J17)*Simulador!$C$9</f>
        <v>55163.5140540541</v>
      </c>
      <c r="U17" s="2"/>
    </row>
    <row r="18" customFormat="false" ht="15" hidden="false" customHeight="false" outlineLevel="0" collapsed="false">
      <c r="B18" s="37" t="n">
        <v>45334</v>
      </c>
      <c r="C18" s="9" t="s">
        <v>248</v>
      </c>
      <c r="D18" s="38" t="n">
        <v>0.02</v>
      </c>
      <c r="E18" s="9" t="s">
        <v>245</v>
      </c>
      <c r="F18" s="16" t="n">
        <f aca="false">MATCH(E18,{"Misma locación","0.15 - 5 km","5 - 10 km","10+ km"},0)</f>
        <v>1</v>
      </c>
      <c r="G18" s="16" t="n">
        <f aca="false">MONTH(B18)</f>
        <v>2</v>
      </c>
      <c r="H18" s="16" t="n">
        <f aca="false">COUNTIF($G$8:G18,G18)</f>
        <v>4</v>
      </c>
      <c r="I18" s="38" t="n">
        <v>10</v>
      </c>
      <c r="J18" s="39" t="n">
        <f aca="false">INDEX(Simulador!$C$39:$F$39,F18)</f>
        <v>12</v>
      </c>
      <c r="K18" s="40" t="n">
        <f aca="false">IF(I18="","",I18-J18)</f>
        <v>-2</v>
      </c>
      <c r="L18" s="41" t="n">
        <f aca="false">INDEX(Simulador!$C$51:$F$51,F18)</f>
        <v>76047.4054054054</v>
      </c>
      <c r="M18" s="23" t="n">
        <f aca="false">IF(H18&gt;=Simulador!$C$19,INDEX(Simulador!$C$63:$F$63,F18),INDEX(Simulador!$C$62:$F$62,F18))</f>
        <v>58116.7137837838</v>
      </c>
      <c r="N18" s="23" t="n">
        <f aca="false">INDEX(Simulador!$C$64:$F$64,F18)</f>
        <v>68381.1581081081</v>
      </c>
      <c r="O18" s="23" t="n">
        <f aca="false">IF(H18&gt;=Simulador!$C$19,INDEX(Simulador!$C$65:$F$65,F18),INDEX(Simulador!$C$64:$F$64,F18))</f>
        <v>68381.1581081081</v>
      </c>
      <c r="P18" s="23" t="n">
        <f aca="false">IF(H18&gt;=Simulador!$C$19,INDEX(Simulador!$C$67:$F$67,F18),INDEX(Simulador!$C$66:$F$66,F18))</f>
        <v>58075.5140540541</v>
      </c>
      <c r="Q18" s="23" t="n">
        <f aca="false">M18+(IF(I18="",J18,I18)-J18)*Simulador!$C$9</f>
        <v>55204.7137837838</v>
      </c>
      <c r="R18" s="23" t="n">
        <f aca="false">N18+(IF(I18="",J18,I18)-J18)*Simulador!$C$9</f>
        <v>65469.1581081081</v>
      </c>
      <c r="S18" s="23" t="n">
        <f aca="false">O18+(IF(I18="",J18,I18)-J18)*Simulador!$C$9</f>
        <v>65469.1581081081</v>
      </c>
      <c r="T18" s="23" t="n">
        <f aca="false">P18+(IF(I18="",J18,I18)-J18)*Simulador!$C$9</f>
        <v>55163.5140540541</v>
      </c>
      <c r="U18" s="2"/>
    </row>
    <row r="19" customFormat="false" ht="15" hidden="false" customHeight="false" outlineLevel="0" collapsed="false">
      <c r="B19" s="37" t="n">
        <v>45337</v>
      </c>
      <c r="C19" s="9" t="s">
        <v>249</v>
      </c>
      <c r="D19" s="38" t="n">
        <v>3.4</v>
      </c>
      <c r="E19" s="9" t="s">
        <v>231</v>
      </c>
      <c r="F19" s="16" t="n">
        <f aca="false">MATCH(E19,{"Misma locación","0.15 - 5 km","5 - 10 km","10+ km"},0)</f>
        <v>2</v>
      </c>
      <c r="G19" s="16" t="n">
        <f aca="false">MONTH(B19)</f>
        <v>2</v>
      </c>
      <c r="H19" s="16" t="n">
        <f aca="false">COUNTIF($G$8:G19,G19)</f>
        <v>5</v>
      </c>
      <c r="I19" s="38" t="n">
        <v>12</v>
      </c>
      <c r="J19" s="39" t="n">
        <f aca="false">INDEX(Simulador!$C$39:$F$39,F19)</f>
        <v>18</v>
      </c>
      <c r="K19" s="40" t="n">
        <f aca="false">IF(I19="","",I19-J19)</f>
        <v>-6</v>
      </c>
      <c r="L19" s="41" t="n">
        <f aca="false">INDEX(Simulador!$C$51:$F$51,F19)</f>
        <v>99473.8108108108</v>
      </c>
      <c r="M19" s="23" t="n">
        <f aca="false">IF(H19&gt;=Simulador!$C$19,INDEX(Simulador!$C$63:$F$63,F19),INDEX(Simulador!$C$62:$F$62,F19))</f>
        <v>88600.7254054054</v>
      </c>
      <c r="N19" s="23" t="n">
        <f aca="false">INDEX(Simulador!$C$64:$F$64,F19)</f>
        <v>111149.808108108</v>
      </c>
      <c r="O19" s="23" t="n">
        <f aca="false">IF(H19&gt;=Simulador!$C$19,INDEX(Simulador!$C$65:$F$65,F19),INDEX(Simulador!$C$64:$F$64,F19))</f>
        <v>111149.808108108</v>
      </c>
      <c r="P19" s="23" t="n">
        <f aca="false">IF(H19&gt;=Simulador!$C$19,INDEX(Simulador!$C$67:$F$67,F19),INDEX(Simulador!$C$66:$F$66,F19))</f>
        <v>85046.6491891892</v>
      </c>
      <c r="Q19" s="23" t="n">
        <f aca="false">M19+(IF(I19="",J19,I19)-J19)*Simulador!$C$9</f>
        <v>79864.7254054054</v>
      </c>
      <c r="R19" s="23" t="n">
        <f aca="false">N19+(IF(I19="",J19,I19)-J19)*Simulador!$C$9</f>
        <v>102413.808108108</v>
      </c>
      <c r="S19" s="23" t="n">
        <f aca="false">O19+(IF(I19="",J19,I19)-J19)*Simulador!$C$9</f>
        <v>102413.808108108</v>
      </c>
      <c r="T19" s="23" t="n">
        <f aca="false">P19+(IF(I19="",J19,I19)-J19)*Simulador!$C$9</f>
        <v>76310.6491891892</v>
      </c>
      <c r="U19" s="2"/>
    </row>
    <row r="20" customFormat="false" ht="15" hidden="false" customHeight="false" outlineLevel="0" collapsed="false">
      <c r="B20" s="37" t="n">
        <v>45342</v>
      </c>
      <c r="C20" s="9" t="s">
        <v>250</v>
      </c>
      <c r="D20" s="38" t="n">
        <v>0.0192023993855232</v>
      </c>
      <c r="E20" s="9" t="s">
        <v>245</v>
      </c>
      <c r="F20" s="16" t="n">
        <f aca="false">MATCH(E20,{"Misma locación","0.15 - 5 km","5 - 10 km","10+ km"},0)</f>
        <v>1</v>
      </c>
      <c r="G20" s="16" t="n">
        <f aca="false">MONTH(B20)</f>
        <v>2</v>
      </c>
      <c r="H20" s="16" t="n">
        <f aca="false">COUNTIF($G$8:G20,G20)</f>
        <v>6</v>
      </c>
      <c r="I20" s="38" t="n">
        <v>14</v>
      </c>
      <c r="J20" s="39" t="n">
        <f aca="false">INDEX(Simulador!$C$39:$F$39,F20)</f>
        <v>12</v>
      </c>
      <c r="K20" s="40" t="n">
        <f aca="false">IF(I20="","",I20-J20)</f>
        <v>2</v>
      </c>
      <c r="L20" s="41" t="n">
        <f aca="false">INDEX(Simulador!$C$51:$F$51,F20)</f>
        <v>76047.4054054054</v>
      </c>
      <c r="M20" s="23" t="n">
        <f aca="false">IF(H20&gt;=Simulador!$C$19,INDEX(Simulador!$C$63:$F$63,F20),INDEX(Simulador!$C$62:$F$62,F20))</f>
        <v>39145.7082432432</v>
      </c>
      <c r="N20" s="23" t="n">
        <f aca="false">INDEX(Simulador!$C$64:$F$64,F20)</f>
        <v>68381.1581081081</v>
      </c>
      <c r="O20" s="23" t="n">
        <f aca="false">IF(H20&gt;=Simulador!$C$19,INDEX(Simulador!$C$65:$F$65,F20),INDEX(Simulador!$C$64:$F$64,F20))</f>
        <v>44277.9304054054</v>
      </c>
      <c r="P20" s="23" t="n">
        <f aca="false">IF(H20&gt;=Simulador!$C$19,INDEX(Simulador!$C$67:$F$67,F20),INDEX(Simulador!$C$66:$F$66,F20))</f>
        <v>53466.5945945946</v>
      </c>
      <c r="Q20" s="23" t="n">
        <f aca="false">M20+(IF(I20="",J20,I20)-J20)*Simulador!$C$9</f>
        <v>42057.7082432432</v>
      </c>
      <c r="R20" s="23" t="n">
        <f aca="false">N20+(IF(I20="",J20,I20)-J20)*Simulador!$C$9</f>
        <v>71293.1581081081</v>
      </c>
      <c r="S20" s="23" t="n">
        <f aca="false">O20+(IF(I20="",J20,I20)-J20)*Simulador!$C$9</f>
        <v>47189.9304054054</v>
      </c>
      <c r="T20" s="23" t="n">
        <f aca="false">P20+(IF(I20="",J20,I20)-J20)*Simulador!$C$9</f>
        <v>56378.5945945946</v>
      </c>
      <c r="U20" s="2"/>
    </row>
    <row r="21" customFormat="false" ht="15" hidden="false" customHeight="false" outlineLevel="0" collapsed="false">
      <c r="B21" s="37" t="n">
        <v>45346</v>
      </c>
      <c r="C21" s="9" t="s">
        <v>251</v>
      </c>
      <c r="D21" s="38" t="n">
        <v>2.8</v>
      </c>
      <c r="E21" s="9" t="s">
        <v>231</v>
      </c>
      <c r="F21" s="16" t="n">
        <f aca="false">MATCH(E21,{"Misma locación","0.15 - 5 km","5 - 10 km","10+ km"},0)</f>
        <v>2</v>
      </c>
      <c r="G21" s="16" t="n">
        <f aca="false">MONTH(B21)</f>
        <v>2</v>
      </c>
      <c r="H21" s="16" t="n">
        <f aca="false">COUNTIF($G$8:G21,G21)</f>
        <v>7</v>
      </c>
      <c r="I21" s="38" t="n">
        <v>17</v>
      </c>
      <c r="J21" s="39" t="n">
        <f aca="false">INDEX(Simulador!$C$39:$F$39,F21)</f>
        <v>18</v>
      </c>
      <c r="K21" s="40" t="n">
        <f aca="false">IF(I21="","",I21-J21)</f>
        <v>-1</v>
      </c>
      <c r="L21" s="41" t="n">
        <f aca="false">INDEX(Simulador!$C$51:$F$51,F21)</f>
        <v>99473.8108108108</v>
      </c>
      <c r="M21" s="23" t="n">
        <f aca="false">IF(H21&gt;=Simulador!$C$19,INDEX(Simulador!$C$63:$F$63,F21),INDEX(Simulador!$C$62:$F$62,F21))</f>
        <v>58755.7140540541</v>
      </c>
      <c r="N21" s="23" t="n">
        <f aca="false">INDEX(Simulador!$C$64:$F$64,F21)</f>
        <v>111149.808108108</v>
      </c>
      <c r="O21" s="23" t="n">
        <f aca="false">IF(H21&gt;=Simulador!$C$19,INDEX(Simulador!$C$65:$F$65,F21),INDEX(Simulador!$C$64:$F$64,F21))</f>
        <v>70030.2554054054</v>
      </c>
      <c r="P21" s="23" t="n">
        <f aca="false">IF(H21&gt;=Simulador!$C$19,INDEX(Simulador!$C$67:$F$67,F21),INDEX(Simulador!$C$66:$F$66,F21))</f>
        <v>62202.5945945946</v>
      </c>
      <c r="Q21" s="23" t="n">
        <f aca="false">M21+(IF(I21="",J21,I21)-J21)*Simulador!$C$9</f>
        <v>57299.7140540541</v>
      </c>
      <c r="R21" s="23" t="n">
        <f aca="false">N21+(IF(I21="",J21,I21)-J21)*Simulador!$C$9</f>
        <v>109693.808108108</v>
      </c>
      <c r="S21" s="23" t="n">
        <f aca="false">O21+(IF(I21="",J21,I21)-J21)*Simulador!$C$9</f>
        <v>68574.2554054054</v>
      </c>
      <c r="T21" s="23" t="n">
        <f aca="false">P21+(IF(I21="",J21,I21)-J21)*Simulador!$C$9</f>
        <v>60746.5945945946</v>
      </c>
      <c r="U21" s="2"/>
    </row>
    <row r="22" customFormat="false" ht="15" hidden="false" customHeight="false" outlineLevel="0" collapsed="false">
      <c r="B22" s="37" t="n">
        <v>45351</v>
      </c>
      <c r="C22" s="9" t="s">
        <v>252</v>
      </c>
      <c r="D22" s="38" t="n">
        <v>2.8</v>
      </c>
      <c r="E22" s="9" t="s">
        <v>231</v>
      </c>
      <c r="F22" s="16" t="n">
        <f aca="false">MATCH(E22,{"Misma locación","0.15 - 5 km","5 - 10 km","10+ km"},0)</f>
        <v>2</v>
      </c>
      <c r="G22" s="16" t="n">
        <f aca="false">MONTH(B22)</f>
        <v>2</v>
      </c>
      <c r="H22" s="16" t="n">
        <f aca="false">COUNTIF($G$8:G22,G22)</f>
        <v>8</v>
      </c>
      <c r="I22" s="38" t="n">
        <v>22</v>
      </c>
      <c r="J22" s="39" t="n">
        <f aca="false">INDEX(Simulador!$C$39:$F$39,F22)</f>
        <v>18</v>
      </c>
      <c r="K22" s="40" t="n">
        <f aca="false">IF(I22="","",I22-J22)</f>
        <v>4</v>
      </c>
      <c r="L22" s="41" t="n">
        <f aca="false">INDEX(Simulador!$C$51:$F$51,F22)</f>
        <v>99473.8108108108</v>
      </c>
      <c r="M22" s="23" t="n">
        <f aca="false">IF(H22&gt;=Simulador!$C$19,INDEX(Simulador!$C$63:$F$63,F22),INDEX(Simulador!$C$62:$F$62,F22))</f>
        <v>58755.7140540541</v>
      </c>
      <c r="N22" s="23" t="n">
        <f aca="false">INDEX(Simulador!$C$64:$F$64,F22)</f>
        <v>111149.808108108</v>
      </c>
      <c r="O22" s="23" t="n">
        <f aca="false">IF(H22&gt;=Simulador!$C$19,INDEX(Simulador!$C$65:$F$65,F22),INDEX(Simulador!$C$64:$F$64,F22))</f>
        <v>70030.2554054054</v>
      </c>
      <c r="P22" s="23" t="n">
        <f aca="false">IF(H22&gt;=Simulador!$C$19,INDEX(Simulador!$C$67:$F$67,F22),INDEX(Simulador!$C$66:$F$66,F22))</f>
        <v>62202.5945945946</v>
      </c>
      <c r="Q22" s="23" t="n">
        <f aca="false">M22+(IF(I22="",J22,I22)-J22)*Simulador!$C$9</f>
        <v>64579.7140540541</v>
      </c>
      <c r="R22" s="23" t="n">
        <f aca="false">N22+(IF(I22="",J22,I22)-J22)*Simulador!$C$9</f>
        <v>116973.808108108</v>
      </c>
      <c r="S22" s="23" t="n">
        <f aca="false">O22+(IF(I22="",J22,I22)-J22)*Simulador!$C$9</f>
        <v>75854.2554054054</v>
      </c>
      <c r="T22" s="23" t="n">
        <f aca="false">P22+(IF(I22="",J22,I22)-J22)*Simulador!$C$9</f>
        <v>68026.5945945946</v>
      </c>
      <c r="U22" s="2"/>
    </row>
    <row r="23" customFormat="false" ht="15" hidden="false" customHeight="false" outlineLevel="0" collapsed="false">
      <c r="B23" s="37" t="n">
        <v>45355</v>
      </c>
      <c r="C23" s="9" t="s">
        <v>253</v>
      </c>
      <c r="D23" s="38" t="n">
        <v>2.7</v>
      </c>
      <c r="E23" s="9" t="s">
        <v>231</v>
      </c>
      <c r="F23" s="16" t="n">
        <f aca="false">MATCH(E23,{"Misma locación","0.15 - 5 km","5 - 10 km","10+ km"},0)</f>
        <v>2</v>
      </c>
      <c r="G23" s="16" t="n">
        <f aca="false">MONTH(B23)</f>
        <v>3</v>
      </c>
      <c r="H23" s="16" t="n">
        <f aca="false">COUNTIF($G$8:G23,G23)</f>
        <v>1</v>
      </c>
      <c r="I23" s="38" t="n">
        <v>16</v>
      </c>
      <c r="J23" s="39" t="n">
        <f aca="false">INDEX(Simulador!$C$39:$F$39,F23)</f>
        <v>18</v>
      </c>
      <c r="K23" s="40" t="n">
        <f aca="false">IF(I23="","",I23-J23)</f>
        <v>-2</v>
      </c>
      <c r="L23" s="41" t="n">
        <f aca="false">INDEX(Simulador!$C$51:$F$51,F23)</f>
        <v>99473.8108108108</v>
      </c>
      <c r="M23" s="23" t="n">
        <f aca="false">IF(H23&gt;=Simulador!$C$19,INDEX(Simulador!$C$63:$F$63,F23),INDEX(Simulador!$C$62:$F$62,F23))</f>
        <v>88600.7254054054</v>
      </c>
      <c r="N23" s="23" t="n">
        <f aca="false">INDEX(Simulador!$C$64:$F$64,F23)</f>
        <v>111149.808108108</v>
      </c>
      <c r="O23" s="23" t="n">
        <f aca="false">IF(H23&gt;=Simulador!$C$19,INDEX(Simulador!$C$65:$F$65,F23),INDEX(Simulador!$C$64:$F$64,F23))</f>
        <v>111149.808108108</v>
      </c>
      <c r="P23" s="23" t="n">
        <f aca="false">IF(H23&gt;=Simulador!$C$19,INDEX(Simulador!$C$67:$F$67,F23),INDEX(Simulador!$C$66:$F$66,F23))</f>
        <v>85046.6491891892</v>
      </c>
      <c r="Q23" s="23" t="n">
        <f aca="false">M23+(IF(I23="",J23,I23)-J23)*Simulador!$C$9</f>
        <v>85688.7254054054</v>
      </c>
      <c r="R23" s="23" t="n">
        <f aca="false">N23+(IF(I23="",J23,I23)-J23)*Simulador!$C$9</f>
        <v>108237.808108108</v>
      </c>
      <c r="S23" s="23" t="n">
        <f aca="false">O23+(IF(I23="",J23,I23)-J23)*Simulador!$C$9</f>
        <v>108237.808108108</v>
      </c>
      <c r="T23" s="23" t="n">
        <f aca="false">P23+(IF(I23="",J23,I23)-J23)*Simulador!$C$9</f>
        <v>82134.6491891892</v>
      </c>
      <c r="U23" s="2"/>
    </row>
    <row r="24" customFormat="false" ht="15" hidden="false" customHeight="false" outlineLevel="0" collapsed="false">
      <c r="B24" s="37" t="n">
        <v>45360</v>
      </c>
      <c r="C24" s="9" t="s">
        <v>254</v>
      </c>
      <c r="D24" s="38" t="n">
        <v>0.04</v>
      </c>
      <c r="E24" s="9" t="s">
        <v>245</v>
      </c>
      <c r="F24" s="16" t="n">
        <f aca="false">MATCH(E24,{"Misma locación","0.15 - 5 km","5 - 10 km","10+ km"},0)</f>
        <v>1</v>
      </c>
      <c r="G24" s="16" t="n">
        <f aca="false">MONTH(B24)</f>
        <v>3</v>
      </c>
      <c r="H24" s="16" t="n">
        <f aca="false">COUNTIF($G$8:G24,G24)</f>
        <v>2</v>
      </c>
      <c r="I24" s="38" t="n">
        <v>10.5</v>
      </c>
      <c r="J24" s="39" t="n">
        <f aca="false">INDEX(Simulador!$C$39:$F$39,F24)</f>
        <v>12</v>
      </c>
      <c r="K24" s="40" t="n">
        <f aca="false">IF(I24="","",I24-J24)</f>
        <v>-1.5</v>
      </c>
      <c r="L24" s="41" t="n">
        <f aca="false">INDEX(Simulador!$C$51:$F$51,F24)</f>
        <v>76047.4054054054</v>
      </c>
      <c r="M24" s="23" t="n">
        <f aca="false">IF(H24&gt;=Simulador!$C$19,INDEX(Simulador!$C$63:$F$63,F24),INDEX(Simulador!$C$62:$F$62,F24))</f>
        <v>58116.7137837838</v>
      </c>
      <c r="N24" s="23" t="n">
        <f aca="false">INDEX(Simulador!$C$64:$F$64,F24)</f>
        <v>68381.1581081081</v>
      </c>
      <c r="O24" s="23" t="n">
        <f aca="false">IF(H24&gt;=Simulador!$C$19,INDEX(Simulador!$C$65:$F$65,F24),INDEX(Simulador!$C$64:$F$64,F24))</f>
        <v>68381.1581081081</v>
      </c>
      <c r="P24" s="23" t="n">
        <f aca="false">IF(H24&gt;=Simulador!$C$19,INDEX(Simulador!$C$67:$F$67,F24),INDEX(Simulador!$C$66:$F$66,F24))</f>
        <v>58075.5140540541</v>
      </c>
      <c r="Q24" s="23" t="n">
        <f aca="false">M24+(IF(I24="",J24,I24)-J24)*Simulador!$C$9</f>
        <v>55932.7137837838</v>
      </c>
      <c r="R24" s="23" t="n">
        <f aca="false">N24+(IF(I24="",J24,I24)-J24)*Simulador!$C$9</f>
        <v>66197.1581081081</v>
      </c>
      <c r="S24" s="23" t="n">
        <f aca="false">O24+(IF(I24="",J24,I24)-J24)*Simulador!$C$9</f>
        <v>66197.1581081081</v>
      </c>
      <c r="T24" s="23" t="n">
        <f aca="false">P24+(IF(I24="",J24,I24)-J24)*Simulador!$C$9</f>
        <v>55891.5140540541</v>
      </c>
      <c r="U24" s="2"/>
    </row>
    <row r="25" customFormat="false" ht="15" hidden="false" customHeight="false" outlineLevel="0" collapsed="false">
      <c r="B25" s="37" t="n">
        <v>45364</v>
      </c>
      <c r="C25" s="9" t="s">
        <v>255</v>
      </c>
      <c r="D25" s="38" t="n">
        <v>0.04</v>
      </c>
      <c r="E25" s="9" t="s">
        <v>245</v>
      </c>
      <c r="F25" s="16" t="n">
        <f aca="false">MATCH(E25,{"Misma locación","0.15 - 5 km","5 - 10 km","10+ km"},0)</f>
        <v>1</v>
      </c>
      <c r="G25" s="16" t="n">
        <f aca="false">MONTH(B25)</f>
        <v>3</v>
      </c>
      <c r="H25" s="16" t="n">
        <f aca="false">COUNTIF($G$8:G25,G25)</f>
        <v>3</v>
      </c>
      <c r="I25" s="38" t="n">
        <v>10.5</v>
      </c>
      <c r="J25" s="39" t="n">
        <f aca="false">INDEX(Simulador!$C$39:$F$39,F25)</f>
        <v>12</v>
      </c>
      <c r="K25" s="40" t="n">
        <f aca="false">IF(I25="","",I25-J25)</f>
        <v>-1.5</v>
      </c>
      <c r="L25" s="41" t="n">
        <f aca="false">INDEX(Simulador!$C$51:$F$51,F25)</f>
        <v>76047.4054054054</v>
      </c>
      <c r="M25" s="23" t="n">
        <f aca="false">IF(H25&gt;=Simulador!$C$19,INDEX(Simulador!$C$63:$F$63,F25),INDEX(Simulador!$C$62:$F$62,F25))</f>
        <v>58116.7137837838</v>
      </c>
      <c r="N25" s="23" t="n">
        <f aca="false">INDEX(Simulador!$C$64:$F$64,F25)</f>
        <v>68381.1581081081</v>
      </c>
      <c r="O25" s="23" t="n">
        <f aca="false">IF(H25&gt;=Simulador!$C$19,INDEX(Simulador!$C$65:$F$65,F25),INDEX(Simulador!$C$64:$F$64,F25))</f>
        <v>68381.1581081081</v>
      </c>
      <c r="P25" s="23" t="n">
        <f aca="false">IF(H25&gt;=Simulador!$C$19,INDEX(Simulador!$C$67:$F$67,F25),INDEX(Simulador!$C$66:$F$66,F25))</f>
        <v>58075.5140540541</v>
      </c>
      <c r="Q25" s="23" t="n">
        <f aca="false">M25+(IF(I25="",J25,I25)-J25)*Simulador!$C$9</f>
        <v>55932.7137837838</v>
      </c>
      <c r="R25" s="23" t="n">
        <f aca="false">N25+(IF(I25="",J25,I25)-J25)*Simulador!$C$9</f>
        <v>66197.1581081081</v>
      </c>
      <c r="S25" s="23" t="n">
        <f aca="false">O25+(IF(I25="",J25,I25)-J25)*Simulador!$C$9</f>
        <v>66197.1581081081</v>
      </c>
      <c r="T25" s="23" t="n">
        <f aca="false">P25+(IF(I25="",J25,I25)-J25)*Simulador!$C$9</f>
        <v>55891.5140540541</v>
      </c>
      <c r="U25" s="2"/>
    </row>
    <row r="26" customFormat="false" ht="15" hidden="false" customHeight="false" outlineLevel="0" collapsed="false">
      <c r="B26" s="37" t="n">
        <v>45367</v>
      </c>
      <c r="C26" s="9" t="s">
        <v>256</v>
      </c>
      <c r="D26" s="38" t="n">
        <v>0.8</v>
      </c>
      <c r="E26" s="9" t="s">
        <v>231</v>
      </c>
      <c r="F26" s="16" t="n">
        <f aca="false">MATCH(E26,{"Misma locación","0.15 - 5 km","5 - 10 km","10+ km"},0)</f>
        <v>2</v>
      </c>
      <c r="G26" s="16" t="n">
        <f aca="false">MONTH(B26)</f>
        <v>3</v>
      </c>
      <c r="H26" s="16" t="n">
        <f aca="false">COUNTIF($G$8:G26,G26)</f>
        <v>4</v>
      </c>
      <c r="I26" s="38" t="n">
        <v>21</v>
      </c>
      <c r="J26" s="39" t="n">
        <f aca="false">INDEX(Simulador!$C$39:$F$39,F26)</f>
        <v>18</v>
      </c>
      <c r="K26" s="40" t="n">
        <f aca="false">IF(I26="","",I26-J26)</f>
        <v>3</v>
      </c>
      <c r="L26" s="41" t="n">
        <f aca="false">INDEX(Simulador!$C$51:$F$51,F26)</f>
        <v>99473.8108108108</v>
      </c>
      <c r="M26" s="23" t="n">
        <f aca="false">IF(H26&gt;=Simulador!$C$19,INDEX(Simulador!$C$63:$F$63,F26),INDEX(Simulador!$C$62:$F$62,F26))</f>
        <v>88600.7254054054</v>
      </c>
      <c r="N26" s="23" t="n">
        <f aca="false">INDEX(Simulador!$C$64:$F$64,F26)</f>
        <v>111149.808108108</v>
      </c>
      <c r="O26" s="23" t="n">
        <f aca="false">IF(H26&gt;=Simulador!$C$19,INDEX(Simulador!$C$65:$F$65,F26),INDEX(Simulador!$C$64:$F$64,F26))</f>
        <v>111149.808108108</v>
      </c>
      <c r="P26" s="23" t="n">
        <f aca="false">IF(H26&gt;=Simulador!$C$19,INDEX(Simulador!$C$67:$F$67,F26),INDEX(Simulador!$C$66:$F$66,F26))</f>
        <v>85046.6491891892</v>
      </c>
      <c r="Q26" s="23" t="n">
        <f aca="false">M26+(IF(I26="",J26,I26)-J26)*Simulador!$C$9</f>
        <v>92968.7254054054</v>
      </c>
      <c r="R26" s="23" t="n">
        <f aca="false">N26+(IF(I26="",J26,I26)-J26)*Simulador!$C$9</f>
        <v>115517.808108108</v>
      </c>
      <c r="S26" s="23" t="n">
        <f aca="false">O26+(IF(I26="",J26,I26)-J26)*Simulador!$C$9</f>
        <v>115517.808108108</v>
      </c>
      <c r="T26" s="23" t="n">
        <f aca="false">P26+(IF(I26="",J26,I26)-J26)*Simulador!$C$9</f>
        <v>89414.6491891892</v>
      </c>
      <c r="U26" s="2"/>
    </row>
    <row r="27" customFormat="false" ht="15" hidden="false" customHeight="false" outlineLevel="0" collapsed="false">
      <c r="B27" s="37" t="n">
        <v>45370</v>
      </c>
      <c r="C27" s="9" t="s">
        <v>257</v>
      </c>
      <c r="D27" s="38" t="n">
        <v>0.04</v>
      </c>
      <c r="E27" s="9" t="s">
        <v>245</v>
      </c>
      <c r="F27" s="16" t="n">
        <f aca="false">MATCH(E27,{"Misma locación","0.15 - 5 km","5 - 10 km","10+ km"},0)</f>
        <v>1</v>
      </c>
      <c r="G27" s="16" t="n">
        <f aca="false">MONTH(B27)</f>
        <v>3</v>
      </c>
      <c r="H27" s="16" t="n">
        <f aca="false">COUNTIF($G$8:G27,G27)</f>
        <v>5</v>
      </c>
      <c r="I27" s="38" t="n">
        <v>52.75</v>
      </c>
      <c r="J27" s="39" t="n">
        <f aca="false">INDEX(Simulador!$C$39:$F$39,F27)</f>
        <v>12</v>
      </c>
      <c r="K27" s="40" t="n">
        <f aca="false">IF(I27="","",I27-J27)</f>
        <v>40.75</v>
      </c>
      <c r="L27" s="41" t="n">
        <f aca="false">INDEX(Simulador!$C$51:$F$51,F27)</f>
        <v>76047.4054054054</v>
      </c>
      <c r="M27" s="23" t="n">
        <f aca="false">IF(H27&gt;=Simulador!$C$19,INDEX(Simulador!$C$63:$F$63,F27),INDEX(Simulador!$C$62:$F$62,F27))</f>
        <v>58116.7137837838</v>
      </c>
      <c r="N27" s="23" t="n">
        <f aca="false">INDEX(Simulador!$C$64:$F$64,F27)</f>
        <v>68381.1581081081</v>
      </c>
      <c r="O27" s="23" t="n">
        <f aca="false">IF(H27&gt;=Simulador!$C$19,INDEX(Simulador!$C$65:$F$65,F27),INDEX(Simulador!$C$64:$F$64,F27))</f>
        <v>68381.1581081081</v>
      </c>
      <c r="P27" s="23" t="n">
        <f aca="false">IF(H27&gt;=Simulador!$C$19,INDEX(Simulador!$C$67:$F$67,F27),INDEX(Simulador!$C$66:$F$66,F27))</f>
        <v>58075.5140540541</v>
      </c>
      <c r="Q27" s="23" t="n">
        <f aca="false">M27+(IF(I27="",J27,I27)-J27)*Simulador!$C$9</f>
        <v>117448.713783784</v>
      </c>
      <c r="R27" s="23" t="n">
        <f aca="false">N27+(IF(I27="",J27,I27)-J27)*Simulador!$C$9</f>
        <v>127713.158108108</v>
      </c>
      <c r="S27" s="23" t="n">
        <f aca="false">O27+(IF(I27="",J27,I27)-J27)*Simulador!$C$9</f>
        <v>127713.158108108</v>
      </c>
      <c r="T27" s="23" t="n">
        <f aca="false">P27+(IF(I27="",J27,I27)-J27)*Simulador!$C$9</f>
        <v>117407.514054054</v>
      </c>
      <c r="U27" s="2"/>
    </row>
    <row r="28" customFormat="false" ht="15" hidden="false" customHeight="false" outlineLevel="0" collapsed="false">
      <c r="B28" s="37" t="n">
        <v>45375</v>
      </c>
      <c r="C28" s="9" t="s">
        <v>258</v>
      </c>
      <c r="D28" s="38" t="n">
        <v>6.5</v>
      </c>
      <c r="E28" s="9" t="s">
        <v>243</v>
      </c>
      <c r="F28" s="16" t="n">
        <f aca="false">MATCH(E28,{"Misma locación","0.15 - 5 km","5 - 10 km","10+ km"},0)</f>
        <v>3</v>
      </c>
      <c r="G28" s="16" t="n">
        <f aca="false">MONTH(B28)</f>
        <v>3</v>
      </c>
      <c r="H28" s="16" t="n">
        <f aca="false">COUNTIF($G$8:G28,G28)</f>
        <v>6</v>
      </c>
      <c r="I28" s="38" t="n">
        <v>21.75</v>
      </c>
      <c r="J28" s="39" t="n">
        <f aca="false">INDEX(Simulador!$C$39:$F$39,F28)</f>
        <v>24</v>
      </c>
      <c r="K28" s="40" t="n">
        <f aca="false">IF(I28="","",I28-J28)</f>
        <v>-2.25</v>
      </c>
      <c r="L28" s="41" t="n">
        <f aca="false">INDEX(Simulador!$C$51:$F$51,F28)</f>
        <v>96184.8108108108</v>
      </c>
      <c r="M28" s="23" t="n">
        <f aca="false">IF(H28&gt;=Simulador!$C$19,INDEX(Simulador!$C$63:$F$63,F28),INDEX(Simulador!$C$62:$F$62,F28))</f>
        <v>69871.4321621622</v>
      </c>
      <c r="N28" s="23" t="n">
        <f aca="false">INDEX(Simulador!$C$64:$F$64,F28)</f>
        <v>138633.155135135</v>
      </c>
      <c r="O28" s="23" t="n">
        <f aca="false">IF(H28&gt;=Simulador!$C$19,INDEX(Simulador!$C$65:$F$65,F28),INDEX(Simulador!$C$64:$F$64,F28))</f>
        <v>88139.9289189189</v>
      </c>
      <c r="P28" s="23" t="n">
        <f aca="false">IF(H28&gt;=Simulador!$C$19,INDEX(Simulador!$C$67:$F$67,F28),INDEX(Simulador!$C$66:$F$66,F28))</f>
        <v>75215.6216216216</v>
      </c>
      <c r="Q28" s="23" t="n">
        <f aca="false">M28+(IF(I28="",J28,I28)-J28)*Simulador!$C$9</f>
        <v>66595.4321621622</v>
      </c>
      <c r="R28" s="23" t="n">
        <f aca="false">N28+(IF(I28="",J28,I28)-J28)*Simulador!$C$9</f>
        <v>135357.155135135</v>
      </c>
      <c r="S28" s="23" t="n">
        <f aca="false">O28+(IF(I28="",J28,I28)-J28)*Simulador!$C$9</f>
        <v>84863.9289189189</v>
      </c>
      <c r="T28" s="23" t="n">
        <f aca="false">P28+(IF(I28="",J28,I28)-J28)*Simulador!$C$9</f>
        <v>71939.6216216216</v>
      </c>
      <c r="U28" s="2"/>
    </row>
    <row r="29" customFormat="false" ht="15" hidden="false" customHeight="false" outlineLevel="0" collapsed="false">
      <c r="B29" s="37" t="n">
        <v>45379</v>
      </c>
      <c r="C29" s="9" t="s">
        <v>259</v>
      </c>
      <c r="D29" s="38" t="n">
        <v>0.9</v>
      </c>
      <c r="E29" s="9" t="s">
        <v>231</v>
      </c>
      <c r="F29" s="16" t="n">
        <f aca="false">MATCH(E29,{"Misma locación","0.15 - 5 km","5 - 10 km","10+ km"},0)</f>
        <v>2</v>
      </c>
      <c r="G29" s="16" t="n">
        <f aca="false">MONTH(B29)</f>
        <v>3</v>
      </c>
      <c r="H29" s="16" t="n">
        <f aca="false">COUNTIF($G$8:G29,G29)</f>
        <v>7</v>
      </c>
      <c r="I29" s="38" t="n">
        <v>15.75</v>
      </c>
      <c r="J29" s="39" t="n">
        <f aca="false">INDEX(Simulador!$C$39:$F$39,F29)</f>
        <v>18</v>
      </c>
      <c r="K29" s="40" t="n">
        <f aca="false">IF(I29="","",I29-J29)</f>
        <v>-2.25</v>
      </c>
      <c r="L29" s="41" t="n">
        <f aca="false">INDEX(Simulador!$C$51:$F$51,F29)</f>
        <v>99473.8108108108</v>
      </c>
      <c r="M29" s="23" t="n">
        <f aca="false">IF(H29&gt;=Simulador!$C$19,INDEX(Simulador!$C$63:$F$63,F29),INDEX(Simulador!$C$62:$F$62,F29))</f>
        <v>58755.7140540541</v>
      </c>
      <c r="N29" s="23" t="n">
        <f aca="false">INDEX(Simulador!$C$64:$F$64,F29)</f>
        <v>111149.808108108</v>
      </c>
      <c r="O29" s="23" t="n">
        <f aca="false">IF(H29&gt;=Simulador!$C$19,INDEX(Simulador!$C$65:$F$65,F29),INDEX(Simulador!$C$64:$F$64,F29))</f>
        <v>70030.2554054054</v>
      </c>
      <c r="P29" s="23" t="n">
        <f aca="false">IF(H29&gt;=Simulador!$C$19,INDEX(Simulador!$C$67:$F$67,F29),INDEX(Simulador!$C$66:$F$66,F29))</f>
        <v>62202.5945945946</v>
      </c>
      <c r="Q29" s="23" t="n">
        <f aca="false">M29+(IF(I29="",J29,I29)-J29)*Simulador!$C$9</f>
        <v>55479.7140540541</v>
      </c>
      <c r="R29" s="23" t="n">
        <f aca="false">N29+(IF(I29="",J29,I29)-J29)*Simulador!$C$9</f>
        <v>107873.808108108</v>
      </c>
      <c r="S29" s="23" t="n">
        <f aca="false">O29+(IF(I29="",J29,I29)-J29)*Simulador!$C$9</f>
        <v>66754.2554054054</v>
      </c>
      <c r="T29" s="23" t="n">
        <f aca="false">P29+(IF(I29="",J29,I29)-J29)*Simulador!$C$9</f>
        <v>58926.5945945946</v>
      </c>
      <c r="U29" s="2"/>
    </row>
    <row r="30" customFormat="false" ht="15" hidden="false" customHeight="false" outlineLevel="0" collapsed="false">
      <c r="B30" s="37" t="n">
        <v>45383</v>
      </c>
      <c r="C30" s="9" t="s">
        <v>260</v>
      </c>
      <c r="D30" s="38" t="n">
        <v>4.8</v>
      </c>
      <c r="E30" s="9" t="s">
        <v>231</v>
      </c>
      <c r="F30" s="16" t="n">
        <f aca="false">MATCH(E30,{"Misma locación","0.15 - 5 km","5 - 10 km","10+ km"},0)</f>
        <v>2</v>
      </c>
      <c r="G30" s="16" t="n">
        <f aca="false">MONTH(B30)</f>
        <v>4</v>
      </c>
      <c r="H30" s="16" t="n">
        <f aca="false">COUNTIF($G$8:G30,G30)</f>
        <v>1</v>
      </c>
      <c r="I30" s="38" t="n">
        <v>14</v>
      </c>
      <c r="J30" s="39" t="n">
        <f aca="false">INDEX(Simulador!$C$39:$F$39,F30)</f>
        <v>18</v>
      </c>
      <c r="K30" s="40" t="n">
        <f aca="false">IF(I30="","",I30-J30)</f>
        <v>-4</v>
      </c>
      <c r="L30" s="41" t="n">
        <f aca="false">INDEX(Simulador!$C$51:$F$51,F30)</f>
        <v>99473.8108108108</v>
      </c>
      <c r="M30" s="23" t="n">
        <f aca="false">IF(H30&gt;=Simulador!$C$19,INDEX(Simulador!$C$63:$F$63,F30),INDEX(Simulador!$C$62:$F$62,F30))</f>
        <v>88600.7254054054</v>
      </c>
      <c r="N30" s="23" t="n">
        <f aca="false">INDEX(Simulador!$C$64:$F$64,F30)</f>
        <v>111149.808108108</v>
      </c>
      <c r="O30" s="23" t="n">
        <f aca="false">IF(H30&gt;=Simulador!$C$19,INDEX(Simulador!$C$65:$F$65,F30),INDEX(Simulador!$C$64:$F$64,F30))</f>
        <v>111149.808108108</v>
      </c>
      <c r="P30" s="23" t="n">
        <f aca="false">IF(H30&gt;=Simulador!$C$19,INDEX(Simulador!$C$67:$F$67,F30),INDEX(Simulador!$C$66:$F$66,F30))</f>
        <v>85046.6491891892</v>
      </c>
      <c r="Q30" s="23" t="n">
        <f aca="false">M30+(IF(I30="",J30,I30)-J30)*Simulador!$C$9</f>
        <v>82776.7254054054</v>
      </c>
      <c r="R30" s="23" t="n">
        <f aca="false">N30+(IF(I30="",J30,I30)-J30)*Simulador!$C$9</f>
        <v>105325.808108108</v>
      </c>
      <c r="S30" s="23" t="n">
        <f aca="false">O30+(IF(I30="",J30,I30)-J30)*Simulador!$C$9</f>
        <v>105325.808108108</v>
      </c>
      <c r="T30" s="23" t="n">
        <f aca="false">P30+(IF(I30="",J30,I30)-J30)*Simulador!$C$9</f>
        <v>79222.6491891892</v>
      </c>
      <c r="U30" s="2"/>
    </row>
    <row r="31" customFormat="false" ht="15" hidden="false" customHeight="false" outlineLevel="0" collapsed="false">
      <c r="B31" s="37" t="n">
        <v>45386</v>
      </c>
      <c r="C31" s="9" t="s">
        <v>261</v>
      </c>
      <c r="D31" s="38" t="n">
        <v>5.1</v>
      </c>
      <c r="E31" s="9" t="s">
        <v>243</v>
      </c>
      <c r="F31" s="16" t="n">
        <f aca="false">MATCH(E31,{"Misma locación","0.15 - 5 km","5 - 10 km","10+ km"},0)</f>
        <v>3</v>
      </c>
      <c r="G31" s="16" t="n">
        <f aca="false">MONTH(B31)</f>
        <v>4</v>
      </c>
      <c r="H31" s="16" t="n">
        <f aca="false">COUNTIF($G$8:G31,G31)</f>
        <v>2</v>
      </c>
      <c r="I31" s="38" t="n">
        <v>13.75</v>
      </c>
      <c r="J31" s="39" t="n">
        <f aca="false">INDEX(Simulador!$C$39:$F$39,F31)</f>
        <v>24</v>
      </c>
      <c r="K31" s="40" t="n">
        <f aca="false">IF(I31="","",I31-J31)</f>
        <v>-10.25</v>
      </c>
      <c r="L31" s="41" t="n">
        <f aca="false">INDEX(Simulador!$C$51:$F$51,F31)</f>
        <v>96184.8108108108</v>
      </c>
      <c r="M31" s="23" t="n">
        <f aca="false">IF(H31&gt;=Simulador!$C$19,INDEX(Simulador!$C$63:$F$63,F31),INDEX(Simulador!$C$62:$F$62,F31))</f>
        <v>102096.161621622</v>
      </c>
      <c r="N31" s="23" t="n">
        <f aca="false">INDEX(Simulador!$C$64:$F$64,F31)</f>
        <v>138633.155135135</v>
      </c>
      <c r="O31" s="23" t="n">
        <f aca="false">IF(H31&gt;=Simulador!$C$19,INDEX(Simulador!$C$65:$F$65,F31),INDEX(Simulador!$C$64:$F$64,F31))</f>
        <v>138633.155135135</v>
      </c>
      <c r="P31" s="23" t="n">
        <f aca="false">IF(H31&gt;=Simulador!$C$19,INDEX(Simulador!$C$67:$F$67,F31),INDEX(Simulador!$C$66:$F$66,F31))</f>
        <v>104944.811351351</v>
      </c>
      <c r="Q31" s="23" t="n">
        <f aca="false">M31+(IF(I31="",J31,I31)-J31)*Simulador!$C$9</f>
        <v>87172.1616216216</v>
      </c>
      <c r="R31" s="23" t="n">
        <f aca="false">N31+(IF(I31="",J31,I31)-J31)*Simulador!$C$9</f>
        <v>123709.155135135</v>
      </c>
      <c r="S31" s="23" t="n">
        <f aca="false">O31+(IF(I31="",J31,I31)-J31)*Simulador!$C$9</f>
        <v>123709.155135135</v>
      </c>
      <c r="T31" s="23" t="n">
        <f aca="false">P31+(IF(I31="",J31,I31)-J31)*Simulador!$C$9</f>
        <v>90020.8113513514</v>
      </c>
      <c r="U31" s="2"/>
    </row>
    <row r="32" customFormat="false" ht="15" hidden="false" customHeight="false" outlineLevel="0" collapsed="false">
      <c r="B32" s="37" t="n">
        <v>45390</v>
      </c>
      <c r="C32" s="9" t="s">
        <v>262</v>
      </c>
      <c r="D32" s="38" t="n">
        <v>5.2</v>
      </c>
      <c r="E32" s="9" t="s">
        <v>243</v>
      </c>
      <c r="F32" s="16" t="n">
        <f aca="false">MATCH(E32,{"Misma locación","0.15 - 5 km","5 - 10 km","10+ km"},0)</f>
        <v>3</v>
      </c>
      <c r="G32" s="16" t="n">
        <f aca="false">MONTH(B32)</f>
        <v>4</v>
      </c>
      <c r="H32" s="16" t="n">
        <f aca="false">COUNTIF($G$8:G32,G32)</f>
        <v>3</v>
      </c>
      <c r="I32" s="38" t="n">
        <v>20.25</v>
      </c>
      <c r="J32" s="39" t="n">
        <f aca="false">INDEX(Simulador!$C$39:$F$39,F32)</f>
        <v>24</v>
      </c>
      <c r="K32" s="40" t="n">
        <f aca="false">IF(I32="","",I32-J32)</f>
        <v>-3.75</v>
      </c>
      <c r="L32" s="41" t="n">
        <f aca="false">INDEX(Simulador!$C$51:$F$51,F32)</f>
        <v>96184.8108108108</v>
      </c>
      <c r="M32" s="23" t="n">
        <f aca="false">IF(H32&gt;=Simulador!$C$19,INDEX(Simulador!$C$63:$F$63,F32),INDEX(Simulador!$C$62:$F$62,F32))</f>
        <v>102096.161621622</v>
      </c>
      <c r="N32" s="23" t="n">
        <f aca="false">INDEX(Simulador!$C$64:$F$64,F32)</f>
        <v>138633.155135135</v>
      </c>
      <c r="O32" s="23" t="n">
        <f aca="false">IF(H32&gt;=Simulador!$C$19,INDEX(Simulador!$C$65:$F$65,F32),INDEX(Simulador!$C$64:$F$64,F32))</f>
        <v>138633.155135135</v>
      </c>
      <c r="P32" s="23" t="n">
        <f aca="false">IF(H32&gt;=Simulador!$C$19,INDEX(Simulador!$C$67:$F$67,F32),INDEX(Simulador!$C$66:$F$66,F32))</f>
        <v>104944.811351351</v>
      </c>
      <c r="Q32" s="23" t="n">
        <f aca="false">M32+(IF(I32="",J32,I32)-J32)*Simulador!$C$9</f>
        <v>96636.1616216216</v>
      </c>
      <c r="R32" s="23" t="n">
        <f aca="false">N32+(IF(I32="",J32,I32)-J32)*Simulador!$C$9</f>
        <v>133173.155135135</v>
      </c>
      <c r="S32" s="23" t="n">
        <f aca="false">O32+(IF(I32="",J32,I32)-J32)*Simulador!$C$9</f>
        <v>133173.155135135</v>
      </c>
      <c r="T32" s="23" t="n">
        <f aca="false">P32+(IF(I32="",J32,I32)-J32)*Simulador!$C$9</f>
        <v>99484.8113513514</v>
      </c>
      <c r="U32" s="2"/>
    </row>
    <row r="33" customFormat="false" ht="15" hidden="false" customHeight="false" outlineLevel="0" collapsed="false">
      <c r="B33" s="37" t="n">
        <v>45393</v>
      </c>
      <c r="C33" s="9" t="s">
        <v>263</v>
      </c>
      <c r="D33" s="38" t="n">
        <v>0.6</v>
      </c>
      <c r="E33" s="9" t="s">
        <v>231</v>
      </c>
      <c r="F33" s="16" t="n">
        <f aca="false">MATCH(E33,{"Misma locación","0.15 - 5 km","5 - 10 km","10+ km"},0)</f>
        <v>2</v>
      </c>
      <c r="G33" s="16" t="n">
        <f aca="false">MONTH(B33)</f>
        <v>4</v>
      </c>
      <c r="H33" s="16" t="n">
        <f aca="false">COUNTIF($G$8:G33,G33)</f>
        <v>4</v>
      </c>
      <c r="I33" s="38" t="n">
        <v>17.25</v>
      </c>
      <c r="J33" s="39" t="n">
        <f aca="false">INDEX(Simulador!$C$39:$F$39,F33)</f>
        <v>18</v>
      </c>
      <c r="K33" s="40" t="n">
        <f aca="false">IF(I33="","",I33-J33)</f>
        <v>-0.75</v>
      </c>
      <c r="L33" s="41" t="n">
        <f aca="false">INDEX(Simulador!$C$51:$F$51,F33)</f>
        <v>99473.8108108108</v>
      </c>
      <c r="M33" s="23" t="n">
        <f aca="false">IF(H33&gt;=Simulador!$C$19,INDEX(Simulador!$C$63:$F$63,F33),INDEX(Simulador!$C$62:$F$62,F33))</f>
        <v>88600.7254054054</v>
      </c>
      <c r="N33" s="23" t="n">
        <f aca="false">INDEX(Simulador!$C$64:$F$64,F33)</f>
        <v>111149.808108108</v>
      </c>
      <c r="O33" s="23" t="n">
        <f aca="false">IF(H33&gt;=Simulador!$C$19,INDEX(Simulador!$C$65:$F$65,F33),INDEX(Simulador!$C$64:$F$64,F33))</f>
        <v>111149.808108108</v>
      </c>
      <c r="P33" s="23" t="n">
        <f aca="false">IF(H33&gt;=Simulador!$C$19,INDEX(Simulador!$C$67:$F$67,F33),INDEX(Simulador!$C$66:$F$66,F33))</f>
        <v>85046.6491891892</v>
      </c>
      <c r="Q33" s="23" t="n">
        <f aca="false">M33+(IF(I33="",J33,I33)-J33)*Simulador!$C$9</f>
        <v>87508.7254054054</v>
      </c>
      <c r="R33" s="23" t="n">
        <f aca="false">N33+(IF(I33="",J33,I33)-J33)*Simulador!$C$9</f>
        <v>110057.808108108</v>
      </c>
      <c r="S33" s="23" t="n">
        <f aca="false">O33+(IF(I33="",J33,I33)-J33)*Simulador!$C$9</f>
        <v>110057.808108108</v>
      </c>
      <c r="T33" s="23" t="n">
        <f aca="false">P33+(IF(I33="",J33,I33)-J33)*Simulador!$C$9</f>
        <v>83954.6491891892</v>
      </c>
      <c r="U33" s="2"/>
    </row>
    <row r="34" customFormat="false" ht="15" hidden="false" customHeight="false" outlineLevel="0" collapsed="false">
      <c r="B34" s="37" t="n">
        <v>45401</v>
      </c>
      <c r="C34" s="9" t="s">
        <v>264</v>
      </c>
      <c r="D34" s="38" t="n">
        <v>0.0448055985662208</v>
      </c>
      <c r="E34" s="9" t="s">
        <v>245</v>
      </c>
      <c r="F34" s="16" t="n">
        <f aca="false">MATCH(E34,{"Misma locación","0.15 - 5 km","5 - 10 km","10+ km"},0)</f>
        <v>1</v>
      </c>
      <c r="G34" s="16" t="n">
        <f aca="false">MONTH(B34)</f>
        <v>4</v>
      </c>
      <c r="H34" s="16" t="n">
        <f aca="false">COUNTIF($G$8:G34,G34)</f>
        <v>5</v>
      </c>
      <c r="I34" s="38" t="n">
        <v>14</v>
      </c>
      <c r="J34" s="39" t="n">
        <f aca="false">INDEX(Simulador!$C$39:$F$39,F34)</f>
        <v>12</v>
      </c>
      <c r="K34" s="40" t="n">
        <f aca="false">IF(I34="","",I34-J34)</f>
        <v>2</v>
      </c>
      <c r="L34" s="41" t="n">
        <f aca="false">INDEX(Simulador!$C$51:$F$51,F34)</f>
        <v>76047.4054054054</v>
      </c>
      <c r="M34" s="23" t="n">
        <f aca="false">IF(H34&gt;=Simulador!$C$19,INDEX(Simulador!$C$63:$F$63,F34),INDEX(Simulador!$C$62:$F$62,F34))</f>
        <v>58116.7137837838</v>
      </c>
      <c r="N34" s="23" t="n">
        <f aca="false">INDEX(Simulador!$C$64:$F$64,F34)</f>
        <v>68381.1581081081</v>
      </c>
      <c r="O34" s="23" t="n">
        <f aca="false">IF(H34&gt;=Simulador!$C$19,INDEX(Simulador!$C$65:$F$65,F34),INDEX(Simulador!$C$64:$F$64,F34))</f>
        <v>68381.1581081081</v>
      </c>
      <c r="P34" s="23" t="n">
        <f aca="false">IF(H34&gt;=Simulador!$C$19,INDEX(Simulador!$C$67:$F$67,F34),INDEX(Simulador!$C$66:$F$66,F34))</f>
        <v>58075.5140540541</v>
      </c>
      <c r="Q34" s="23" t="n">
        <f aca="false">M34+(IF(I34="",J34,I34)-J34)*Simulador!$C$9</f>
        <v>61028.7137837838</v>
      </c>
      <c r="R34" s="23" t="n">
        <f aca="false">N34+(IF(I34="",J34,I34)-J34)*Simulador!$C$9</f>
        <v>71293.1581081081</v>
      </c>
      <c r="S34" s="23" t="n">
        <f aca="false">O34+(IF(I34="",J34,I34)-J34)*Simulador!$C$9</f>
        <v>71293.1581081081</v>
      </c>
      <c r="T34" s="23" t="n">
        <f aca="false">P34+(IF(I34="",J34,I34)-J34)*Simulador!$C$9</f>
        <v>60987.5140540541</v>
      </c>
      <c r="U34" s="2"/>
    </row>
    <row r="35" customFormat="false" ht="15" hidden="false" customHeight="false" outlineLevel="0" collapsed="false">
      <c r="B35" s="37" t="n">
        <v>45405</v>
      </c>
      <c r="C35" s="9" t="s">
        <v>265</v>
      </c>
      <c r="D35" s="38" t="n">
        <v>4.4</v>
      </c>
      <c r="E35" s="9" t="s">
        <v>231</v>
      </c>
      <c r="F35" s="16" t="n">
        <f aca="false">MATCH(E35,{"Misma locación","0.15 - 5 km","5 - 10 km","10+ km"},0)</f>
        <v>2</v>
      </c>
      <c r="G35" s="16" t="n">
        <f aca="false">MONTH(B35)</f>
        <v>4</v>
      </c>
      <c r="H35" s="16" t="n">
        <f aca="false">COUNTIF($G$8:G35,G35)</f>
        <v>6</v>
      </c>
      <c r="I35" s="38" t="n">
        <v>18.5</v>
      </c>
      <c r="J35" s="39" t="n">
        <f aca="false">INDEX(Simulador!$C$39:$F$39,F35)</f>
        <v>18</v>
      </c>
      <c r="K35" s="40" t="n">
        <f aca="false">IF(I35="","",I35-J35)</f>
        <v>0.5</v>
      </c>
      <c r="L35" s="41" t="n">
        <f aca="false">INDEX(Simulador!$C$51:$F$51,F35)</f>
        <v>99473.8108108108</v>
      </c>
      <c r="M35" s="23" t="n">
        <f aca="false">IF(H35&gt;=Simulador!$C$19,INDEX(Simulador!$C$63:$F$63,F35),INDEX(Simulador!$C$62:$F$62,F35))</f>
        <v>58755.7140540541</v>
      </c>
      <c r="N35" s="23" t="n">
        <f aca="false">INDEX(Simulador!$C$64:$F$64,F35)</f>
        <v>111149.808108108</v>
      </c>
      <c r="O35" s="23" t="n">
        <f aca="false">IF(H35&gt;=Simulador!$C$19,INDEX(Simulador!$C$65:$F$65,F35),INDEX(Simulador!$C$64:$F$64,F35))</f>
        <v>70030.2554054054</v>
      </c>
      <c r="P35" s="23" t="n">
        <f aca="false">IF(H35&gt;=Simulador!$C$19,INDEX(Simulador!$C$67:$F$67,F35),INDEX(Simulador!$C$66:$F$66,F35))</f>
        <v>62202.5945945946</v>
      </c>
      <c r="Q35" s="23" t="n">
        <f aca="false">M35+(IF(I35="",J35,I35)-J35)*Simulador!$C$9</f>
        <v>59483.7140540541</v>
      </c>
      <c r="R35" s="23" t="n">
        <f aca="false">N35+(IF(I35="",J35,I35)-J35)*Simulador!$C$9</f>
        <v>111877.808108108</v>
      </c>
      <c r="S35" s="23" t="n">
        <f aca="false">O35+(IF(I35="",J35,I35)-J35)*Simulador!$C$9</f>
        <v>70758.2554054054</v>
      </c>
      <c r="T35" s="23" t="n">
        <f aca="false">P35+(IF(I35="",J35,I35)-J35)*Simulador!$C$9</f>
        <v>62930.5945945946</v>
      </c>
      <c r="U35" s="2"/>
    </row>
    <row r="36" customFormat="false" ht="15" hidden="false" customHeight="false" outlineLevel="0" collapsed="false">
      <c r="B36" s="37" t="n">
        <v>45412</v>
      </c>
      <c r="C36" s="9" t="s">
        <v>266</v>
      </c>
      <c r="D36" s="38" t="n">
        <v>5.1</v>
      </c>
      <c r="E36" s="9" t="s">
        <v>243</v>
      </c>
      <c r="F36" s="16" t="n">
        <f aca="false">MATCH(E36,{"Misma locación","0.15 - 5 km","5 - 10 km","10+ km"},0)</f>
        <v>3</v>
      </c>
      <c r="G36" s="16" t="n">
        <f aca="false">MONTH(B36)</f>
        <v>4</v>
      </c>
      <c r="H36" s="16" t="n">
        <f aca="false">COUNTIF($G$8:G36,G36)</f>
        <v>7</v>
      </c>
      <c r="I36" s="38" t="n">
        <v>17</v>
      </c>
      <c r="J36" s="39" t="n">
        <f aca="false">INDEX(Simulador!$C$39:$F$39,F36)</f>
        <v>24</v>
      </c>
      <c r="K36" s="40" t="n">
        <f aca="false">IF(I36="","",I36-J36)</f>
        <v>-7</v>
      </c>
      <c r="L36" s="41" t="n">
        <f aca="false">INDEX(Simulador!$C$51:$F$51,F36)</f>
        <v>96184.8108108108</v>
      </c>
      <c r="M36" s="23" t="n">
        <f aca="false">IF(H36&gt;=Simulador!$C$19,INDEX(Simulador!$C$63:$F$63,F36),INDEX(Simulador!$C$62:$F$62,F36))</f>
        <v>69871.4321621622</v>
      </c>
      <c r="N36" s="23" t="n">
        <f aca="false">INDEX(Simulador!$C$64:$F$64,F36)</f>
        <v>138633.155135135</v>
      </c>
      <c r="O36" s="23" t="n">
        <f aca="false">IF(H36&gt;=Simulador!$C$19,INDEX(Simulador!$C$65:$F$65,F36),INDEX(Simulador!$C$64:$F$64,F36))</f>
        <v>88139.9289189189</v>
      </c>
      <c r="P36" s="23" t="n">
        <f aca="false">IF(H36&gt;=Simulador!$C$19,INDEX(Simulador!$C$67:$F$67,F36),INDEX(Simulador!$C$66:$F$66,F36))</f>
        <v>75215.6216216216</v>
      </c>
      <c r="Q36" s="23" t="n">
        <f aca="false">M36+(IF(I36="",J36,I36)-J36)*Simulador!$C$9</f>
        <v>59679.4321621622</v>
      </c>
      <c r="R36" s="23" t="n">
        <f aca="false">N36+(IF(I36="",J36,I36)-J36)*Simulador!$C$9</f>
        <v>128441.155135135</v>
      </c>
      <c r="S36" s="23" t="n">
        <f aca="false">O36+(IF(I36="",J36,I36)-J36)*Simulador!$C$9</f>
        <v>77947.9289189189</v>
      </c>
      <c r="T36" s="23" t="n">
        <f aca="false">P36+(IF(I36="",J36,I36)-J36)*Simulador!$C$9</f>
        <v>65023.6216216216</v>
      </c>
      <c r="U36" s="2"/>
    </row>
    <row r="37" customFormat="false" ht="15" hidden="false" customHeight="false" outlineLevel="0" collapsed="false">
      <c r="B37" s="37" t="n">
        <v>45416</v>
      </c>
      <c r="C37" s="9" t="s">
        <v>267</v>
      </c>
      <c r="D37" s="38" t="n">
        <v>0.7</v>
      </c>
      <c r="E37" s="9" t="s">
        <v>231</v>
      </c>
      <c r="F37" s="16" t="n">
        <f aca="false">MATCH(E37,{"Misma locación","0.15 - 5 km","5 - 10 km","10+ km"},0)</f>
        <v>2</v>
      </c>
      <c r="G37" s="16" t="n">
        <f aca="false">MONTH(B37)</f>
        <v>5</v>
      </c>
      <c r="H37" s="16" t="n">
        <f aca="false">COUNTIF($G$8:G37,G37)</f>
        <v>1</v>
      </c>
      <c r="I37" s="38" t="n">
        <v>11.5</v>
      </c>
      <c r="J37" s="39" t="n">
        <f aca="false">INDEX(Simulador!$C$39:$F$39,F37)</f>
        <v>18</v>
      </c>
      <c r="K37" s="40" t="n">
        <f aca="false">IF(I37="","",I37-J37)</f>
        <v>-6.5</v>
      </c>
      <c r="L37" s="41" t="n">
        <f aca="false">INDEX(Simulador!$C$51:$F$51,F37)</f>
        <v>99473.8108108108</v>
      </c>
      <c r="M37" s="23" t="n">
        <f aca="false">IF(H37&gt;=Simulador!$C$19,INDEX(Simulador!$C$63:$F$63,F37),INDEX(Simulador!$C$62:$F$62,F37))</f>
        <v>88600.7254054054</v>
      </c>
      <c r="N37" s="23" t="n">
        <f aca="false">INDEX(Simulador!$C$64:$F$64,F37)</f>
        <v>111149.808108108</v>
      </c>
      <c r="O37" s="23" t="n">
        <f aca="false">IF(H37&gt;=Simulador!$C$19,INDEX(Simulador!$C$65:$F$65,F37),INDEX(Simulador!$C$64:$F$64,F37))</f>
        <v>111149.808108108</v>
      </c>
      <c r="P37" s="23" t="n">
        <f aca="false">IF(H37&gt;=Simulador!$C$19,INDEX(Simulador!$C$67:$F$67,F37),INDEX(Simulador!$C$66:$F$66,F37))</f>
        <v>85046.6491891892</v>
      </c>
      <c r="Q37" s="23" t="n">
        <f aca="false">M37+(IF(I37="",J37,I37)-J37)*Simulador!$C$9</f>
        <v>79136.7254054054</v>
      </c>
      <c r="R37" s="23" t="n">
        <f aca="false">N37+(IF(I37="",J37,I37)-J37)*Simulador!$C$9</f>
        <v>101685.808108108</v>
      </c>
      <c r="S37" s="23" t="n">
        <f aca="false">O37+(IF(I37="",J37,I37)-J37)*Simulador!$C$9</f>
        <v>101685.808108108</v>
      </c>
      <c r="T37" s="23" t="n">
        <f aca="false">P37+(IF(I37="",J37,I37)-J37)*Simulador!$C$9</f>
        <v>75582.6491891892</v>
      </c>
      <c r="U37" s="2"/>
    </row>
    <row r="38" customFormat="false" ht="15" hidden="false" customHeight="false" outlineLevel="0" collapsed="false">
      <c r="B38" s="37" t="n">
        <v>45420</v>
      </c>
      <c r="C38" s="9" t="s">
        <v>268</v>
      </c>
      <c r="D38" s="38" t="n">
        <v>0.03</v>
      </c>
      <c r="E38" s="9" t="s">
        <v>245</v>
      </c>
      <c r="F38" s="16" t="n">
        <f aca="false">MATCH(E38,{"Misma locación","0.15 - 5 km","5 - 10 km","10+ km"},0)</f>
        <v>1</v>
      </c>
      <c r="G38" s="16" t="n">
        <f aca="false">MONTH(B38)</f>
        <v>5</v>
      </c>
      <c r="H38" s="16" t="n">
        <f aca="false">COUNTIF($G$8:G38,G38)</f>
        <v>2</v>
      </c>
      <c r="I38" s="38" t="n">
        <v>17.5</v>
      </c>
      <c r="J38" s="39" t="n">
        <f aca="false">INDEX(Simulador!$C$39:$F$39,F38)</f>
        <v>12</v>
      </c>
      <c r="K38" s="40" t="n">
        <f aca="false">IF(I38="","",I38-J38)</f>
        <v>5.5</v>
      </c>
      <c r="L38" s="41" t="n">
        <f aca="false">INDEX(Simulador!$C$51:$F$51,F38)</f>
        <v>76047.4054054054</v>
      </c>
      <c r="M38" s="23" t="n">
        <f aca="false">IF(H38&gt;=Simulador!$C$19,INDEX(Simulador!$C$63:$F$63,F38),INDEX(Simulador!$C$62:$F$62,F38))</f>
        <v>58116.7137837838</v>
      </c>
      <c r="N38" s="23" t="n">
        <f aca="false">INDEX(Simulador!$C$64:$F$64,F38)</f>
        <v>68381.1581081081</v>
      </c>
      <c r="O38" s="23" t="n">
        <f aca="false">IF(H38&gt;=Simulador!$C$19,INDEX(Simulador!$C$65:$F$65,F38),INDEX(Simulador!$C$64:$F$64,F38))</f>
        <v>68381.1581081081</v>
      </c>
      <c r="P38" s="23" t="n">
        <f aca="false">IF(H38&gt;=Simulador!$C$19,INDEX(Simulador!$C$67:$F$67,F38),INDEX(Simulador!$C$66:$F$66,F38))</f>
        <v>58075.5140540541</v>
      </c>
      <c r="Q38" s="23" t="n">
        <f aca="false">M38+(IF(I38="",J38,I38)-J38)*Simulador!$C$9</f>
        <v>66124.7137837838</v>
      </c>
      <c r="R38" s="23" t="n">
        <f aca="false">N38+(IF(I38="",J38,I38)-J38)*Simulador!$C$9</f>
        <v>76389.1581081081</v>
      </c>
      <c r="S38" s="23" t="n">
        <f aca="false">O38+(IF(I38="",J38,I38)-J38)*Simulador!$C$9</f>
        <v>76389.1581081081</v>
      </c>
      <c r="T38" s="23" t="n">
        <f aca="false">P38+(IF(I38="",J38,I38)-J38)*Simulador!$C$9</f>
        <v>66083.5140540541</v>
      </c>
      <c r="U38" s="2"/>
    </row>
    <row r="39" customFormat="false" ht="15" hidden="false" customHeight="false" outlineLevel="0" collapsed="false">
      <c r="B39" s="37" t="n">
        <v>45423</v>
      </c>
      <c r="C39" s="9" t="s">
        <v>269</v>
      </c>
      <c r="D39" s="38" t="n">
        <v>1.3</v>
      </c>
      <c r="E39" s="9" t="s">
        <v>231</v>
      </c>
      <c r="F39" s="16" t="n">
        <f aca="false">MATCH(E39,{"Misma locación","0.15 - 5 km","5 - 10 km","10+ km"},0)</f>
        <v>2</v>
      </c>
      <c r="G39" s="16" t="n">
        <f aca="false">MONTH(B39)</f>
        <v>5</v>
      </c>
      <c r="H39" s="16" t="n">
        <f aca="false">COUNTIF($G$8:G39,G39)</f>
        <v>3</v>
      </c>
      <c r="I39" s="38" t="n">
        <v>11</v>
      </c>
      <c r="J39" s="39" t="n">
        <f aca="false">INDEX(Simulador!$C$39:$F$39,F39)</f>
        <v>18</v>
      </c>
      <c r="K39" s="40" t="n">
        <f aca="false">IF(I39="","",I39-J39)</f>
        <v>-7</v>
      </c>
      <c r="L39" s="41" t="n">
        <f aca="false">INDEX(Simulador!$C$51:$F$51,F39)</f>
        <v>99473.8108108108</v>
      </c>
      <c r="M39" s="23" t="n">
        <f aca="false">IF(H39&gt;=Simulador!$C$19,INDEX(Simulador!$C$63:$F$63,F39),INDEX(Simulador!$C$62:$F$62,F39))</f>
        <v>88600.7254054054</v>
      </c>
      <c r="N39" s="23" t="n">
        <f aca="false">INDEX(Simulador!$C$64:$F$64,F39)</f>
        <v>111149.808108108</v>
      </c>
      <c r="O39" s="23" t="n">
        <f aca="false">IF(H39&gt;=Simulador!$C$19,INDEX(Simulador!$C$65:$F$65,F39),INDEX(Simulador!$C$64:$F$64,F39))</f>
        <v>111149.808108108</v>
      </c>
      <c r="P39" s="23" t="n">
        <f aca="false">IF(H39&gt;=Simulador!$C$19,INDEX(Simulador!$C$67:$F$67,F39),INDEX(Simulador!$C$66:$F$66,F39))</f>
        <v>85046.6491891892</v>
      </c>
      <c r="Q39" s="23" t="n">
        <f aca="false">M39+(IF(I39="",J39,I39)-J39)*Simulador!$C$9</f>
        <v>78408.7254054054</v>
      </c>
      <c r="R39" s="23" t="n">
        <f aca="false">N39+(IF(I39="",J39,I39)-J39)*Simulador!$C$9</f>
        <v>100957.808108108</v>
      </c>
      <c r="S39" s="23" t="n">
        <f aca="false">O39+(IF(I39="",J39,I39)-J39)*Simulador!$C$9</f>
        <v>100957.808108108</v>
      </c>
      <c r="T39" s="23" t="n">
        <f aca="false">P39+(IF(I39="",J39,I39)-J39)*Simulador!$C$9</f>
        <v>74854.6491891892</v>
      </c>
      <c r="U39" s="2"/>
    </row>
    <row r="40" customFormat="false" ht="15" hidden="false" customHeight="false" outlineLevel="0" collapsed="false">
      <c r="B40" s="37" t="n">
        <v>45427</v>
      </c>
      <c r="C40" s="9" t="s">
        <v>270</v>
      </c>
      <c r="D40" s="38" t="n">
        <v>0.0384047987710464</v>
      </c>
      <c r="E40" s="9" t="s">
        <v>245</v>
      </c>
      <c r="F40" s="16" t="n">
        <f aca="false">MATCH(E40,{"Misma locación","0.15 - 5 km","5 - 10 km","10+ km"},0)</f>
        <v>1</v>
      </c>
      <c r="G40" s="16" t="n">
        <f aca="false">MONTH(B40)</f>
        <v>5</v>
      </c>
      <c r="H40" s="16" t="n">
        <f aca="false">COUNTIF($G$8:G40,G40)</f>
        <v>4</v>
      </c>
      <c r="I40" s="38" t="n">
        <v>18.75</v>
      </c>
      <c r="J40" s="39" t="n">
        <f aca="false">INDEX(Simulador!$C$39:$F$39,F40)</f>
        <v>12</v>
      </c>
      <c r="K40" s="40" t="n">
        <f aca="false">IF(I40="","",I40-J40)</f>
        <v>6.75</v>
      </c>
      <c r="L40" s="41" t="n">
        <f aca="false">INDEX(Simulador!$C$51:$F$51,F40)</f>
        <v>76047.4054054054</v>
      </c>
      <c r="M40" s="23" t="n">
        <f aca="false">IF(H40&gt;=Simulador!$C$19,INDEX(Simulador!$C$63:$F$63,F40),INDEX(Simulador!$C$62:$F$62,F40))</f>
        <v>58116.7137837838</v>
      </c>
      <c r="N40" s="23" t="n">
        <f aca="false">INDEX(Simulador!$C$64:$F$64,F40)</f>
        <v>68381.1581081081</v>
      </c>
      <c r="O40" s="23" t="n">
        <f aca="false">IF(H40&gt;=Simulador!$C$19,INDEX(Simulador!$C$65:$F$65,F40),INDEX(Simulador!$C$64:$F$64,F40))</f>
        <v>68381.1581081081</v>
      </c>
      <c r="P40" s="23" t="n">
        <f aca="false">IF(H40&gt;=Simulador!$C$19,INDEX(Simulador!$C$67:$F$67,F40),INDEX(Simulador!$C$66:$F$66,F40))</f>
        <v>58075.5140540541</v>
      </c>
      <c r="Q40" s="23" t="n">
        <f aca="false">M40+(IF(I40="",J40,I40)-J40)*Simulador!$C$9</f>
        <v>67944.7137837838</v>
      </c>
      <c r="R40" s="23" t="n">
        <f aca="false">N40+(IF(I40="",J40,I40)-J40)*Simulador!$C$9</f>
        <v>78209.1581081081</v>
      </c>
      <c r="S40" s="23" t="n">
        <f aca="false">O40+(IF(I40="",J40,I40)-J40)*Simulador!$C$9</f>
        <v>78209.1581081081</v>
      </c>
      <c r="T40" s="23" t="n">
        <f aca="false">P40+(IF(I40="",J40,I40)-J40)*Simulador!$C$9</f>
        <v>67903.5140540541</v>
      </c>
      <c r="U40" s="2"/>
    </row>
    <row r="41" customFormat="false" ht="15" hidden="false" customHeight="false" outlineLevel="0" collapsed="false">
      <c r="B41" s="37" t="n">
        <v>45433</v>
      </c>
      <c r="C41" s="9" t="s">
        <v>271</v>
      </c>
      <c r="D41" s="38" t="n">
        <v>6.3</v>
      </c>
      <c r="E41" s="9" t="s">
        <v>243</v>
      </c>
      <c r="F41" s="16" t="n">
        <f aca="false">MATCH(E41,{"Misma locación","0.15 - 5 km","5 - 10 km","10+ km"},0)</f>
        <v>3</v>
      </c>
      <c r="G41" s="16" t="n">
        <f aca="false">MONTH(B41)</f>
        <v>5</v>
      </c>
      <c r="H41" s="16" t="n">
        <f aca="false">COUNTIF($G$8:G41,G41)</f>
        <v>5</v>
      </c>
      <c r="I41" s="38" t="n">
        <v>11.5</v>
      </c>
      <c r="J41" s="39" t="n">
        <f aca="false">INDEX(Simulador!$C$39:$F$39,F41)</f>
        <v>24</v>
      </c>
      <c r="K41" s="40" t="n">
        <f aca="false">IF(I41="","",I41-J41)</f>
        <v>-12.5</v>
      </c>
      <c r="L41" s="41" t="n">
        <f aca="false">INDEX(Simulador!$C$51:$F$51,F41)</f>
        <v>96184.8108108108</v>
      </c>
      <c r="M41" s="23" t="n">
        <f aca="false">IF(H41&gt;=Simulador!$C$19,INDEX(Simulador!$C$63:$F$63,F41),INDEX(Simulador!$C$62:$F$62,F41))</f>
        <v>102096.161621622</v>
      </c>
      <c r="N41" s="23" t="n">
        <f aca="false">INDEX(Simulador!$C$64:$F$64,F41)</f>
        <v>138633.155135135</v>
      </c>
      <c r="O41" s="23" t="n">
        <f aca="false">IF(H41&gt;=Simulador!$C$19,INDEX(Simulador!$C$65:$F$65,F41),INDEX(Simulador!$C$64:$F$64,F41))</f>
        <v>138633.155135135</v>
      </c>
      <c r="P41" s="23" t="n">
        <f aca="false">IF(H41&gt;=Simulador!$C$19,INDEX(Simulador!$C$67:$F$67,F41),INDEX(Simulador!$C$66:$F$66,F41))</f>
        <v>104944.811351351</v>
      </c>
      <c r="Q41" s="23" t="n">
        <f aca="false">M41+(IF(I41="",J41,I41)-J41)*Simulador!$C$9</f>
        <v>83896.1616216216</v>
      </c>
      <c r="R41" s="23" t="n">
        <f aca="false">N41+(IF(I41="",J41,I41)-J41)*Simulador!$C$9</f>
        <v>120433.155135135</v>
      </c>
      <c r="S41" s="23" t="n">
        <f aca="false">O41+(IF(I41="",J41,I41)-J41)*Simulador!$C$9</f>
        <v>120433.155135135</v>
      </c>
      <c r="T41" s="23" t="n">
        <f aca="false">P41+(IF(I41="",J41,I41)-J41)*Simulador!$C$9</f>
        <v>86744.8113513514</v>
      </c>
      <c r="U41" s="2"/>
    </row>
    <row r="42" customFormat="false" ht="15" hidden="false" customHeight="false" outlineLevel="0" collapsed="false">
      <c r="B42" s="37" t="n">
        <v>45437</v>
      </c>
      <c r="C42" s="9" t="s">
        <v>272</v>
      </c>
      <c r="D42" s="38" t="n">
        <v>0.00640079979517441</v>
      </c>
      <c r="E42" s="9" t="s">
        <v>245</v>
      </c>
      <c r="F42" s="16" t="n">
        <f aca="false">MATCH(E42,{"Misma locación","0.15 - 5 km","5 - 10 km","10+ km"},0)</f>
        <v>1</v>
      </c>
      <c r="G42" s="16" t="n">
        <f aca="false">MONTH(B42)</f>
        <v>5</v>
      </c>
      <c r="H42" s="16" t="n">
        <f aca="false">COUNTIF($G$8:G42,G42)</f>
        <v>6</v>
      </c>
      <c r="I42" s="38" t="n">
        <v>12</v>
      </c>
      <c r="J42" s="39" t="n">
        <f aca="false">INDEX(Simulador!$C$39:$F$39,F42)</f>
        <v>12</v>
      </c>
      <c r="K42" s="40" t="n">
        <f aca="false">IF(I42="","",I42-J42)</f>
        <v>0</v>
      </c>
      <c r="L42" s="41" t="n">
        <f aca="false">INDEX(Simulador!$C$51:$F$51,F42)</f>
        <v>76047.4054054054</v>
      </c>
      <c r="M42" s="23" t="n">
        <f aca="false">IF(H42&gt;=Simulador!$C$19,INDEX(Simulador!$C$63:$F$63,F42),INDEX(Simulador!$C$62:$F$62,F42))</f>
        <v>39145.7082432432</v>
      </c>
      <c r="N42" s="23" t="n">
        <f aca="false">INDEX(Simulador!$C$64:$F$64,F42)</f>
        <v>68381.1581081081</v>
      </c>
      <c r="O42" s="23" t="n">
        <f aca="false">IF(H42&gt;=Simulador!$C$19,INDEX(Simulador!$C$65:$F$65,F42),INDEX(Simulador!$C$64:$F$64,F42))</f>
        <v>44277.9304054054</v>
      </c>
      <c r="P42" s="23" t="n">
        <f aca="false">IF(H42&gt;=Simulador!$C$19,INDEX(Simulador!$C$67:$F$67,F42),INDEX(Simulador!$C$66:$F$66,F42))</f>
        <v>53466.5945945946</v>
      </c>
      <c r="Q42" s="23" t="n">
        <f aca="false">M42+(IF(I42="",J42,I42)-J42)*Simulador!$C$9</f>
        <v>39145.7082432432</v>
      </c>
      <c r="R42" s="23" t="n">
        <f aca="false">N42+(IF(I42="",J42,I42)-J42)*Simulador!$C$9</f>
        <v>68381.1581081081</v>
      </c>
      <c r="S42" s="23" t="n">
        <f aca="false">O42+(IF(I42="",J42,I42)-J42)*Simulador!$C$9</f>
        <v>44277.9304054054</v>
      </c>
      <c r="T42" s="23" t="n">
        <f aca="false">P42+(IF(I42="",J42,I42)-J42)*Simulador!$C$9</f>
        <v>53466.5945945946</v>
      </c>
      <c r="U42" s="2"/>
    </row>
    <row r="43" customFormat="false" ht="15" hidden="false" customHeight="false" outlineLevel="0" collapsed="false">
      <c r="B43" s="37" t="n">
        <v>45441</v>
      </c>
      <c r="C43" s="9" t="s">
        <v>273</v>
      </c>
      <c r="D43" s="38" t="n">
        <v>4.9</v>
      </c>
      <c r="E43" s="9" t="s">
        <v>231</v>
      </c>
      <c r="F43" s="16" t="n">
        <f aca="false">MATCH(E43,{"Misma locación","0.15 - 5 km","5 - 10 km","10+ km"},0)</f>
        <v>2</v>
      </c>
      <c r="G43" s="16" t="n">
        <f aca="false">MONTH(B43)</f>
        <v>5</v>
      </c>
      <c r="H43" s="16" t="n">
        <f aca="false">COUNTIF($G$8:G43,G43)</f>
        <v>7</v>
      </c>
      <c r="I43" s="38" t="n">
        <v>15.5</v>
      </c>
      <c r="J43" s="39" t="n">
        <f aca="false">INDEX(Simulador!$C$39:$F$39,F43)</f>
        <v>18</v>
      </c>
      <c r="K43" s="40" t="n">
        <f aca="false">IF(I43="","",I43-J43)</f>
        <v>-2.5</v>
      </c>
      <c r="L43" s="41" t="n">
        <f aca="false">INDEX(Simulador!$C$51:$F$51,F43)</f>
        <v>99473.8108108108</v>
      </c>
      <c r="M43" s="23" t="n">
        <f aca="false">IF(H43&gt;=Simulador!$C$19,INDEX(Simulador!$C$63:$F$63,F43),INDEX(Simulador!$C$62:$F$62,F43))</f>
        <v>58755.7140540541</v>
      </c>
      <c r="N43" s="23" t="n">
        <f aca="false">INDEX(Simulador!$C$64:$F$64,F43)</f>
        <v>111149.808108108</v>
      </c>
      <c r="O43" s="23" t="n">
        <f aca="false">IF(H43&gt;=Simulador!$C$19,INDEX(Simulador!$C$65:$F$65,F43),INDEX(Simulador!$C$64:$F$64,F43))</f>
        <v>70030.2554054054</v>
      </c>
      <c r="P43" s="23" t="n">
        <f aca="false">IF(H43&gt;=Simulador!$C$19,INDEX(Simulador!$C$67:$F$67,F43),INDEX(Simulador!$C$66:$F$66,F43))</f>
        <v>62202.5945945946</v>
      </c>
      <c r="Q43" s="23" t="n">
        <f aca="false">M43+(IF(I43="",J43,I43)-J43)*Simulador!$C$9</f>
        <v>55115.7140540541</v>
      </c>
      <c r="R43" s="23" t="n">
        <f aca="false">N43+(IF(I43="",J43,I43)-J43)*Simulador!$C$9</f>
        <v>107509.808108108</v>
      </c>
      <c r="S43" s="23" t="n">
        <f aca="false">O43+(IF(I43="",J43,I43)-J43)*Simulador!$C$9</f>
        <v>66390.2554054054</v>
      </c>
      <c r="T43" s="23" t="n">
        <f aca="false">P43+(IF(I43="",J43,I43)-J43)*Simulador!$C$9</f>
        <v>58562.5945945946</v>
      </c>
      <c r="U43" s="2"/>
    </row>
    <row r="44" customFormat="false" ht="15" hidden="false" customHeight="false" outlineLevel="0" collapsed="false">
      <c r="B44" s="37" t="n">
        <v>45444</v>
      </c>
      <c r="C44" s="9" t="s">
        <v>274</v>
      </c>
      <c r="D44" s="38" t="n">
        <v>4.5</v>
      </c>
      <c r="E44" s="9" t="s">
        <v>231</v>
      </c>
      <c r="F44" s="16" t="n">
        <f aca="false">MATCH(E44,{"Misma locación","0.15 - 5 km","5 - 10 km","10+ km"},0)</f>
        <v>2</v>
      </c>
      <c r="G44" s="16" t="n">
        <f aca="false">MONTH(B44)</f>
        <v>6</v>
      </c>
      <c r="H44" s="16" t="n">
        <f aca="false">COUNTIF($G$8:G44,G44)</f>
        <v>1</v>
      </c>
      <c r="I44" s="38" t="n">
        <v>19.75</v>
      </c>
      <c r="J44" s="39" t="n">
        <f aca="false">INDEX(Simulador!$C$39:$F$39,F44)</f>
        <v>18</v>
      </c>
      <c r="K44" s="40" t="n">
        <f aca="false">IF(I44="","",I44-J44)</f>
        <v>1.75</v>
      </c>
      <c r="L44" s="41" t="n">
        <f aca="false">INDEX(Simulador!$C$51:$F$51,F44)</f>
        <v>99473.8108108108</v>
      </c>
      <c r="M44" s="23" t="n">
        <f aca="false">IF(H44&gt;=Simulador!$C$19,INDEX(Simulador!$C$63:$F$63,F44),INDEX(Simulador!$C$62:$F$62,F44))</f>
        <v>88600.7254054054</v>
      </c>
      <c r="N44" s="23" t="n">
        <f aca="false">INDEX(Simulador!$C$64:$F$64,F44)</f>
        <v>111149.808108108</v>
      </c>
      <c r="O44" s="23" t="n">
        <f aca="false">IF(H44&gt;=Simulador!$C$19,INDEX(Simulador!$C$65:$F$65,F44),INDEX(Simulador!$C$64:$F$64,F44))</f>
        <v>111149.808108108</v>
      </c>
      <c r="P44" s="23" t="n">
        <f aca="false">IF(H44&gt;=Simulador!$C$19,INDEX(Simulador!$C$67:$F$67,F44),INDEX(Simulador!$C$66:$F$66,F44))</f>
        <v>85046.6491891892</v>
      </c>
      <c r="Q44" s="23" t="n">
        <f aca="false">M44+(IF(I44="",J44,I44)-J44)*Simulador!$C$9</f>
        <v>91148.7254054054</v>
      </c>
      <c r="R44" s="23" t="n">
        <f aca="false">N44+(IF(I44="",J44,I44)-J44)*Simulador!$C$9</f>
        <v>113697.808108108</v>
      </c>
      <c r="S44" s="23" t="n">
        <f aca="false">O44+(IF(I44="",J44,I44)-J44)*Simulador!$C$9</f>
        <v>113697.808108108</v>
      </c>
      <c r="T44" s="23" t="n">
        <f aca="false">P44+(IF(I44="",J44,I44)-J44)*Simulador!$C$9</f>
        <v>87594.6491891892</v>
      </c>
      <c r="U44" s="2"/>
    </row>
    <row r="45" customFormat="false" ht="15" hidden="false" customHeight="false" outlineLevel="0" collapsed="false">
      <c r="B45" s="37" t="n">
        <v>45448</v>
      </c>
      <c r="C45" s="9" t="s">
        <v>275</v>
      </c>
      <c r="D45" s="38" t="n">
        <v>0.0609599980492801</v>
      </c>
      <c r="E45" s="9" t="s">
        <v>245</v>
      </c>
      <c r="F45" s="16" t="n">
        <f aca="false">MATCH(E45,{"Misma locación","0.15 - 5 km","5 - 10 km","10+ km"},0)</f>
        <v>1</v>
      </c>
      <c r="G45" s="16" t="n">
        <f aca="false">MONTH(B45)</f>
        <v>6</v>
      </c>
      <c r="H45" s="16" t="n">
        <f aca="false">COUNTIF($G$8:G45,G45)</f>
        <v>2</v>
      </c>
      <c r="I45" s="38" t="n">
        <v>12.5</v>
      </c>
      <c r="J45" s="39" t="n">
        <f aca="false">INDEX(Simulador!$C$39:$F$39,F45)</f>
        <v>12</v>
      </c>
      <c r="K45" s="40" t="n">
        <f aca="false">IF(I45="","",I45-J45)</f>
        <v>0.5</v>
      </c>
      <c r="L45" s="41" t="n">
        <f aca="false">INDEX(Simulador!$C$51:$F$51,F45)</f>
        <v>76047.4054054054</v>
      </c>
      <c r="M45" s="23" t="n">
        <f aca="false">IF(H45&gt;=Simulador!$C$19,INDEX(Simulador!$C$63:$F$63,F45),INDEX(Simulador!$C$62:$F$62,F45))</f>
        <v>58116.7137837838</v>
      </c>
      <c r="N45" s="23" t="n">
        <f aca="false">INDEX(Simulador!$C$64:$F$64,F45)</f>
        <v>68381.1581081081</v>
      </c>
      <c r="O45" s="23" t="n">
        <f aca="false">IF(H45&gt;=Simulador!$C$19,INDEX(Simulador!$C$65:$F$65,F45),INDEX(Simulador!$C$64:$F$64,F45))</f>
        <v>68381.1581081081</v>
      </c>
      <c r="P45" s="23" t="n">
        <f aca="false">IF(H45&gt;=Simulador!$C$19,INDEX(Simulador!$C$67:$F$67,F45),INDEX(Simulador!$C$66:$F$66,F45))</f>
        <v>58075.5140540541</v>
      </c>
      <c r="Q45" s="23" t="n">
        <f aca="false">M45+(IF(I45="",J45,I45)-J45)*Simulador!$C$9</f>
        <v>58844.7137837838</v>
      </c>
      <c r="R45" s="23" t="n">
        <f aca="false">N45+(IF(I45="",J45,I45)-J45)*Simulador!$C$9</f>
        <v>69109.1581081081</v>
      </c>
      <c r="S45" s="23" t="n">
        <f aca="false">O45+(IF(I45="",J45,I45)-J45)*Simulador!$C$9</f>
        <v>69109.1581081081</v>
      </c>
      <c r="T45" s="23" t="n">
        <f aca="false">P45+(IF(I45="",J45,I45)-J45)*Simulador!$C$9</f>
        <v>58803.5140540541</v>
      </c>
      <c r="U45" s="2"/>
    </row>
    <row r="46" customFormat="false" ht="15" hidden="false" customHeight="false" outlineLevel="0" collapsed="false">
      <c r="B46" s="37" t="n">
        <v>45451</v>
      </c>
      <c r="C46" s="9" t="s">
        <v>276</v>
      </c>
      <c r="D46" s="38" t="n">
        <v>0.0609599980492801</v>
      </c>
      <c r="E46" s="9" t="s">
        <v>245</v>
      </c>
      <c r="F46" s="16" t="n">
        <f aca="false">MATCH(E46,{"Misma locación","0.15 - 5 km","5 - 10 km","10+ km"},0)</f>
        <v>1</v>
      </c>
      <c r="G46" s="16" t="n">
        <f aca="false">MONTH(B46)</f>
        <v>6</v>
      </c>
      <c r="H46" s="16" t="n">
        <f aca="false">COUNTIF($G$8:G46,G46)</f>
        <v>3</v>
      </c>
      <c r="I46" s="38" t="n">
        <v>11.25</v>
      </c>
      <c r="J46" s="39" t="n">
        <f aca="false">INDEX(Simulador!$C$39:$F$39,F46)</f>
        <v>12</v>
      </c>
      <c r="K46" s="40" t="n">
        <f aca="false">IF(I46="","",I46-J46)</f>
        <v>-0.75</v>
      </c>
      <c r="L46" s="41" t="n">
        <f aca="false">INDEX(Simulador!$C$51:$F$51,F46)</f>
        <v>76047.4054054054</v>
      </c>
      <c r="M46" s="23" t="n">
        <f aca="false">IF(H46&gt;=Simulador!$C$19,INDEX(Simulador!$C$63:$F$63,F46),INDEX(Simulador!$C$62:$F$62,F46))</f>
        <v>58116.7137837838</v>
      </c>
      <c r="N46" s="23" t="n">
        <f aca="false">INDEX(Simulador!$C$64:$F$64,F46)</f>
        <v>68381.1581081081</v>
      </c>
      <c r="O46" s="23" t="n">
        <f aca="false">IF(H46&gt;=Simulador!$C$19,INDEX(Simulador!$C$65:$F$65,F46),INDEX(Simulador!$C$64:$F$64,F46))</f>
        <v>68381.1581081081</v>
      </c>
      <c r="P46" s="23" t="n">
        <f aca="false">IF(H46&gt;=Simulador!$C$19,INDEX(Simulador!$C$67:$F$67,F46),INDEX(Simulador!$C$66:$F$66,F46))</f>
        <v>58075.5140540541</v>
      </c>
      <c r="Q46" s="23" t="n">
        <f aca="false">M46+(IF(I46="",J46,I46)-J46)*Simulador!$C$9</f>
        <v>57024.7137837838</v>
      </c>
      <c r="R46" s="23" t="n">
        <f aca="false">N46+(IF(I46="",J46,I46)-J46)*Simulador!$C$9</f>
        <v>67289.1581081081</v>
      </c>
      <c r="S46" s="23" t="n">
        <f aca="false">O46+(IF(I46="",J46,I46)-J46)*Simulador!$C$9</f>
        <v>67289.1581081081</v>
      </c>
      <c r="T46" s="23" t="n">
        <f aca="false">P46+(IF(I46="",J46,I46)-J46)*Simulador!$C$9</f>
        <v>56983.5140540541</v>
      </c>
      <c r="U46" s="2"/>
    </row>
    <row r="47" customFormat="false" ht="15" hidden="false" customHeight="false" outlineLevel="0" collapsed="false">
      <c r="B47" s="37" t="n">
        <v>45455</v>
      </c>
      <c r="C47" s="9" t="s">
        <v>277</v>
      </c>
      <c r="D47" s="38" t="n">
        <v>6.6</v>
      </c>
      <c r="E47" s="9" t="s">
        <v>243</v>
      </c>
      <c r="F47" s="16" t="n">
        <f aca="false">MATCH(E47,{"Misma locación","0.15 - 5 km","5 - 10 km","10+ km"},0)</f>
        <v>3</v>
      </c>
      <c r="G47" s="16" t="n">
        <f aca="false">MONTH(B47)</f>
        <v>6</v>
      </c>
      <c r="H47" s="16" t="n">
        <f aca="false">COUNTIF($G$8:G47,G47)</f>
        <v>4</v>
      </c>
      <c r="I47" s="38" t="n">
        <v>15.25</v>
      </c>
      <c r="J47" s="39" t="n">
        <f aca="false">INDEX(Simulador!$C$39:$F$39,F47)</f>
        <v>24</v>
      </c>
      <c r="K47" s="40" t="n">
        <f aca="false">IF(I47="","",I47-J47)</f>
        <v>-8.75</v>
      </c>
      <c r="L47" s="41" t="n">
        <f aca="false">INDEX(Simulador!$C$51:$F$51,F47)</f>
        <v>96184.8108108108</v>
      </c>
      <c r="M47" s="23" t="n">
        <f aca="false">IF(H47&gt;=Simulador!$C$19,INDEX(Simulador!$C$63:$F$63,F47),INDEX(Simulador!$C$62:$F$62,F47))</f>
        <v>102096.161621622</v>
      </c>
      <c r="N47" s="23" t="n">
        <f aca="false">INDEX(Simulador!$C$64:$F$64,F47)</f>
        <v>138633.155135135</v>
      </c>
      <c r="O47" s="23" t="n">
        <f aca="false">IF(H47&gt;=Simulador!$C$19,INDEX(Simulador!$C$65:$F$65,F47),INDEX(Simulador!$C$64:$F$64,F47))</f>
        <v>138633.155135135</v>
      </c>
      <c r="P47" s="23" t="n">
        <f aca="false">IF(H47&gt;=Simulador!$C$19,INDEX(Simulador!$C$67:$F$67,F47),INDEX(Simulador!$C$66:$F$66,F47))</f>
        <v>104944.811351351</v>
      </c>
      <c r="Q47" s="23" t="n">
        <f aca="false">M47+(IF(I47="",J47,I47)-J47)*Simulador!$C$9</f>
        <v>89356.1616216216</v>
      </c>
      <c r="R47" s="23" t="n">
        <f aca="false">N47+(IF(I47="",J47,I47)-J47)*Simulador!$C$9</f>
        <v>125893.155135135</v>
      </c>
      <c r="S47" s="23" t="n">
        <f aca="false">O47+(IF(I47="",J47,I47)-J47)*Simulador!$C$9</f>
        <v>125893.155135135</v>
      </c>
      <c r="T47" s="23" t="n">
        <f aca="false">P47+(IF(I47="",J47,I47)-J47)*Simulador!$C$9</f>
        <v>92204.8113513514</v>
      </c>
      <c r="U47" s="2"/>
    </row>
    <row r="48" customFormat="false" ht="15" hidden="false" customHeight="false" outlineLevel="0" collapsed="false">
      <c r="B48" s="37" t="n">
        <v>45459</v>
      </c>
      <c r="C48" s="9" t="s">
        <v>278</v>
      </c>
      <c r="D48" s="38" t="n">
        <v>3.9</v>
      </c>
      <c r="E48" s="9" t="s">
        <v>231</v>
      </c>
      <c r="F48" s="16" t="n">
        <f aca="false">MATCH(E48,{"Misma locación","0.15 - 5 km","5 - 10 km","10+ km"},0)</f>
        <v>2</v>
      </c>
      <c r="G48" s="16" t="n">
        <f aca="false">MONTH(B48)</f>
        <v>6</v>
      </c>
      <c r="H48" s="16" t="n">
        <f aca="false">COUNTIF($G$8:G48,G48)</f>
        <v>5</v>
      </c>
      <c r="I48" s="38" t="n">
        <v>14.5</v>
      </c>
      <c r="J48" s="39" t="n">
        <f aca="false">INDEX(Simulador!$C$39:$F$39,F48)</f>
        <v>18</v>
      </c>
      <c r="K48" s="40" t="n">
        <f aca="false">IF(I48="","",I48-J48)</f>
        <v>-3.5</v>
      </c>
      <c r="L48" s="41" t="n">
        <f aca="false">INDEX(Simulador!$C$51:$F$51,F48)</f>
        <v>99473.8108108108</v>
      </c>
      <c r="M48" s="23" t="n">
        <f aca="false">IF(H48&gt;=Simulador!$C$19,INDEX(Simulador!$C$63:$F$63,F48),INDEX(Simulador!$C$62:$F$62,F48))</f>
        <v>88600.7254054054</v>
      </c>
      <c r="N48" s="23" t="n">
        <f aca="false">INDEX(Simulador!$C$64:$F$64,F48)</f>
        <v>111149.808108108</v>
      </c>
      <c r="O48" s="23" t="n">
        <f aca="false">IF(H48&gt;=Simulador!$C$19,INDEX(Simulador!$C$65:$F$65,F48),INDEX(Simulador!$C$64:$F$64,F48))</f>
        <v>111149.808108108</v>
      </c>
      <c r="P48" s="23" t="n">
        <f aca="false">IF(H48&gt;=Simulador!$C$19,INDEX(Simulador!$C$67:$F$67,F48),INDEX(Simulador!$C$66:$F$66,F48))</f>
        <v>85046.6491891892</v>
      </c>
      <c r="Q48" s="23" t="n">
        <f aca="false">M48+(IF(I48="",J48,I48)-J48)*Simulador!$C$9</f>
        <v>83504.7254054054</v>
      </c>
      <c r="R48" s="23" t="n">
        <f aca="false">N48+(IF(I48="",J48,I48)-J48)*Simulador!$C$9</f>
        <v>106053.808108108</v>
      </c>
      <c r="S48" s="23" t="n">
        <f aca="false">O48+(IF(I48="",J48,I48)-J48)*Simulador!$C$9</f>
        <v>106053.808108108</v>
      </c>
      <c r="T48" s="23" t="n">
        <f aca="false">P48+(IF(I48="",J48,I48)-J48)*Simulador!$C$9</f>
        <v>79950.6491891892</v>
      </c>
      <c r="U48" s="2"/>
    </row>
    <row r="49" customFormat="false" ht="15" hidden="false" customHeight="false" outlineLevel="0" collapsed="false">
      <c r="B49" s="37" t="n">
        <v>45463</v>
      </c>
      <c r="C49" s="9" t="s">
        <v>279</v>
      </c>
      <c r="D49" s="38" t="n">
        <v>1.7</v>
      </c>
      <c r="E49" s="9" t="s">
        <v>231</v>
      </c>
      <c r="F49" s="16" t="n">
        <f aca="false">MATCH(E49,{"Misma locación","0.15 - 5 km","5 - 10 km","10+ km"},0)</f>
        <v>2</v>
      </c>
      <c r="G49" s="16" t="n">
        <f aca="false">MONTH(B49)</f>
        <v>6</v>
      </c>
      <c r="H49" s="16" t="n">
        <f aca="false">COUNTIF($G$8:G49,G49)</f>
        <v>6</v>
      </c>
      <c r="I49" s="38" t="n">
        <v>22.75</v>
      </c>
      <c r="J49" s="39" t="n">
        <f aca="false">INDEX(Simulador!$C$39:$F$39,F49)</f>
        <v>18</v>
      </c>
      <c r="K49" s="40" t="n">
        <f aca="false">IF(I49="","",I49-J49)</f>
        <v>4.75</v>
      </c>
      <c r="L49" s="41" t="n">
        <f aca="false">INDEX(Simulador!$C$51:$F$51,F49)</f>
        <v>99473.8108108108</v>
      </c>
      <c r="M49" s="23" t="n">
        <f aca="false">IF(H49&gt;=Simulador!$C$19,INDEX(Simulador!$C$63:$F$63,F49),INDEX(Simulador!$C$62:$F$62,F49))</f>
        <v>58755.7140540541</v>
      </c>
      <c r="N49" s="23" t="n">
        <f aca="false">INDEX(Simulador!$C$64:$F$64,F49)</f>
        <v>111149.808108108</v>
      </c>
      <c r="O49" s="23" t="n">
        <f aca="false">IF(H49&gt;=Simulador!$C$19,INDEX(Simulador!$C$65:$F$65,F49),INDEX(Simulador!$C$64:$F$64,F49))</f>
        <v>70030.2554054054</v>
      </c>
      <c r="P49" s="23" t="n">
        <f aca="false">IF(H49&gt;=Simulador!$C$19,INDEX(Simulador!$C$67:$F$67,F49),INDEX(Simulador!$C$66:$F$66,F49))</f>
        <v>62202.5945945946</v>
      </c>
      <c r="Q49" s="23" t="n">
        <f aca="false">M49+(IF(I49="",J49,I49)-J49)*Simulador!$C$9</f>
        <v>65671.7140540541</v>
      </c>
      <c r="R49" s="23" t="n">
        <f aca="false">N49+(IF(I49="",J49,I49)-J49)*Simulador!$C$9</f>
        <v>118065.808108108</v>
      </c>
      <c r="S49" s="23" t="n">
        <f aca="false">O49+(IF(I49="",J49,I49)-J49)*Simulador!$C$9</f>
        <v>76946.2554054054</v>
      </c>
      <c r="T49" s="23" t="n">
        <f aca="false">P49+(IF(I49="",J49,I49)-J49)*Simulador!$C$9</f>
        <v>69118.5945945946</v>
      </c>
      <c r="U49" s="2"/>
    </row>
    <row r="50" customFormat="false" ht="15" hidden="false" customHeight="false" outlineLevel="0" collapsed="false">
      <c r="B50" s="37" t="n">
        <v>45466</v>
      </c>
      <c r="C50" s="9" t="s">
        <v>280</v>
      </c>
      <c r="D50" s="38" t="n">
        <v>0.00640079979517441</v>
      </c>
      <c r="E50" s="9" t="s">
        <v>245</v>
      </c>
      <c r="F50" s="16" t="n">
        <f aca="false">MATCH(E50,{"Misma locación","0.15 - 5 km","5 - 10 km","10+ km"},0)</f>
        <v>1</v>
      </c>
      <c r="G50" s="16" t="n">
        <f aca="false">MONTH(B50)</f>
        <v>6</v>
      </c>
      <c r="H50" s="16" t="n">
        <f aca="false">COUNTIF($G$8:G50,G50)</f>
        <v>7</v>
      </c>
      <c r="I50" s="38" t="n">
        <v>13.5</v>
      </c>
      <c r="J50" s="39" t="n">
        <f aca="false">INDEX(Simulador!$C$39:$F$39,F50)</f>
        <v>12</v>
      </c>
      <c r="K50" s="40" t="n">
        <f aca="false">IF(I50="","",I50-J50)</f>
        <v>1.5</v>
      </c>
      <c r="L50" s="41" t="n">
        <f aca="false">INDEX(Simulador!$C$51:$F$51,F50)</f>
        <v>76047.4054054054</v>
      </c>
      <c r="M50" s="23" t="n">
        <f aca="false">IF(H50&gt;=Simulador!$C$19,INDEX(Simulador!$C$63:$F$63,F50),INDEX(Simulador!$C$62:$F$62,F50))</f>
        <v>39145.7082432432</v>
      </c>
      <c r="N50" s="23" t="n">
        <f aca="false">INDEX(Simulador!$C$64:$F$64,F50)</f>
        <v>68381.1581081081</v>
      </c>
      <c r="O50" s="23" t="n">
        <f aca="false">IF(H50&gt;=Simulador!$C$19,INDEX(Simulador!$C$65:$F$65,F50),INDEX(Simulador!$C$64:$F$64,F50))</f>
        <v>44277.9304054054</v>
      </c>
      <c r="P50" s="23" t="n">
        <f aca="false">IF(H50&gt;=Simulador!$C$19,INDEX(Simulador!$C$67:$F$67,F50),INDEX(Simulador!$C$66:$F$66,F50))</f>
        <v>53466.5945945946</v>
      </c>
      <c r="Q50" s="23" t="n">
        <f aca="false">M50+(IF(I50="",J50,I50)-J50)*Simulador!$C$9</f>
        <v>41329.7082432432</v>
      </c>
      <c r="R50" s="23" t="n">
        <f aca="false">N50+(IF(I50="",J50,I50)-J50)*Simulador!$C$9</f>
        <v>70565.1581081081</v>
      </c>
      <c r="S50" s="23" t="n">
        <f aca="false">O50+(IF(I50="",J50,I50)-J50)*Simulador!$C$9</f>
        <v>46461.9304054054</v>
      </c>
      <c r="T50" s="23" t="n">
        <f aca="false">P50+(IF(I50="",J50,I50)-J50)*Simulador!$C$9</f>
        <v>55650.5945945946</v>
      </c>
      <c r="U50" s="2"/>
    </row>
    <row r="51" customFormat="false" ht="15" hidden="false" customHeight="false" outlineLevel="0" collapsed="false">
      <c r="B51" s="37" t="n">
        <v>45470</v>
      </c>
      <c r="C51" s="9" t="s">
        <v>281</v>
      </c>
      <c r="D51" s="38" t="n">
        <v>3.5</v>
      </c>
      <c r="E51" s="9" t="s">
        <v>231</v>
      </c>
      <c r="F51" s="16" t="n">
        <f aca="false">MATCH(E51,{"Misma locación","0.15 - 5 km","5 - 10 km","10+ km"},0)</f>
        <v>2</v>
      </c>
      <c r="G51" s="16" t="n">
        <f aca="false">MONTH(B51)</f>
        <v>6</v>
      </c>
      <c r="H51" s="16" t="n">
        <f aca="false">COUNTIF($G$8:G51,G51)</f>
        <v>8</v>
      </c>
      <c r="I51" s="38" t="n">
        <v>17.25</v>
      </c>
      <c r="J51" s="39" t="n">
        <f aca="false">INDEX(Simulador!$C$39:$F$39,F51)</f>
        <v>18</v>
      </c>
      <c r="K51" s="40" t="n">
        <f aca="false">IF(I51="","",I51-J51)</f>
        <v>-0.75</v>
      </c>
      <c r="L51" s="41" t="n">
        <f aca="false">INDEX(Simulador!$C$51:$F$51,F51)</f>
        <v>99473.8108108108</v>
      </c>
      <c r="M51" s="23" t="n">
        <f aca="false">IF(H51&gt;=Simulador!$C$19,INDEX(Simulador!$C$63:$F$63,F51),INDEX(Simulador!$C$62:$F$62,F51))</f>
        <v>58755.7140540541</v>
      </c>
      <c r="N51" s="23" t="n">
        <f aca="false">INDEX(Simulador!$C$64:$F$64,F51)</f>
        <v>111149.808108108</v>
      </c>
      <c r="O51" s="23" t="n">
        <f aca="false">IF(H51&gt;=Simulador!$C$19,INDEX(Simulador!$C$65:$F$65,F51),INDEX(Simulador!$C$64:$F$64,F51))</f>
        <v>70030.2554054054</v>
      </c>
      <c r="P51" s="23" t="n">
        <f aca="false">IF(H51&gt;=Simulador!$C$19,INDEX(Simulador!$C$67:$F$67,F51),INDEX(Simulador!$C$66:$F$66,F51))</f>
        <v>62202.5945945946</v>
      </c>
      <c r="Q51" s="23" t="n">
        <f aca="false">M51+(IF(I51="",J51,I51)-J51)*Simulador!$C$9</f>
        <v>57663.7140540541</v>
      </c>
      <c r="R51" s="23" t="n">
        <f aca="false">N51+(IF(I51="",J51,I51)-J51)*Simulador!$C$9</f>
        <v>110057.808108108</v>
      </c>
      <c r="S51" s="23" t="n">
        <f aca="false">O51+(IF(I51="",J51,I51)-J51)*Simulador!$C$9</f>
        <v>68938.2554054054</v>
      </c>
      <c r="T51" s="23" t="n">
        <f aca="false">P51+(IF(I51="",J51,I51)-J51)*Simulador!$C$9</f>
        <v>61110.5945945946</v>
      </c>
      <c r="U51" s="2"/>
    </row>
    <row r="52" customFormat="false" ht="15" hidden="false" customHeight="false" outlineLevel="0" collapsed="false">
      <c r="B52" s="37" t="n">
        <v>45473</v>
      </c>
      <c r="C52" s="9" t="s">
        <v>282</v>
      </c>
      <c r="D52" s="38" t="n">
        <v>0.0124967996001024</v>
      </c>
      <c r="E52" s="9" t="s">
        <v>245</v>
      </c>
      <c r="F52" s="16" t="n">
        <f aca="false">MATCH(E52,{"Misma locación","0.15 - 5 km","5 - 10 km","10+ km"},0)</f>
        <v>1</v>
      </c>
      <c r="G52" s="16" t="n">
        <f aca="false">MONTH(B52)</f>
        <v>6</v>
      </c>
      <c r="H52" s="16" t="n">
        <f aca="false">COUNTIF($G$8:G52,G52)</f>
        <v>9</v>
      </c>
      <c r="I52" s="38" t="n">
        <v>11</v>
      </c>
      <c r="J52" s="39" t="n">
        <f aca="false">INDEX(Simulador!$C$39:$F$39,F52)</f>
        <v>12</v>
      </c>
      <c r="K52" s="40" t="n">
        <f aca="false">IF(I52="","",I52-J52)</f>
        <v>-1</v>
      </c>
      <c r="L52" s="41" t="n">
        <f aca="false">INDEX(Simulador!$C$51:$F$51,F52)</f>
        <v>76047.4054054054</v>
      </c>
      <c r="M52" s="23" t="n">
        <f aca="false">IF(H52&gt;=Simulador!$C$19,INDEX(Simulador!$C$63:$F$63,F52),INDEX(Simulador!$C$62:$F$62,F52))</f>
        <v>39145.7082432432</v>
      </c>
      <c r="N52" s="23" t="n">
        <f aca="false">INDEX(Simulador!$C$64:$F$64,F52)</f>
        <v>68381.1581081081</v>
      </c>
      <c r="O52" s="23" t="n">
        <f aca="false">IF(H52&gt;=Simulador!$C$19,INDEX(Simulador!$C$65:$F$65,F52),INDEX(Simulador!$C$64:$F$64,F52))</f>
        <v>44277.9304054054</v>
      </c>
      <c r="P52" s="23" t="n">
        <f aca="false">IF(H52&gt;=Simulador!$C$19,INDEX(Simulador!$C$67:$F$67,F52),INDEX(Simulador!$C$66:$F$66,F52))</f>
        <v>53466.5945945946</v>
      </c>
      <c r="Q52" s="23" t="n">
        <f aca="false">M52+(IF(I52="",J52,I52)-J52)*Simulador!$C$9</f>
        <v>37689.7082432432</v>
      </c>
      <c r="R52" s="23" t="n">
        <f aca="false">N52+(IF(I52="",J52,I52)-J52)*Simulador!$C$9</f>
        <v>66925.1581081081</v>
      </c>
      <c r="S52" s="23" t="n">
        <f aca="false">O52+(IF(I52="",J52,I52)-J52)*Simulador!$C$9</f>
        <v>42821.9304054054</v>
      </c>
      <c r="T52" s="23" t="n">
        <f aca="false">P52+(IF(I52="",J52,I52)-J52)*Simulador!$C$9</f>
        <v>52010.5945945946</v>
      </c>
      <c r="U52" s="2"/>
    </row>
    <row r="53" customFormat="false" ht="15" hidden="false" customHeight="false" outlineLevel="0" collapsed="false">
      <c r="B53" s="37" t="n">
        <v>45476</v>
      </c>
      <c r="C53" s="9" t="s">
        <v>283</v>
      </c>
      <c r="D53" s="38" t="n">
        <v>0.6</v>
      </c>
      <c r="E53" s="9" t="s">
        <v>231</v>
      </c>
      <c r="F53" s="16" t="n">
        <f aca="false">MATCH(E53,{"Misma locación","0.15 - 5 km","5 - 10 km","10+ km"},0)</f>
        <v>2</v>
      </c>
      <c r="G53" s="16" t="n">
        <f aca="false">MONTH(B53)</f>
        <v>7</v>
      </c>
      <c r="H53" s="16" t="n">
        <f aca="false">COUNTIF($G$8:G53,G53)</f>
        <v>1</v>
      </c>
      <c r="I53" s="38" t="n">
        <v>17.5</v>
      </c>
      <c r="J53" s="39" t="n">
        <f aca="false">INDEX(Simulador!$C$39:$F$39,F53)</f>
        <v>18</v>
      </c>
      <c r="K53" s="40" t="n">
        <f aca="false">IF(I53="","",I53-J53)</f>
        <v>-0.5</v>
      </c>
      <c r="L53" s="41" t="n">
        <f aca="false">INDEX(Simulador!$C$51:$F$51,F53)</f>
        <v>99473.8108108108</v>
      </c>
      <c r="M53" s="23" t="n">
        <f aca="false">IF(H53&gt;=Simulador!$C$19,INDEX(Simulador!$C$63:$F$63,F53),INDEX(Simulador!$C$62:$F$62,F53))</f>
        <v>88600.7254054054</v>
      </c>
      <c r="N53" s="23" t="n">
        <f aca="false">INDEX(Simulador!$C$64:$F$64,F53)</f>
        <v>111149.808108108</v>
      </c>
      <c r="O53" s="23" t="n">
        <f aca="false">IF(H53&gt;=Simulador!$C$19,INDEX(Simulador!$C$65:$F$65,F53),INDEX(Simulador!$C$64:$F$64,F53))</f>
        <v>111149.808108108</v>
      </c>
      <c r="P53" s="23" t="n">
        <f aca="false">IF(H53&gt;=Simulador!$C$19,INDEX(Simulador!$C$67:$F$67,F53),INDEX(Simulador!$C$66:$F$66,F53))</f>
        <v>85046.6491891892</v>
      </c>
      <c r="Q53" s="23" t="n">
        <f aca="false">M53+(IF(I53="",J53,I53)-J53)*Simulador!$C$9</f>
        <v>87872.7254054054</v>
      </c>
      <c r="R53" s="23" t="n">
        <f aca="false">N53+(IF(I53="",J53,I53)-J53)*Simulador!$C$9</f>
        <v>110421.808108108</v>
      </c>
      <c r="S53" s="23" t="n">
        <f aca="false">O53+(IF(I53="",J53,I53)-J53)*Simulador!$C$9</f>
        <v>110421.808108108</v>
      </c>
      <c r="T53" s="23" t="n">
        <f aca="false">P53+(IF(I53="",J53,I53)-J53)*Simulador!$C$9</f>
        <v>84318.6491891892</v>
      </c>
      <c r="U53" s="2"/>
    </row>
    <row r="54" customFormat="false" ht="15" hidden="false" customHeight="false" outlineLevel="0" collapsed="false">
      <c r="B54" s="37" t="n">
        <v>45481</v>
      </c>
      <c r="C54" s="9" t="s">
        <v>284</v>
      </c>
      <c r="D54" s="38" t="n">
        <v>0.5</v>
      </c>
      <c r="E54" s="9" t="s">
        <v>231</v>
      </c>
      <c r="F54" s="16" t="n">
        <f aca="false">MATCH(E54,{"Misma locación","0.15 - 5 km","5 - 10 km","10+ km"},0)</f>
        <v>2</v>
      </c>
      <c r="G54" s="16" t="n">
        <f aca="false">MONTH(B54)</f>
        <v>7</v>
      </c>
      <c r="H54" s="16" t="n">
        <f aca="false">COUNTIF($G$8:G54,G54)</f>
        <v>2</v>
      </c>
      <c r="I54" s="38" t="n">
        <v>19.25</v>
      </c>
      <c r="J54" s="39" t="n">
        <f aca="false">INDEX(Simulador!$C$39:$F$39,F54)</f>
        <v>18</v>
      </c>
      <c r="K54" s="40" t="n">
        <f aca="false">IF(I54="","",I54-J54)</f>
        <v>1.25</v>
      </c>
      <c r="L54" s="41" t="n">
        <f aca="false">INDEX(Simulador!$C$51:$F$51,F54)</f>
        <v>99473.8108108108</v>
      </c>
      <c r="M54" s="23" t="n">
        <f aca="false">IF(H54&gt;=Simulador!$C$19,INDEX(Simulador!$C$63:$F$63,F54),INDEX(Simulador!$C$62:$F$62,F54))</f>
        <v>88600.7254054054</v>
      </c>
      <c r="N54" s="23" t="n">
        <f aca="false">INDEX(Simulador!$C$64:$F$64,F54)</f>
        <v>111149.808108108</v>
      </c>
      <c r="O54" s="23" t="n">
        <f aca="false">IF(H54&gt;=Simulador!$C$19,INDEX(Simulador!$C$65:$F$65,F54),INDEX(Simulador!$C$64:$F$64,F54))</f>
        <v>111149.808108108</v>
      </c>
      <c r="P54" s="23" t="n">
        <f aca="false">IF(H54&gt;=Simulador!$C$19,INDEX(Simulador!$C$67:$F$67,F54),INDEX(Simulador!$C$66:$F$66,F54))</f>
        <v>85046.6491891892</v>
      </c>
      <c r="Q54" s="23" t="n">
        <f aca="false">M54+(IF(I54="",J54,I54)-J54)*Simulador!$C$9</f>
        <v>90420.7254054054</v>
      </c>
      <c r="R54" s="23" t="n">
        <f aca="false">N54+(IF(I54="",J54,I54)-J54)*Simulador!$C$9</f>
        <v>112969.808108108</v>
      </c>
      <c r="S54" s="23" t="n">
        <f aca="false">O54+(IF(I54="",J54,I54)-J54)*Simulador!$C$9</f>
        <v>112969.808108108</v>
      </c>
      <c r="T54" s="23" t="n">
        <f aca="false">P54+(IF(I54="",J54,I54)-J54)*Simulador!$C$9</f>
        <v>86866.6491891892</v>
      </c>
      <c r="U54" s="2"/>
    </row>
    <row r="55" customFormat="false" ht="15" hidden="false" customHeight="false" outlineLevel="0" collapsed="false">
      <c r="B55" s="37" t="n">
        <v>45486</v>
      </c>
      <c r="C55" s="9" t="s">
        <v>285</v>
      </c>
      <c r="D55" s="38" t="n">
        <v>0.00640079979517441</v>
      </c>
      <c r="E55" s="9" t="s">
        <v>245</v>
      </c>
      <c r="F55" s="16" t="n">
        <f aca="false">MATCH(E55,{"Misma locación","0.15 - 5 km","5 - 10 km","10+ km"},0)</f>
        <v>1</v>
      </c>
      <c r="G55" s="16" t="n">
        <f aca="false">MONTH(B55)</f>
        <v>7</v>
      </c>
      <c r="H55" s="16" t="n">
        <f aca="false">COUNTIF($G$8:G55,G55)</f>
        <v>3</v>
      </c>
      <c r="I55" s="38" t="n">
        <v>9.25</v>
      </c>
      <c r="J55" s="39" t="n">
        <f aca="false">INDEX(Simulador!$C$39:$F$39,F55)</f>
        <v>12</v>
      </c>
      <c r="K55" s="40" t="n">
        <f aca="false">IF(I55="","",I55-J55)</f>
        <v>-2.75</v>
      </c>
      <c r="L55" s="41" t="n">
        <f aca="false">INDEX(Simulador!$C$51:$F$51,F55)</f>
        <v>76047.4054054054</v>
      </c>
      <c r="M55" s="23" t="n">
        <f aca="false">IF(H55&gt;=Simulador!$C$19,INDEX(Simulador!$C$63:$F$63,F55),INDEX(Simulador!$C$62:$F$62,F55))</f>
        <v>58116.7137837838</v>
      </c>
      <c r="N55" s="23" t="n">
        <f aca="false">INDEX(Simulador!$C$64:$F$64,F55)</f>
        <v>68381.1581081081</v>
      </c>
      <c r="O55" s="23" t="n">
        <f aca="false">IF(H55&gt;=Simulador!$C$19,INDEX(Simulador!$C$65:$F$65,F55),INDEX(Simulador!$C$64:$F$64,F55))</f>
        <v>68381.1581081081</v>
      </c>
      <c r="P55" s="23" t="n">
        <f aca="false">IF(H55&gt;=Simulador!$C$19,INDEX(Simulador!$C$67:$F$67,F55),INDEX(Simulador!$C$66:$F$66,F55))</f>
        <v>58075.5140540541</v>
      </c>
      <c r="Q55" s="23" t="n">
        <f aca="false">M55+(IF(I55="",J55,I55)-J55)*Simulador!$C$9</f>
        <v>54112.7137837838</v>
      </c>
      <c r="R55" s="23" t="n">
        <f aca="false">N55+(IF(I55="",J55,I55)-J55)*Simulador!$C$9</f>
        <v>64377.1581081081</v>
      </c>
      <c r="S55" s="23" t="n">
        <f aca="false">O55+(IF(I55="",J55,I55)-J55)*Simulador!$C$9</f>
        <v>64377.1581081081</v>
      </c>
      <c r="T55" s="23" t="n">
        <f aca="false">P55+(IF(I55="",J55,I55)-J55)*Simulador!$C$9</f>
        <v>54071.5140540541</v>
      </c>
      <c r="U55" s="2"/>
    </row>
    <row r="56" customFormat="false" ht="15" hidden="false" customHeight="false" outlineLevel="0" collapsed="false">
      <c r="B56" s="37" t="n">
        <v>45490</v>
      </c>
      <c r="C56" s="9" t="s">
        <v>286</v>
      </c>
      <c r="D56" s="38" t="n">
        <v>4.5</v>
      </c>
      <c r="E56" s="9" t="s">
        <v>231</v>
      </c>
      <c r="F56" s="16" t="n">
        <f aca="false">MATCH(E56,{"Misma locación","0.15 - 5 km","5 - 10 km","10+ km"},0)</f>
        <v>2</v>
      </c>
      <c r="G56" s="16" t="n">
        <f aca="false">MONTH(B56)</f>
        <v>7</v>
      </c>
      <c r="H56" s="16" t="n">
        <f aca="false">COUNTIF($G$8:G56,G56)</f>
        <v>4</v>
      </c>
      <c r="I56" s="38" t="n">
        <v>15</v>
      </c>
      <c r="J56" s="39" t="n">
        <f aca="false">INDEX(Simulador!$C$39:$F$39,F56)</f>
        <v>18</v>
      </c>
      <c r="K56" s="40" t="n">
        <f aca="false">IF(I56="","",I56-J56)</f>
        <v>-3</v>
      </c>
      <c r="L56" s="41" t="n">
        <f aca="false">INDEX(Simulador!$C$51:$F$51,F56)</f>
        <v>99473.8108108108</v>
      </c>
      <c r="M56" s="23" t="n">
        <f aca="false">IF(H56&gt;=Simulador!$C$19,INDEX(Simulador!$C$63:$F$63,F56),INDEX(Simulador!$C$62:$F$62,F56))</f>
        <v>88600.7254054054</v>
      </c>
      <c r="N56" s="23" t="n">
        <f aca="false">INDEX(Simulador!$C$64:$F$64,F56)</f>
        <v>111149.808108108</v>
      </c>
      <c r="O56" s="23" t="n">
        <f aca="false">IF(H56&gt;=Simulador!$C$19,INDEX(Simulador!$C$65:$F$65,F56),INDEX(Simulador!$C$64:$F$64,F56))</f>
        <v>111149.808108108</v>
      </c>
      <c r="P56" s="23" t="n">
        <f aca="false">IF(H56&gt;=Simulador!$C$19,INDEX(Simulador!$C$67:$F$67,F56),INDEX(Simulador!$C$66:$F$66,F56))</f>
        <v>85046.6491891892</v>
      </c>
      <c r="Q56" s="23" t="n">
        <f aca="false">M56+(IF(I56="",J56,I56)-J56)*Simulador!$C$9</f>
        <v>84232.7254054054</v>
      </c>
      <c r="R56" s="23" t="n">
        <f aca="false">N56+(IF(I56="",J56,I56)-J56)*Simulador!$C$9</f>
        <v>106781.808108108</v>
      </c>
      <c r="S56" s="23" t="n">
        <f aca="false">O56+(IF(I56="",J56,I56)-J56)*Simulador!$C$9</f>
        <v>106781.808108108</v>
      </c>
      <c r="T56" s="23" t="n">
        <f aca="false">P56+(IF(I56="",J56,I56)-J56)*Simulador!$C$9</f>
        <v>80678.6491891892</v>
      </c>
      <c r="U56" s="2"/>
    </row>
    <row r="57" customFormat="false" ht="15" hidden="false" customHeight="false" outlineLevel="0" collapsed="false">
      <c r="B57" s="37" t="n">
        <v>45493</v>
      </c>
      <c r="C57" s="9" t="s">
        <v>287</v>
      </c>
      <c r="D57" s="38" t="n">
        <v>11.4</v>
      </c>
      <c r="E57" s="9" t="s">
        <v>228</v>
      </c>
      <c r="F57" s="16" t="n">
        <f aca="false">MATCH(E57,{"Misma locación","0.15 - 5 km","5 - 10 km","10+ km"},0)</f>
        <v>4</v>
      </c>
      <c r="G57" s="16" t="n">
        <f aca="false">MONTH(B57)</f>
        <v>7</v>
      </c>
      <c r="H57" s="16" t="n">
        <f aca="false">COUNTIF($G$8:G57,G57)</f>
        <v>5</v>
      </c>
      <c r="I57" s="38" t="n">
        <v>17.75</v>
      </c>
      <c r="J57" s="39" t="n">
        <f aca="false">INDEX(Simulador!$C$39:$F$39,F57)</f>
        <v>28</v>
      </c>
      <c r="K57" s="40" t="n">
        <f aca="false">IF(I57="","",I57-J57)</f>
        <v>-10.25</v>
      </c>
      <c r="L57" s="41" t="n">
        <f aca="false">INDEX(Simulador!$C$51:$F$51,F57)</f>
        <v>110984.810810811</v>
      </c>
      <c r="M57" s="23" t="n">
        <f aca="false">IF(H57&gt;=Simulador!$C$19,INDEX(Simulador!$C$63:$F$63,F57),INDEX(Simulador!$C$62:$F$62,F57))</f>
        <v>110082.323783784</v>
      </c>
      <c r="N57" s="23" t="n">
        <f aca="false">INDEX(Simulador!$C$64:$F$64,F57)</f>
        <v>155579.061621622</v>
      </c>
      <c r="O57" s="23" t="n">
        <f aca="false">IF(H57&gt;=Simulador!$C$19,INDEX(Simulador!$C$65:$F$65,F57),INDEX(Simulador!$C$64:$F$64,F57))</f>
        <v>155579.061621622</v>
      </c>
      <c r="P57" s="23" t="n">
        <f aca="false">IF(H57&gt;=Simulador!$C$19,INDEX(Simulador!$C$67:$F$67,F57),INDEX(Simulador!$C$66:$F$66,F57))</f>
        <v>111865.297837838</v>
      </c>
      <c r="Q57" s="23" t="n">
        <f aca="false">M57+(IF(I57="",J57,I57)-J57)*Simulador!$C$9</f>
        <v>95158.3237837838</v>
      </c>
      <c r="R57" s="23" t="n">
        <f aca="false">N57+(IF(I57="",J57,I57)-J57)*Simulador!$C$9</f>
        <v>140655.061621622</v>
      </c>
      <c r="S57" s="23" t="n">
        <f aca="false">O57+(IF(I57="",J57,I57)-J57)*Simulador!$C$9</f>
        <v>140655.061621622</v>
      </c>
      <c r="T57" s="23" t="n">
        <f aca="false">P57+(IF(I57="",J57,I57)-J57)*Simulador!$C$9</f>
        <v>96941.2978378379</v>
      </c>
      <c r="U57" s="2"/>
    </row>
    <row r="58" customFormat="false" ht="15" hidden="false" customHeight="false" outlineLevel="0" collapsed="false">
      <c r="B58" s="37" t="n">
        <v>45496</v>
      </c>
      <c r="C58" s="9" t="s">
        <v>288</v>
      </c>
      <c r="D58" s="38" t="n">
        <v>0.00640079979517441</v>
      </c>
      <c r="E58" s="9" t="s">
        <v>245</v>
      </c>
      <c r="F58" s="16" t="n">
        <f aca="false">MATCH(E58,{"Misma locación","0.15 - 5 km","5 - 10 km","10+ km"},0)</f>
        <v>1</v>
      </c>
      <c r="G58" s="16" t="n">
        <f aca="false">MONTH(B58)</f>
        <v>7</v>
      </c>
      <c r="H58" s="16" t="n">
        <f aca="false">COUNTIF($G$8:G58,G58)</f>
        <v>6</v>
      </c>
      <c r="I58" s="38" t="n">
        <v>7.75</v>
      </c>
      <c r="J58" s="39" t="n">
        <f aca="false">INDEX(Simulador!$C$39:$F$39,F58)</f>
        <v>12</v>
      </c>
      <c r="K58" s="40" t="n">
        <f aca="false">IF(I58="","",I58-J58)</f>
        <v>-4.25</v>
      </c>
      <c r="L58" s="41" t="n">
        <f aca="false">INDEX(Simulador!$C$51:$F$51,F58)</f>
        <v>76047.4054054054</v>
      </c>
      <c r="M58" s="23" t="n">
        <f aca="false">IF(H58&gt;=Simulador!$C$19,INDEX(Simulador!$C$63:$F$63,F58),INDEX(Simulador!$C$62:$F$62,F58))</f>
        <v>39145.7082432432</v>
      </c>
      <c r="N58" s="23" t="n">
        <f aca="false">INDEX(Simulador!$C$64:$F$64,F58)</f>
        <v>68381.1581081081</v>
      </c>
      <c r="O58" s="23" t="n">
        <f aca="false">IF(H58&gt;=Simulador!$C$19,INDEX(Simulador!$C$65:$F$65,F58),INDEX(Simulador!$C$64:$F$64,F58))</f>
        <v>44277.9304054054</v>
      </c>
      <c r="P58" s="23" t="n">
        <f aca="false">IF(H58&gt;=Simulador!$C$19,INDEX(Simulador!$C$67:$F$67,F58),INDEX(Simulador!$C$66:$F$66,F58))</f>
        <v>53466.5945945946</v>
      </c>
      <c r="Q58" s="23" t="n">
        <f aca="false">M58+(IF(I58="",J58,I58)-J58)*Simulador!$C$9</f>
        <v>32957.7082432432</v>
      </c>
      <c r="R58" s="23" t="n">
        <f aca="false">N58+(IF(I58="",J58,I58)-J58)*Simulador!$C$9</f>
        <v>62193.1581081081</v>
      </c>
      <c r="S58" s="23" t="n">
        <f aca="false">O58+(IF(I58="",J58,I58)-J58)*Simulador!$C$9</f>
        <v>38089.9304054054</v>
      </c>
      <c r="T58" s="23" t="n">
        <f aca="false">P58+(IF(I58="",J58,I58)-J58)*Simulador!$C$9</f>
        <v>47278.5945945946</v>
      </c>
      <c r="U58" s="2"/>
    </row>
    <row r="59" customFormat="false" ht="15" hidden="false" customHeight="false" outlineLevel="0" collapsed="false">
      <c r="B59" s="37" t="n">
        <v>45499</v>
      </c>
      <c r="C59" s="9" t="s">
        <v>289</v>
      </c>
      <c r="D59" s="38" t="n">
        <v>12.75</v>
      </c>
      <c r="E59" s="9" t="s">
        <v>228</v>
      </c>
      <c r="F59" s="16" t="n">
        <f aca="false">MATCH(E59,{"Misma locación","0.15 - 5 km","5 - 10 km","10+ km"},0)</f>
        <v>4</v>
      </c>
      <c r="G59" s="16" t="n">
        <f aca="false">MONTH(B59)</f>
        <v>7</v>
      </c>
      <c r="H59" s="16" t="n">
        <f aca="false">COUNTIF($G$8:G59,G59)</f>
        <v>7</v>
      </c>
      <c r="I59" s="38" t="n">
        <v>4.6</v>
      </c>
      <c r="J59" s="39" t="n">
        <f aca="false">INDEX(Simulador!$C$39:$F$39,F59)</f>
        <v>28</v>
      </c>
      <c r="K59" s="40" t="n">
        <f aca="false">IF(I59="","",I59-J59)</f>
        <v>-23.4</v>
      </c>
      <c r="L59" s="41" t="n">
        <f aca="false">INDEX(Simulador!$C$51:$F$51,F59)</f>
        <v>110984.810810811</v>
      </c>
      <c r="M59" s="23" t="n">
        <f aca="false">IF(H59&gt;=Simulador!$C$19,INDEX(Simulador!$C$63:$F$63,F59),INDEX(Simulador!$C$62:$F$62,F59))</f>
        <v>76776.5132432433</v>
      </c>
      <c r="N59" s="23" t="n">
        <f aca="false">INDEX(Simulador!$C$64:$F$64,F59)</f>
        <v>155579.061621622</v>
      </c>
      <c r="O59" s="23" t="n">
        <f aca="false">IF(H59&gt;=Simulador!$C$19,INDEX(Simulador!$C$65:$F$65,F59),INDEX(Simulador!$C$64:$F$64,F59))</f>
        <v>99524.8821621622</v>
      </c>
      <c r="P59" s="23" t="n">
        <f aca="false">IF(H59&gt;=Simulador!$C$19,INDEX(Simulador!$C$67:$F$67,F59),INDEX(Simulador!$C$66:$F$66,F59))</f>
        <v>88620.7027027027</v>
      </c>
      <c r="Q59" s="23" t="n">
        <f aca="false">M59+(IF(I59="",J59,I59)-J59)*Simulador!$C$9</f>
        <v>42706.1132432433</v>
      </c>
      <c r="R59" s="23" t="n">
        <f aca="false">N59+(IF(I59="",J59,I59)-J59)*Simulador!$C$9</f>
        <v>121508.661621622</v>
      </c>
      <c r="S59" s="23" t="n">
        <f aca="false">O59+(IF(I59="",J59,I59)-J59)*Simulador!$C$9</f>
        <v>65454.4821621622</v>
      </c>
      <c r="T59" s="23" t="n">
        <f aca="false">P59+(IF(I59="",J59,I59)-J59)*Simulador!$C$9</f>
        <v>54550.3027027027</v>
      </c>
      <c r="U59" s="2"/>
    </row>
    <row r="60" customFormat="false" ht="15" hidden="false" customHeight="false" outlineLevel="0" collapsed="false">
      <c r="B60" s="37" t="n">
        <v>45524</v>
      </c>
      <c r="C60" s="9" t="s">
        <v>290</v>
      </c>
      <c r="D60" s="38" t="n">
        <v>12.6</v>
      </c>
      <c r="E60" s="9" t="s">
        <v>228</v>
      </c>
      <c r="F60" s="16" t="n">
        <f aca="false">MATCH(E60,{"Misma locación","0.15 - 5 km","5 - 10 km","10+ km"},0)</f>
        <v>4</v>
      </c>
      <c r="G60" s="16" t="n">
        <f aca="false">MONTH(B60)</f>
        <v>8</v>
      </c>
      <c r="H60" s="16" t="n">
        <f aca="false">COUNTIF($G$8:G60,G60)</f>
        <v>1</v>
      </c>
      <c r="I60" s="38" t="n">
        <v>24</v>
      </c>
      <c r="J60" s="39" t="n">
        <f aca="false">INDEX(Simulador!$C$39:$F$39,F60)</f>
        <v>28</v>
      </c>
      <c r="K60" s="40" t="n">
        <f aca="false">IF(I60="","",I60-J60)</f>
        <v>-4</v>
      </c>
      <c r="L60" s="41" t="n">
        <f aca="false">INDEX(Simulador!$C$51:$F$51,F60)</f>
        <v>110984.810810811</v>
      </c>
      <c r="M60" s="23" t="n">
        <f aca="false">IF(H60&gt;=Simulador!$C$19,INDEX(Simulador!$C$63:$F$63,F60),INDEX(Simulador!$C$62:$F$62,F60))</f>
        <v>110082.323783784</v>
      </c>
      <c r="N60" s="23" t="n">
        <f aca="false">INDEX(Simulador!$C$64:$F$64,F60)</f>
        <v>155579.061621622</v>
      </c>
      <c r="O60" s="23" t="n">
        <f aca="false">IF(H60&gt;=Simulador!$C$19,INDEX(Simulador!$C$65:$F$65,F60),INDEX(Simulador!$C$64:$F$64,F60))</f>
        <v>155579.061621622</v>
      </c>
      <c r="P60" s="23" t="n">
        <f aca="false">IF(H60&gt;=Simulador!$C$19,INDEX(Simulador!$C$67:$F$67,F60),INDEX(Simulador!$C$66:$F$66,F60))</f>
        <v>111865.297837838</v>
      </c>
      <c r="Q60" s="23" t="n">
        <f aca="false">M60+(IF(I60="",J60,I60)-J60)*Simulador!$C$9</f>
        <v>104258.323783784</v>
      </c>
      <c r="R60" s="23" t="n">
        <f aca="false">N60+(IF(I60="",J60,I60)-J60)*Simulador!$C$9</f>
        <v>149755.061621622</v>
      </c>
      <c r="S60" s="23" t="n">
        <f aca="false">O60+(IF(I60="",J60,I60)-J60)*Simulador!$C$9</f>
        <v>149755.061621622</v>
      </c>
      <c r="T60" s="23" t="n">
        <f aca="false">P60+(IF(I60="",J60,I60)-J60)*Simulador!$C$9</f>
        <v>106041.297837838</v>
      </c>
      <c r="U60" s="2"/>
    </row>
    <row r="61" customFormat="false" ht="15" hidden="false" customHeight="false" outlineLevel="0" collapsed="false">
      <c r="B61" s="37" t="n">
        <v>45528</v>
      </c>
      <c r="C61" s="9" t="s">
        <v>291</v>
      </c>
      <c r="D61" s="38" t="n">
        <v>0.039623998732032</v>
      </c>
      <c r="E61" s="9" t="s">
        <v>245</v>
      </c>
      <c r="F61" s="16" t="n">
        <f aca="false">MATCH(E61,{"Misma locación","0.15 - 5 km","5 - 10 km","10+ km"},0)</f>
        <v>1</v>
      </c>
      <c r="G61" s="16" t="n">
        <f aca="false">MONTH(B61)</f>
        <v>8</v>
      </c>
      <c r="H61" s="16" t="n">
        <f aca="false">COUNTIF($G$8:G61,G61)</f>
        <v>2</v>
      </c>
      <c r="I61" s="38" t="n">
        <v>14.25</v>
      </c>
      <c r="J61" s="39" t="n">
        <f aca="false">INDEX(Simulador!$C$39:$F$39,F61)</f>
        <v>12</v>
      </c>
      <c r="K61" s="40" t="n">
        <f aca="false">IF(I61="","",I61-J61)</f>
        <v>2.25</v>
      </c>
      <c r="L61" s="41" t="n">
        <f aca="false">INDEX(Simulador!$C$51:$F$51,F61)</f>
        <v>76047.4054054054</v>
      </c>
      <c r="M61" s="23" t="n">
        <f aca="false">IF(H61&gt;=Simulador!$C$19,INDEX(Simulador!$C$63:$F$63,F61),INDEX(Simulador!$C$62:$F$62,F61))</f>
        <v>58116.7137837838</v>
      </c>
      <c r="N61" s="23" t="n">
        <f aca="false">INDEX(Simulador!$C$64:$F$64,F61)</f>
        <v>68381.1581081081</v>
      </c>
      <c r="O61" s="23" t="n">
        <f aca="false">IF(H61&gt;=Simulador!$C$19,INDEX(Simulador!$C$65:$F$65,F61),INDEX(Simulador!$C$64:$F$64,F61))</f>
        <v>68381.1581081081</v>
      </c>
      <c r="P61" s="23" t="n">
        <f aca="false">IF(H61&gt;=Simulador!$C$19,INDEX(Simulador!$C$67:$F$67,F61),INDEX(Simulador!$C$66:$F$66,F61))</f>
        <v>58075.5140540541</v>
      </c>
      <c r="Q61" s="23" t="n">
        <f aca="false">M61+(IF(I61="",J61,I61)-J61)*Simulador!$C$9</f>
        <v>61392.7137837838</v>
      </c>
      <c r="R61" s="23" t="n">
        <f aca="false">N61+(IF(I61="",J61,I61)-J61)*Simulador!$C$9</f>
        <v>71657.1581081081</v>
      </c>
      <c r="S61" s="23" t="n">
        <f aca="false">O61+(IF(I61="",J61,I61)-J61)*Simulador!$C$9</f>
        <v>71657.1581081081</v>
      </c>
      <c r="T61" s="23" t="n">
        <f aca="false">P61+(IF(I61="",J61,I61)-J61)*Simulador!$C$9</f>
        <v>61351.5140540541</v>
      </c>
      <c r="U61" s="2"/>
    </row>
    <row r="62" customFormat="false" ht="15" hidden="false" customHeight="false" outlineLevel="0" collapsed="false">
      <c r="B62" s="37" t="n">
        <v>45535</v>
      </c>
      <c r="C62" s="9" t="s">
        <v>292</v>
      </c>
      <c r="D62" s="38" t="n">
        <v>9.1</v>
      </c>
      <c r="E62" s="9" t="s">
        <v>243</v>
      </c>
      <c r="F62" s="16" t="n">
        <f aca="false">MATCH(E62,{"Misma locación","0.15 - 5 km","5 - 10 km","10+ km"},0)</f>
        <v>3</v>
      </c>
      <c r="G62" s="16" t="n">
        <f aca="false">MONTH(B62)</f>
        <v>8</v>
      </c>
      <c r="H62" s="16" t="n">
        <f aca="false">COUNTIF($G$8:G62,G62)</f>
        <v>3</v>
      </c>
      <c r="I62" s="38" t="n">
        <v>15.75</v>
      </c>
      <c r="J62" s="39" t="n">
        <f aca="false">INDEX(Simulador!$C$39:$F$39,F62)</f>
        <v>24</v>
      </c>
      <c r="K62" s="40" t="n">
        <f aca="false">IF(I62="","",I62-J62)</f>
        <v>-8.25</v>
      </c>
      <c r="L62" s="41" t="n">
        <f aca="false">INDEX(Simulador!$C$51:$F$51,F62)</f>
        <v>96184.8108108108</v>
      </c>
      <c r="M62" s="23" t="n">
        <f aca="false">IF(H62&gt;=Simulador!$C$19,INDEX(Simulador!$C$63:$F$63,F62),INDEX(Simulador!$C$62:$F$62,F62))</f>
        <v>102096.161621622</v>
      </c>
      <c r="N62" s="23" t="n">
        <f aca="false">INDEX(Simulador!$C$64:$F$64,F62)</f>
        <v>138633.155135135</v>
      </c>
      <c r="O62" s="23" t="n">
        <f aca="false">IF(H62&gt;=Simulador!$C$19,INDEX(Simulador!$C$65:$F$65,F62),INDEX(Simulador!$C$64:$F$64,F62))</f>
        <v>138633.155135135</v>
      </c>
      <c r="P62" s="23" t="n">
        <f aca="false">IF(H62&gt;=Simulador!$C$19,INDEX(Simulador!$C$67:$F$67,F62),INDEX(Simulador!$C$66:$F$66,F62))</f>
        <v>104944.811351351</v>
      </c>
      <c r="Q62" s="23" t="n">
        <f aca="false">M62+(IF(I62="",J62,I62)-J62)*Simulador!$C$9</f>
        <v>90084.1616216216</v>
      </c>
      <c r="R62" s="23" t="n">
        <f aca="false">N62+(IF(I62="",J62,I62)-J62)*Simulador!$C$9</f>
        <v>126621.155135135</v>
      </c>
      <c r="S62" s="23" t="n">
        <f aca="false">O62+(IF(I62="",J62,I62)-J62)*Simulador!$C$9</f>
        <v>126621.155135135</v>
      </c>
      <c r="T62" s="23" t="n">
        <f aca="false">P62+(IF(I62="",J62,I62)-J62)*Simulador!$C$9</f>
        <v>92932.8113513514</v>
      </c>
      <c r="U62" s="2"/>
    </row>
    <row r="63" customFormat="false" ht="15" hidden="false" customHeight="false" outlineLevel="0" collapsed="false">
      <c r="B63" s="37" t="n">
        <v>45539</v>
      </c>
      <c r="C63" s="9" t="s">
        <v>293</v>
      </c>
      <c r="D63" s="38" t="n">
        <v>5.5</v>
      </c>
      <c r="E63" s="9" t="s">
        <v>243</v>
      </c>
      <c r="F63" s="16" t="n">
        <f aca="false">MATCH(E63,{"Misma locación","0.15 - 5 km","5 - 10 km","10+ km"},0)</f>
        <v>3</v>
      </c>
      <c r="G63" s="16" t="n">
        <f aca="false">MONTH(B63)</f>
        <v>9</v>
      </c>
      <c r="H63" s="16" t="n">
        <f aca="false">COUNTIF($G$8:G63,G63)</f>
        <v>1</v>
      </c>
      <c r="I63" s="38" t="n">
        <v>20</v>
      </c>
      <c r="J63" s="39" t="n">
        <f aca="false">INDEX(Simulador!$C$39:$F$39,F63)</f>
        <v>24</v>
      </c>
      <c r="K63" s="40" t="n">
        <f aca="false">IF(I63="","",I63-J63)</f>
        <v>-4</v>
      </c>
      <c r="L63" s="41" t="n">
        <f aca="false">INDEX(Simulador!$C$51:$F$51,F63)</f>
        <v>96184.8108108108</v>
      </c>
      <c r="M63" s="23" t="n">
        <f aca="false">IF(H63&gt;=Simulador!$C$19,INDEX(Simulador!$C$63:$F$63,F63),INDEX(Simulador!$C$62:$F$62,F63))</f>
        <v>102096.161621622</v>
      </c>
      <c r="N63" s="23" t="n">
        <f aca="false">INDEX(Simulador!$C$64:$F$64,F63)</f>
        <v>138633.155135135</v>
      </c>
      <c r="O63" s="23" t="n">
        <f aca="false">IF(H63&gt;=Simulador!$C$19,INDEX(Simulador!$C$65:$F$65,F63),INDEX(Simulador!$C$64:$F$64,F63))</f>
        <v>138633.155135135</v>
      </c>
      <c r="P63" s="23" t="n">
        <f aca="false">IF(H63&gt;=Simulador!$C$19,INDEX(Simulador!$C$67:$F$67,F63),INDEX(Simulador!$C$66:$F$66,F63))</f>
        <v>104944.811351351</v>
      </c>
      <c r="Q63" s="23" t="n">
        <f aca="false">M63+(IF(I63="",J63,I63)-J63)*Simulador!$C$9</f>
        <v>96272.1616216216</v>
      </c>
      <c r="R63" s="23" t="n">
        <f aca="false">N63+(IF(I63="",J63,I63)-J63)*Simulador!$C$9</f>
        <v>132809.155135135</v>
      </c>
      <c r="S63" s="23" t="n">
        <f aca="false">O63+(IF(I63="",J63,I63)-J63)*Simulador!$C$9</f>
        <v>132809.155135135</v>
      </c>
      <c r="T63" s="23" t="n">
        <f aca="false">P63+(IF(I63="",J63,I63)-J63)*Simulador!$C$9</f>
        <v>99120.8113513514</v>
      </c>
      <c r="U63" s="2"/>
    </row>
    <row r="64" customFormat="false" ht="15" hidden="false" customHeight="false" outlineLevel="0" collapsed="false">
      <c r="B64" s="37" t="n">
        <v>45544</v>
      </c>
      <c r="C64" s="9" t="s">
        <v>294</v>
      </c>
      <c r="D64" s="38" t="n">
        <v>7.7</v>
      </c>
      <c r="E64" s="9" t="s">
        <v>243</v>
      </c>
      <c r="F64" s="16" t="n">
        <f aca="false">MATCH(E64,{"Misma locación","0.15 - 5 km","5 - 10 km","10+ km"},0)</f>
        <v>3</v>
      </c>
      <c r="G64" s="16" t="n">
        <f aca="false">MONTH(B64)</f>
        <v>9</v>
      </c>
      <c r="H64" s="16" t="n">
        <f aca="false">COUNTIF($G$8:G64,G64)</f>
        <v>2</v>
      </c>
      <c r="I64" s="38" t="n">
        <v>15.25</v>
      </c>
      <c r="J64" s="39" t="n">
        <f aca="false">INDEX(Simulador!$C$39:$F$39,F64)</f>
        <v>24</v>
      </c>
      <c r="K64" s="40" t="n">
        <f aca="false">IF(I64="","",I64-J64)</f>
        <v>-8.75</v>
      </c>
      <c r="L64" s="41" t="n">
        <f aca="false">INDEX(Simulador!$C$51:$F$51,F64)</f>
        <v>96184.8108108108</v>
      </c>
      <c r="M64" s="23" t="n">
        <f aca="false">IF(H64&gt;=Simulador!$C$19,INDEX(Simulador!$C$63:$F$63,F64),INDEX(Simulador!$C$62:$F$62,F64))</f>
        <v>102096.161621622</v>
      </c>
      <c r="N64" s="23" t="n">
        <f aca="false">INDEX(Simulador!$C$64:$F$64,F64)</f>
        <v>138633.155135135</v>
      </c>
      <c r="O64" s="23" t="n">
        <f aca="false">IF(H64&gt;=Simulador!$C$19,INDEX(Simulador!$C$65:$F$65,F64),INDEX(Simulador!$C$64:$F$64,F64))</f>
        <v>138633.155135135</v>
      </c>
      <c r="P64" s="23" t="n">
        <f aca="false">IF(H64&gt;=Simulador!$C$19,INDEX(Simulador!$C$67:$F$67,F64),INDEX(Simulador!$C$66:$F$66,F64))</f>
        <v>104944.811351351</v>
      </c>
      <c r="Q64" s="23" t="n">
        <f aca="false">M64+(IF(I64="",J64,I64)-J64)*Simulador!$C$9</f>
        <v>89356.1616216216</v>
      </c>
      <c r="R64" s="23" t="n">
        <f aca="false">N64+(IF(I64="",J64,I64)-J64)*Simulador!$C$9</f>
        <v>125893.155135135</v>
      </c>
      <c r="S64" s="23" t="n">
        <f aca="false">O64+(IF(I64="",J64,I64)-J64)*Simulador!$C$9</f>
        <v>125893.155135135</v>
      </c>
      <c r="T64" s="23" t="n">
        <f aca="false">P64+(IF(I64="",J64,I64)-J64)*Simulador!$C$9</f>
        <v>92204.8113513514</v>
      </c>
      <c r="U64" s="2"/>
    </row>
    <row r="65" customFormat="false" ht="15" hidden="false" customHeight="false" outlineLevel="0" collapsed="false">
      <c r="B65" s="37" t="n">
        <v>45545</v>
      </c>
      <c r="C65" s="9" t="s">
        <v>295</v>
      </c>
      <c r="D65" s="38" t="n">
        <v>0.0448055985662208</v>
      </c>
      <c r="E65" s="9" t="s">
        <v>245</v>
      </c>
      <c r="F65" s="16" t="n">
        <f aca="false">MATCH(E65,{"Misma locación","0.15 - 5 km","5 - 10 km","10+ km"},0)</f>
        <v>1</v>
      </c>
      <c r="G65" s="16" t="n">
        <f aca="false">MONTH(B65)</f>
        <v>9</v>
      </c>
      <c r="H65" s="16" t="n">
        <f aca="false">COUNTIF($G$8:G65,G65)</f>
        <v>3</v>
      </c>
      <c r="I65" s="38" t="n">
        <v>16</v>
      </c>
      <c r="J65" s="39" t="n">
        <f aca="false">INDEX(Simulador!$C$39:$F$39,F65)</f>
        <v>12</v>
      </c>
      <c r="K65" s="40" t="n">
        <f aca="false">IF(I65="","",I65-J65)</f>
        <v>4</v>
      </c>
      <c r="L65" s="41" t="n">
        <f aca="false">INDEX(Simulador!$C$51:$F$51,F65)</f>
        <v>76047.4054054054</v>
      </c>
      <c r="M65" s="23" t="n">
        <f aca="false">IF(H65&gt;=Simulador!$C$19,INDEX(Simulador!$C$63:$F$63,F65),INDEX(Simulador!$C$62:$F$62,F65))</f>
        <v>58116.7137837838</v>
      </c>
      <c r="N65" s="23" t="n">
        <f aca="false">INDEX(Simulador!$C$64:$F$64,F65)</f>
        <v>68381.1581081081</v>
      </c>
      <c r="O65" s="23" t="n">
        <f aca="false">IF(H65&gt;=Simulador!$C$19,INDEX(Simulador!$C$65:$F$65,F65),INDEX(Simulador!$C$64:$F$64,F65))</f>
        <v>68381.1581081081</v>
      </c>
      <c r="P65" s="23" t="n">
        <f aca="false">IF(H65&gt;=Simulador!$C$19,INDEX(Simulador!$C$67:$F$67,F65),INDEX(Simulador!$C$66:$F$66,F65))</f>
        <v>58075.5140540541</v>
      </c>
      <c r="Q65" s="23" t="n">
        <f aca="false">M65+(IF(I65="",J65,I65)-J65)*Simulador!$C$9</f>
        <v>63940.7137837838</v>
      </c>
      <c r="R65" s="23" t="n">
        <f aca="false">N65+(IF(I65="",J65,I65)-J65)*Simulador!$C$9</f>
        <v>74205.1581081081</v>
      </c>
      <c r="S65" s="23" t="n">
        <f aca="false">O65+(IF(I65="",J65,I65)-J65)*Simulador!$C$9</f>
        <v>74205.1581081081</v>
      </c>
      <c r="T65" s="23" t="n">
        <f aca="false">P65+(IF(I65="",J65,I65)-J65)*Simulador!$C$9</f>
        <v>63899.5140540541</v>
      </c>
      <c r="U65" s="2"/>
    </row>
    <row r="66" customFormat="false" ht="15" hidden="false" customHeight="false" outlineLevel="0" collapsed="false">
      <c r="B66" s="37" t="n">
        <v>45549</v>
      </c>
      <c r="C66" s="9" t="s">
        <v>296</v>
      </c>
      <c r="D66" s="38" t="n">
        <v>0.00640079979517441</v>
      </c>
      <c r="E66" s="9" t="s">
        <v>245</v>
      </c>
      <c r="F66" s="16" t="n">
        <f aca="false">MATCH(E66,{"Misma locación","0.15 - 5 km","5 - 10 km","10+ km"},0)</f>
        <v>1</v>
      </c>
      <c r="G66" s="16" t="n">
        <f aca="false">MONTH(B66)</f>
        <v>9</v>
      </c>
      <c r="H66" s="16" t="n">
        <f aca="false">COUNTIF($G$8:G66,G66)</f>
        <v>4</v>
      </c>
      <c r="I66" s="38" t="n">
        <v>10</v>
      </c>
      <c r="J66" s="39" t="n">
        <f aca="false">INDEX(Simulador!$C$39:$F$39,F66)</f>
        <v>12</v>
      </c>
      <c r="K66" s="40" t="n">
        <f aca="false">IF(I66="","",I66-J66)</f>
        <v>-2</v>
      </c>
      <c r="L66" s="41" t="n">
        <f aca="false">INDEX(Simulador!$C$51:$F$51,F66)</f>
        <v>76047.4054054054</v>
      </c>
      <c r="M66" s="23" t="n">
        <f aca="false">IF(H66&gt;=Simulador!$C$19,INDEX(Simulador!$C$63:$F$63,F66),INDEX(Simulador!$C$62:$F$62,F66))</f>
        <v>58116.7137837838</v>
      </c>
      <c r="N66" s="23" t="n">
        <f aca="false">INDEX(Simulador!$C$64:$F$64,F66)</f>
        <v>68381.1581081081</v>
      </c>
      <c r="O66" s="23" t="n">
        <f aca="false">IF(H66&gt;=Simulador!$C$19,INDEX(Simulador!$C$65:$F$65,F66),INDEX(Simulador!$C$64:$F$64,F66))</f>
        <v>68381.1581081081</v>
      </c>
      <c r="P66" s="23" t="n">
        <f aca="false">IF(H66&gt;=Simulador!$C$19,INDEX(Simulador!$C$67:$F$67,F66),INDEX(Simulador!$C$66:$F$66,F66))</f>
        <v>58075.5140540541</v>
      </c>
      <c r="Q66" s="23" t="n">
        <f aca="false">M66+(IF(I66="",J66,I66)-J66)*Simulador!$C$9</f>
        <v>55204.7137837838</v>
      </c>
      <c r="R66" s="23" t="n">
        <f aca="false">N66+(IF(I66="",J66,I66)-J66)*Simulador!$C$9</f>
        <v>65469.1581081081</v>
      </c>
      <c r="S66" s="23" t="n">
        <f aca="false">O66+(IF(I66="",J66,I66)-J66)*Simulador!$C$9</f>
        <v>65469.1581081081</v>
      </c>
      <c r="T66" s="23" t="n">
        <f aca="false">P66+(IF(I66="",J66,I66)-J66)*Simulador!$C$9</f>
        <v>55163.5140540541</v>
      </c>
      <c r="U66" s="2"/>
    </row>
    <row r="67" customFormat="false" ht="15" hidden="false" customHeight="false" outlineLevel="0" collapsed="false">
      <c r="B67" s="37" t="n">
        <v>45553</v>
      </c>
      <c r="C67" s="9" t="s">
        <v>297</v>
      </c>
      <c r="D67" s="38" t="n">
        <v>3.2</v>
      </c>
      <c r="E67" s="9" t="s">
        <v>231</v>
      </c>
      <c r="F67" s="16" t="n">
        <f aca="false">MATCH(E67,{"Misma locación","0.15 - 5 km","5 - 10 km","10+ km"},0)</f>
        <v>2</v>
      </c>
      <c r="G67" s="16" t="n">
        <f aca="false">MONTH(B67)</f>
        <v>9</v>
      </c>
      <c r="H67" s="16" t="n">
        <f aca="false">COUNTIF($G$8:G67,G67)</f>
        <v>5</v>
      </c>
      <c r="I67" s="38" t="n">
        <v>21.25</v>
      </c>
      <c r="J67" s="39" t="n">
        <f aca="false">INDEX(Simulador!$C$39:$F$39,F67)</f>
        <v>18</v>
      </c>
      <c r="K67" s="40" t="n">
        <f aca="false">IF(I67="","",I67-J67)</f>
        <v>3.25</v>
      </c>
      <c r="L67" s="41" t="n">
        <f aca="false">INDEX(Simulador!$C$51:$F$51,F67)</f>
        <v>99473.8108108108</v>
      </c>
      <c r="M67" s="23" t="n">
        <f aca="false">IF(H67&gt;=Simulador!$C$19,INDEX(Simulador!$C$63:$F$63,F67),INDEX(Simulador!$C$62:$F$62,F67))</f>
        <v>88600.7254054054</v>
      </c>
      <c r="N67" s="23" t="n">
        <f aca="false">INDEX(Simulador!$C$64:$F$64,F67)</f>
        <v>111149.808108108</v>
      </c>
      <c r="O67" s="23" t="n">
        <f aca="false">IF(H67&gt;=Simulador!$C$19,INDEX(Simulador!$C$65:$F$65,F67),INDEX(Simulador!$C$64:$F$64,F67))</f>
        <v>111149.808108108</v>
      </c>
      <c r="P67" s="23" t="n">
        <f aca="false">IF(H67&gt;=Simulador!$C$19,INDEX(Simulador!$C$67:$F$67,F67),INDEX(Simulador!$C$66:$F$66,F67))</f>
        <v>85046.6491891892</v>
      </c>
      <c r="Q67" s="23" t="n">
        <f aca="false">M67+(IF(I67="",J67,I67)-J67)*Simulador!$C$9</f>
        <v>93332.7254054054</v>
      </c>
      <c r="R67" s="23" t="n">
        <f aca="false">N67+(IF(I67="",J67,I67)-J67)*Simulador!$C$9</f>
        <v>115881.808108108</v>
      </c>
      <c r="S67" s="23" t="n">
        <f aca="false">O67+(IF(I67="",J67,I67)-J67)*Simulador!$C$9</f>
        <v>115881.808108108</v>
      </c>
      <c r="T67" s="23" t="n">
        <f aca="false">P67+(IF(I67="",J67,I67)-J67)*Simulador!$C$9</f>
        <v>89778.6491891892</v>
      </c>
      <c r="U67" s="2"/>
    </row>
    <row r="68" customFormat="false" ht="15" hidden="false" customHeight="false" outlineLevel="0" collapsed="false">
      <c r="B68" s="37" t="n">
        <v>45560</v>
      </c>
      <c r="C68" s="9" t="s">
        <v>298</v>
      </c>
      <c r="D68" s="38" t="n">
        <v>1.2</v>
      </c>
      <c r="E68" s="9" t="s">
        <v>231</v>
      </c>
      <c r="F68" s="16" t="n">
        <f aca="false">MATCH(E68,{"Misma locación","0.15 - 5 km","5 - 10 km","10+ km"},0)</f>
        <v>2</v>
      </c>
      <c r="G68" s="16" t="n">
        <f aca="false">MONTH(B68)</f>
        <v>9</v>
      </c>
      <c r="H68" s="16" t="n">
        <f aca="false">COUNTIF($G$8:G68,G68)</f>
        <v>6</v>
      </c>
      <c r="I68" s="38" t="n">
        <v>19.5</v>
      </c>
      <c r="J68" s="39" t="n">
        <f aca="false">INDEX(Simulador!$C$39:$F$39,F68)</f>
        <v>18</v>
      </c>
      <c r="K68" s="40" t="n">
        <f aca="false">IF(I68="","",I68-J68)</f>
        <v>1.5</v>
      </c>
      <c r="L68" s="41" t="n">
        <f aca="false">INDEX(Simulador!$C$51:$F$51,F68)</f>
        <v>99473.8108108108</v>
      </c>
      <c r="M68" s="23" t="n">
        <f aca="false">IF(H68&gt;=Simulador!$C$19,INDEX(Simulador!$C$63:$F$63,F68),INDEX(Simulador!$C$62:$F$62,F68))</f>
        <v>58755.7140540541</v>
      </c>
      <c r="N68" s="23" t="n">
        <f aca="false">INDEX(Simulador!$C$64:$F$64,F68)</f>
        <v>111149.808108108</v>
      </c>
      <c r="O68" s="23" t="n">
        <f aca="false">IF(H68&gt;=Simulador!$C$19,INDEX(Simulador!$C$65:$F$65,F68),INDEX(Simulador!$C$64:$F$64,F68))</f>
        <v>70030.2554054054</v>
      </c>
      <c r="P68" s="23" t="n">
        <f aca="false">IF(H68&gt;=Simulador!$C$19,INDEX(Simulador!$C$67:$F$67,F68),INDEX(Simulador!$C$66:$F$66,F68))</f>
        <v>62202.5945945946</v>
      </c>
      <c r="Q68" s="23" t="n">
        <f aca="false">M68+(IF(I68="",J68,I68)-J68)*Simulador!$C$9</f>
        <v>60939.7140540541</v>
      </c>
      <c r="R68" s="23" t="n">
        <f aca="false">N68+(IF(I68="",J68,I68)-J68)*Simulador!$C$9</f>
        <v>113333.808108108</v>
      </c>
      <c r="S68" s="23" t="n">
        <f aca="false">O68+(IF(I68="",J68,I68)-J68)*Simulador!$C$9</f>
        <v>72214.2554054054</v>
      </c>
      <c r="T68" s="23" t="n">
        <f aca="false">P68+(IF(I68="",J68,I68)-J68)*Simulador!$C$9</f>
        <v>64386.5945945946</v>
      </c>
      <c r="U68" s="2"/>
    </row>
    <row r="69" customFormat="false" ht="15" hidden="false" customHeight="false" outlineLevel="0" collapsed="false">
      <c r="B69" s="37" t="n">
        <v>45568</v>
      </c>
      <c r="C69" s="9" t="s">
        <v>299</v>
      </c>
      <c r="D69" s="38" t="n">
        <v>7.7</v>
      </c>
      <c r="E69" s="9" t="s">
        <v>243</v>
      </c>
      <c r="F69" s="16" t="n">
        <f aca="false">MATCH(E69,{"Misma locación","0.15 - 5 km","5 - 10 km","10+ km"},0)</f>
        <v>3</v>
      </c>
      <c r="G69" s="16" t="n">
        <f aca="false">MONTH(B69)</f>
        <v>10</v>
      </c>
      <c r="H69" s="16" t="n">
        <f aca="false">COUNTIF($G$8:G69,G69)</f>
        <v>1</v>
      </c>
      <c r="I69" s="38" t="n">
        <v>16</v>
      </c>
      <c r="J69" s="39" t="n">
        <f aca="false">INDEX(Simulador!$C$39:$F$39,F69)</f>
        <v>24</v>
      </c>
      <c r="K69" s="40" t="n">
        <f aca="false">IF(I69="","",I69-J69)</f>
        <v>-8</v>
      </c>
      <c r="L69" s="41" t="n">
        <f aca="false">INDEX(Simulador!$C$51:$F$51,F69)</f>
        <v>96184.8108108108</v>
      </c>
      <c r="M69" s="23" t="n">
        <f aca="false">IF(H69&gt;=Simulador!$C$19,INDEX(Simulador!$C$63:$F$63,F69),INDEX(Simulador!$C$62:$F$62,F69))</f>
        <v>102096.161621622</v>
      </c>
      <c r="N69" s="23" t="n">
        <f aca="false">INDEX(Simulador!$C$64:$F$64,F69)</f>
        <v>138633.155135135</v>
      </c>
      <c r="O69" s="23" t="n">
        <f aca="false">IF(H69&gt;=Simulador!$C$19,INDEX(Simulador!$C$65:$F$65,F69),INDEX(Simulador!$C$64:$F$64,F69))</f>
        <v>138633.155135135</v>
      </c>
      <c r="P69" s="23" t="n">
        <f aca="false">IF(H69&gt;=Simulador!$C$19,INDEX(Simulador!$C$67:$F$67,F69),INDEX(Simulador!$C$66:$F$66,F69))</f>
        <v>104944.811351351</v>
      </c>
      <c r="Q69" s="23" t="n">
        <f aca="false">M69+(IF(I69="",J69,I69)-J69)*Simulador!$C$9</f>
        <v>90448.1616216216</v>
      </c>
      <c r="R69" s="23" t="n">
        <f aca="false">N69+(IF(I69="",J69,I69)-J69)*Simulador!$C$9</f>
        <v>126985.155135135</v>
      </c>
      <c r="S69" s="23" t="n">
        <f aca="false">O69+(IF(I69="",J69,I69)-J69)*Simulador!$C$9</f>
        <v>126985.155135135</v>
      </c>
      <c r="T69" s="23" t="n">
        <f aca="false">P69+(IF(I69="",J69,I69)-J69)*Simulador!$C$9</f>
        <v>93296.8113513514</v>
      </c>
      <c r="U69" s="2"/>
    </row>
    <row r="70" customFormat="false" ht="15" hidden="false" customHeight="false" outlineLevel="0" collapsed="false">
      <c r="B70" s="37" t="n">
        <v>45572</v>
      </c>
      <c r="C70" s="9" t="s">
        <v>300</v>
      </c>
      <c r="D70" s="38" t="n">
        <v>0.025907999170944</v>
      </c>
      <c r="E70" s="9" t="s">
        <v>245</v>
      </c>
      <c r="F70" s="16" t="n">
        <f aca="false">MATCH(E70,{"Misma locación","0.15 - 5 km","5 - 10 km","10+ km"},0)</f>
        <v>1</v>
      </c>
      <c r="G70" s="16" t="n">
        <f aca="false">MONTH(B70)</f>
        <v>10</v>
      </c>
      <c r="H70" s="16" t="n">
        <f aca="false">COUNTIF($G$8:G70,G70)</f>
        <v>2</v>
      </c>
      <c r="I70" s="38" t="n">
        <v>13</v>
      </c>
      <c r="J70" s="39" t="n">
        <f aca="false">INDEX(Simulador!$C$39:$F$39,F70)</f>
        <v>12</v>
      </c>
      <c r="K70" s="40" t="n">
        <f aca="false">IF(I70="","",I70-J70)</f>
        <v>1</v>
      </c>
      <c r="L70" s="41" t="n">
        <f aca="false">INDEX(Simulador!$C$51:$F$51,F70)</f>
        <v>76047.4054054054</v>
      </c>
      <c r="M70" s="23" t="n">
        <f aca="false">IF(H70&gt;=Simulador!$C$19,INDEX(Simulador!$C$63:$F$63,F70),INDEX(Simulador!$C$62:$F$62,F70))</f>
        <v>58116.7137837838</v>
      </c>
      <c r="N70" s="23" t="n">
        <f aca="false">INDEX(Simulador!$C$64:$F$64,F70)</f>
        <v>68381.1581081081</v>
      </c>
      <c r="O70" s="23" t="n">
        <f aca="false">IF(H70&gt;=Simulador!$C$19,INDEX(Simulador!$C$65:$F$65,F70),INDEX(Simulador!$C$64:$F$64,F70))</f>
        <v>68381.1581081081</v>
      </c>
      <c r="P70" s="23" t="n">
        <f aca="false">IF(H70&gt;=Simulador!$C$19,INDEX(Simulador!$C$67:$F$67,F70),INDEX(Simulador!$C$66:$F$66,F70))</f>
        <v>58075.5140540541</v>
      </c>
      <c r="Q70" s="23" t="n">
        <f aca="false">M70+(IF(I70="",J70,I70)-J70)*Simulador!$C$9</f>
        <v>59572.7137837838</v>
      </c>
      <c r="R70" s="23" t="n">
        <f aca="false">N70+(IF(I70="",J70,I70)-J70)*Simulador!$C$9</f>
        <v>69837.1581081081</v>
      </c>
      <c r="S70" s="23" t="n">
        <f aca="false">O70+(IF(I70="",J70,I70)-J70)*Simulador!$C$9</f>
        <v>69837.1581081081</v>
      </c>
      <c r="T70" s="23" t="n">
        <f aca="false">P70+(IF(I70="",J70,I70)-J70)*Simulador!$C$9</f>
        <v>59531.5140540541</v>
      </c>
      <c r="U70" s="2"/>
    </row>
    <row r="71" customFormat="false" ht="15" hidden="false" customHeight="false" outlineLevel="0" collapsed="false">
      <c r="B71" s="37" t="n">
        <v>45576</v>
      </c>
      <c r="C71" s="9" t="s">
        <v>301</v>
      </c>
      <c r="D71" s="38" t="n">
        <v>0.00640079979517441</v>
      </c>
      <c r="E71" s="9" t="s">
        <v>245</v>
      </c>
      <c r="F71" s="16" t="n">
        <f aca="false">MATCH(E71,{"Misma locación","0.15 - 5 km","5 - 10 km","10+ km"},0)</f>
        <v>1</v>
      </c>
      <c r="G71" s="16" t="n">
        <f aca="false">MONTH(B71)</f>
        <v>10</v>
      </c>
      <c r="H71" s="16" t="n">
        <f aca="false">COUNTIF($G$8:G71,G71)</f>
        <v>3</v>
      </c>
      <c r="I71" s="38" t="n">
        <v>10</v>
      </c>
      <c r="J71" s="39" t="n">
        <f aca="false">INDEX(Simulador!$C$39:$F$39,F71)</f>
        <v>12</v>
      </c>
      <c r="K71" s="40" t="n">
        <f aca="false">IF(I71="","",I71-J71)</f>
        <v>-2</v>
      </c>
      <c r="L71" s="41" t="n">
        <f aca="false">INDEX(Simulador!$C$51:$F$51,F71)</f>
        <v>76047.4054054054</v>
      </c>
      <c r="M71" s="23" t="n">
        <f aca="false">IF(H71&gt;=Simulador!$C$19,INDEX(Simulador!$C$63:$F$63,F71),INDEX(Simulador!$C$62:$F$62,F71))</f>
        <v>58116.7137837838</v>
      </c>
      <c r="N71" s="23" t="n">
        <f aca="false">INDEX(Simulador!$C$64:$F$64,F71)</f>
        <v>68381.1581081081</v>
      </c>
      <c r="O71" s="23" t="n">
        <f aca="false">IF(H71&gt;=Simulador!$C$19,INDEX(Simulador!$C$65:$F$65,F71),INDEX(Simulador!$C$64:$F$64,F71))</f>
        <v>68381.1581081081</v>
      </c>
      <c r="P71" s="23" t="n">
        <f aca="false">IF(H71&gt;=Simulador!$C$19,INDEX(Simulador!$C$67:$F$67,F71),INDEX(Simulador!$C$66:$F$66,F71))</f>
        <v>58075.5140540541</v>
      </c>
      <c r="Q71" s="23" t="n">
        <f aca="false">M71+(IF(I71="",J71,I71)-J71)*Simulador!$C$9</f>
        <v>55204.7137837838</v>
      </c>
      <c r="R71" s="23" t="n">
        <f aca="false">N71+(IF(I71="",J71,I71)-J71)*Simulador!$C$9</f>
        <v>65469.1581081081</v>
      </c>
      <c r="S71" s="23" t="n">
        <f aca="false">O71+(IF(I71="",J71,I71)-J71)*Simulador!$C$9</f>
        <v>65469.1581081081</v>
      </c>
      <c r="T71" s="23" t="n">
        <f aca="false">P71+(IF(I71="",J71,I71)-J71)*Simulador!$C$9</f>
        <v>55163.5140540541</v>
      </c>
      <c r="U71" s="2"/>
    </row>
    <row r="72" customFormat="false" ht="15" hidden="false" customHeight="false" outlineLevel="0" collapsed="false">
      <c r="B72" s="37" t="n">
        <v>45578</v>
      </c>
      <c r="C72" s="9" t="s">
        <v>302</v>
      </c>
      <c r="D72" s="38" t="n">
        <v>0.03</v>
      </c>
      <c r="E72" s="9" t="s">
        <v>245</v>
      </c>
      <c r="F72" s="16" t="n">
        <f aca="false">MATCH(E72,{"Misma locación","0.15 - 5 km","5 - 10 km","10+ km"},0)</f>
        <v>1</v>
      </c>
      <c r="G72" s="16" t="n">
        <f aca="false">MONTH(B72)</f>
        <v>10</v>
      </c>
      <c r="H72" s="16" t="n">
        <f aca="false">COUNTIF($G$8:G72,G72)</f>
        <v>4</v>
      </c>
      <c r="I72" s="38" t="n">
        <v>9.75</v>
      </c>
      <c r="J72" s="39" t="n">
        <f aca="false">INDEX(Simulador!$C$39:$F$39,F72)</f>
        <v>12</v>
      </c>
      <c r="K72" s="40" t="n">
        <f aca="false">IF(I72="","",I72-J72)</f>
        <v>-2.25</v>
      </c>
      <c r="L72" s="41" t="n">
        <f aca="false">INDEX(Simulador!$C$51:$F$51,F72)</f>
        <v>76047.4054054054</v>
      </c>
      <c r="M72" s="23" t="n">
        <f aca="false">IF(H72&gt;=Simulador!$C$19,INDEX(Simulador!$C$63:$F$63,F72),INDEX(Simulador!$C$62:$F$62,F72))</f>
        <v>58116.7137837838</v>
      </c>
      <c r="N72" s="23" t="n">
        <f aca="false">INDEX(Simulador!$C$64:$F$64,F72)</f>
        <v>68381.1581081081</v>
      </c>
      <c r="O72" s="23" t="n">
        <f aca="false">IF(H72&gt;=Simulador!$C$19,INDEX(Simulador!$C$65:$F$65,F72),INDEX(Simulador!$C$64:$F$64,F72))</f>
        <v>68381.1581081081</v>
      </c>
      <c r="P72" s="23" t="n">
        <f aca="false">IF(H72&gt;=Simulador!$C$19,INDEX(Simulador!$C$67:$F$67,F72),INDEX(Simulador!$C$66:$F$66,F72))</f>
        <v>58075.5140540541</v>
      </c>
      <c r="Q72" s="23" t="n">
        <f aca="false">M72+(IF(I72="",J72,I72)-J72)*Simulador!$C$9</f>
        <v>54840.7137837838</v>
      </c>
      <c r="R72" s="23" t="n">
        <f aca="false">N72+(IF(I72="",J72,I72)-J72)*Simulador!$C$9</f>
        <v>65105.1581081081</v>
      </c>
      <c r="S72" s="23" t="n">
        <f aca="false">O72+(IF(I72="",J72,I72)-J72)*Simulador!$C$9</f>
        <v>65105.1581081081</v>
      </c>
      <c r="T72" s="23" t="n">
        <f aca="false">P72+(IF(I72="",J72,I72)-J72)*Simulador!$C$9</f>
        <v>54799.5140540541</v>
      </c>
      <c r="U72" s="2"/>
    </row>
    <row r="73" customFormat="false" ht="15" hidden="false" customHeight="false" outlineLevel="0" collapsed="false">
      <c r="B73" s="37" t="n">
        <v>45582</v>
      </c>
      <c r="C73" s="9" t="s">
        <v>303</v>
      </c>
      <c r="D73" s="38" t="n">
        <v>9.3</v>
      </c>
      <c r="E73" s="9" t="s">
        <v>243</v>
      </c>
      <c r="F73" s="16" t="n">
        <f aca="false">MATCH(E73,{"Misma locación","0.15 - 5 km","5 - 10 km","10+ km"},0)</f>
        <v>3</v>
      </c>
      <c r="G73" s="16" t="n">
        <f aca="false">MONTH(B73)</f>
        <v>10</v>
      </c>
      <c r="H73" s="16" t="n">
        <f aca="false">COUNTIF($G$8:G73,G73)</f>
        <v>5</v>
      </c>
      <c r="I73" s="38" t="n">
        <v>23</v>
      </c>
      <c r="J73" s="39" t="n">
        <f aca="false">INDEX(Simulador!$C$39:$F$39,F73)</f>
        <v>24</v>
      </c>
      <c r="K73" s="40" t="n">
        <f aca="false">IF(I73="","",I73-J73)</f>
        <v>-1</v>
      </c>
      <c r="L73" s="41" t="n">
        <f aca="false">INDEX(Simulador!$C$51:$F$51,F73)</f>
        <v>96184.8108108108</v>
      </c>
      <c r="M73" s="23" t="n">
        <f aca="false">IF(H73&gt;=Simulador!$C$19,INDEX(Simulador!$C$63:$F$63,F73),INDEX(Simulador!$C$62:$F$62,F73))</f>
        <v>102096.161621622</v>
      </c>
      <c r="N73" s="23" t="n">
        <f aca="false">INDEX(Simulador!$C$64:$F$64,F73)</f>
        <v>138633.155135135</v>
      </c>
      <c r="O73" s="23" t="n">
        <f aca="false">IF(H73&gt;=Simulador!$C$19,INDEX(Simulador!$C$65:$F$65,F73),INDEX(Simulador!$C$64:$F$64,F73))</f>
        <v>138633.155135135</v>
      </c>
      <c r="P73" s="23" t="n">
        <f aca="false">IF(H73&gt;=Simulador!$C$19,INDEX(Simulador!$C$67:$F$67,F73),INDEX(Simulador!$C$66:$F$66,F73))</f>
        <v>104944.811351351</v>
      </c>
      <c r="Q73" s="23" t="n">
        <f aca="false">M73+(IF(I73="",J73,I73)-J73)*Simulador!$C$9</f>
        <v>100640.161621622</v>
      </c>
      <c r="R73" s="23" t="n">
        <f aca="false">N73+(IF(I73="",J73,I73)-J73)*Simulador!$C$9</f>
        <v>137177.155135135</v>
      </c>
      <c r="S73" s="23" t="n">
        <f aca="false">O73+(IF(I73="",J73,I73)-J73)*Simulador!$C$9</f>
        <v>137177.155135135</v>
      </c>
      <c r="T73" s="23" t="n">
        <f aca="false">P73+(IF(I73="",J73,I73)-J73)*Simulador!$C$9</f>
        <v>103488.811351351</v>
      </c>
      <c r="U73" s="2"/>
    </row>
    <row r="74" customFormat="false" ht="15" hidden="false" customHeight="false" outlineLevel="0" collapsed="false">
      <c r="B74" s="37" t="n">
        <v>45595</v>
      </c>
      <c r="C74" s="9" t="s">
        <v>304</v>
      </c>
      <c r="D74" s="38" t="n">
        <v>7.3</v>
      </c>
      <c r="E74" s="9" t="s">
        <v>243</v>
      </c>
      <c r="F74" s="16" t="n">
        <f aca="false">MATCH(E74,{"Misma locación","0.15 - 5 km","5 - 10 km","10+ km"},0)</f>
        <v>3</v>
      </c>
      <c r="G74" s="16" t="n">
        <f aca="false">MONTH(B74)</f>
        <v>10</v>
      </c>
      <c r="H74" s="16" t="n">
        <f aca="false">COUNTIF($G$8:G74,G74)</f>
        <v>6</v>
      </c>
      <c r="I74" s="38" t="n">
        <v>15.75</v>
      </c>
      <c r="J74" s="39" t="n">
        <f aca="false">INDEX(Simulador!$C$39:$F$39,F74)</f>
        <v>24</v>
      </c>
      <c r="K74" s="40" t="n">
        <f aca="false">IF(I74="","",I74-J74)</f>
        <v>-8.25</v>
      </c>
      <c r="L74" s="41" t="n">
        <f aca="false">INDEX(Simulador!$C$51:$F$51,F74)</f>
        <v>96184.8108108108</v>
      </c>
      <c r="M74" s="23" t="n">
        <f aca="false">IF(H74&gt;=Simulador!$C$19,INDEX(Simulador!$C$63:$F$63,F74),INDEX(Simulador!$C$62:$F$62,F74))</f>
        <v>69871.4321621622</v>
      </c>
      <c r="N74" s="23" t="n">
        <f aca="false">INDEX(Simulador!$C$64:$F$64,F74)</f>
        <v>138633.155135135</v>
      </c>
      <c r="O74" s="23" t="n">
        <f aca="false">IF(H74&gt;=Simulador!$C$19,INDEX(Simulador!$C$65:$F$65,F74),INDEX(Simulador!$C$64:$F$64,F74))</f>
        <v>88139.9289189189</v>
      </c>
      <c r="P74" s="23" t="n">
        <f aca="false">IF(H74&gt;=Simulador!$C$19,INDEX(Simulador!$C$67:$F$67,F74),INDEX(Simulador!$C$66:$F$66,F74))</f>
        <v>75215.6216216216</v>
      </c>
      <c r="Q74" s="23" t="n">
        <f aca="false">M74+(IF(I74="",J74,I74)-J74)*Simulador!$C$9</f>
        <v>57859.4321621622</v>
      </c>
      <c r="R74" s="23" t="n">
        <f aca="false">N74+(IF(I74="",J74,I74)-J74)*Simulador!$C$9</f>
        <v>126621.155135135</v>
      </c>
      <c r="S74" s="23" t="n">
        <f aca="false">O74+(IF(I74="",J74,I74)-J74)*Simulador!$C$9</f>
        <v>76127.9289189189</v>
      </c>
      <c r="T74" s="23" t="n">
        <f aca="false">P74+(IF(I74="",J74,I74)-J74)*Simulador!$C$9</f>
        <v>63203.6216216216</v>
      </c>
      <c r="U74" s="2"/>
    </row>
    <row r="75" customFormat="false" ht="15" hidden="false" customHeight="false" outlineLevel="0" collapsed="false">
      <c r="B75" s="37" t="n">
        <v>45599</v>
      </c>
      <c r="C75" s="9" t="s">
        <v>305</v>
      </c>
      <c r="D75" s="38" t="n">
        <v>5.3</v>
      </c>
      <c r="E75" s="9" t="s">
        <v>243</v>
      </c>
      <c r="F75" s="16" t="n">
        <f aca="false">MATCH(E75,{"Misma locación","0.15 - 5 km","5 - 10 km","10+ km"},0)</f>
        <v>3</v>
      </c>
      <c r="G75" s="16" t="n">
        <f aca="false">MONTH(B75)</f>
        <v>11</v>
      </c>
      <c r="H75" s="16" t="n">
        <f aca="false">COUNTIF($G$8:G75,G75)</f>
        <v>1</v>
      </c>
      <c r="I75" s="38" t="n">
        <v>18.75</v>
      </c>
      <c r="J75" s="39" t="n">
        <f aca="false">INDEX(Simulador!$C$39:$F$39,F75)</f>
        <v>24</v>
      </c>
      <c r="K75" s="40" t="n">
        <f aca="false">IF(I75="","",I75-J75)</f>
        <v>-5.25</v>
      </c>
      <c r="L75" s="41" t="n">
        <f aca="false">INDEX(Simulador!$C$51:$F$51,F75)</f>
        <v>96184.8108108108</v>
      </c>
      <c r="M75" s="23" t="n">
        <f aca="false">IF(H75&gt;=Simulador!$C$19,INDEX(Simulador!$C$63:$F$63,F75),INDEX(Simulador!$C$62:$F$62,F75))</f>
        <v>102096.161621622</v>
      </c>
      <c r="N75" s="23" t="n">
        <f aca="false">INDEX(Simulador!$C$64:$F$64,F75)</f>
        <v>138633.155135135</v>
      </c>
      <c r="O75" s="23" t="n">
        <f aca="false">IF(H75&gt;=Simulador!$C$19,INDEX(Simulador!$C$65:$F$65,F75),INDEX(Simulador!$C$64:$F$64,F75))</f>
        <v>138633.155135135</v>
      </c>
      <c r="P75" s="23" t="n">
        <f aca="false">IF(H75&gt;=Simulador!$C$19,INDEX(Simulador!$C$67:$F$67,F75),INDEX(Simulador!$C$66:$F$66,F75))</f>
        <v>104944.811351351</v>
      </c>
      <c r="Q75" s="23" t="n">
        <f aca="false">M75+(IF(I75="",J75,I75)-J75)*Simulador!$C$9</f>
        <v>94452.1616216216</v>
      </c>
      <c r="R75" s="23" t="n">
        <f aca="false">N75+(IF(I75="",J75,I75)-J75)*Simulador!$C$9</f>
        <v>130989.155135135</v>
      </c>
      <c r="S75" s="23" t="n">
        <f aca="false">O75+(IF(I75="",J75,I75)-J75)*Simulador!$C$9</f>
        <v>130989.155135135</v>
      </c>
      <c r="T75" s="23" t="n">
        <f aca="false">P75+(IF(I75="",J75,I75)-J75)*Simulador!$C$9</f>
        <v>97300.8113513514</v>
      </c>
      <c r="U75" s="2"/>
    </row>
    <row r="76" customFormat="false" ht="15" hidden="false" customHeight="false" outlineLevel="0" collapsed="false">
      <c r="B76" s="37" t="n">
        <v>45602</v>
      </c>
      <c r="C76" s="9" t="s">
        <v>306</v>
      </c>
      <c r="D76" s="38" t="n">
        <v>4.4</v>
      </c>
      <c r="E76" s="9" t="s">
        <v>231</v>
      </c>
      <c r="F76" s="16" t="n">
        <f aca="false">MATCH(E76,{"Misma locación","0.15 - 5 km","5 - 10 km","10+ km"},0)</f>
        <v>2</v>
      </c>
      <c r="G76" s="16" t="n">
        <f aca="false">MONTH(B76)</f>
        <v>11</v>
      </c>
      <c r="H76" s="16" t="n">
        <f aca="false">COUNTIF($G$8:G76,G76)</f>
        <v>2</v>
      </c>
      <c r="I76" s="38" t="n">
        <v>15.75</v>
      </c>
      <c r="J76" s="39" t="n">
        <f aca="false">INDEX(Simulador!$C$39:$F$39,F76)</f>
        <v>18</v>
      </c>
      <c r="K76" s="40" t="n">
        <f aca="false">IF(I76="","",I76-J76)</f>
        <v>-2.25</v>
      </c>
      <c r="L76" s="41" t="n">
        <f aca="false">INDEX(Simulador!$C$51:$F$51,F76)</f>
        <v>99473.8108108108</v>
      </c>
      <c r="M76" s="23" t="n">
        <f aca="false">IF(H76&gt;=Simulador!$C$19,INDEX(Simulador!$C$63:$F$63,F76),INDEX(Simulador!$C$62:$F$62,F76))</f>
        <v>88600.7254054054</v>
      </c>
      <c r="N76" s="23" t="n">
        <f aca="false">INDEX(Simulador!$C$64:$F$64,F76)</f>
        <v>111149.808108108</v>
      </c>
      <c r="O76" s="23" t="n">
        <f aca="false">IF(H76&gt;=Simulador!$C$19,INDEX(Simulador!$C$65:$F$65,F76),INDEX(Simulador!$C$64:$F$64,F76))</f>
        <v>111149.808108108</v>
      </c>
      <c r="P76" s="23" t="n">
        <f aca="false">IF(H76&gt;=Simulador!$C$19,INDEX(Simulador!$C$67:$F$67,F76),INDEX(Simulador!$C$66:$F$66,F76))</f>
        <v>85046.6491891892</v>
      </c>
      <c r="Q76" s="23" t="n">
        <f aca="false">M76+(IF(I76="",J76,I76)-J76)*Simulador!$C$9</f>
        <v>85324.7254054054</v>
      </c>
      <c r="R76" s="23" t="n">
        <f aca="false">N76+(IF(I76="",J76,I76)-J76)*Simulador!$C$9</f>
        <v>107873.808108108</v>
      </c>
      <c r="S76" s="23" t="n">
        <f aca="false">O76+(IF(I76="",J76,I76)-J76)*Simulador!$C$9</f>
        <v>107873.808108108</v>
      </c>
      <c r="T76" s="23" t="n">
        <f aca="false">P76+(IF(I76="",J76,I76)-J76)*Simulador!$C$9</f>
        <v>81770.6491891892</v>
      </c>
      <c r="U76" s="2"/>
    </row>
    <row r="77" customFormat="false" ht="15" hidden="false" customHeight="false" outlineLevel="0" collapsed="false">
      <c r="B77" s="37" t="n">
        <v>45608</v>
      </c>
      <c r="C77" s="9" t="s">
        <v>307</v>
      </c>
      <c r="D77" s="38" t="n">
        <v>4.4</v>
      </c>
      <c r="E77" s="9" t="s">
        <v>231</v>
      </c>
      <c r="F77" s="16" t="n">
        <f aca="false">MATCH(E77,{"Misma locación","0.15 - 5 km","5 - 10 km","10+ km"},0)</f>
        <v>2</v>
      </c>
      <c r="G77" s="16" t="n">
        <f aca="false">MONTH(B77)</f>
        <v>11</v>
      </c>
      <c r="H77" s="16" t="n">
        <f aca="false">COUNTIF($G$8:G77,G77)</f>
        <v>3</v>
      </c>
      <c r="I77" s="38" t="n">
        <v>15.75</v>
      </c>
      <c r="J77" s="39" t="n">
        <f aca="false">INDEX(Simulador!$C$39:$F$39,F77)</f>
        <v>18</v>
      </c>
      <c r="K77" s="40" t="n">
        <f aca="false">IF(I77="","",I77-J77)</f>
        <v>-2.25</v>
      </c>
      <c r="L77" s="41" t="n">
        <f aca="false">INDEX(Simulador!$C$51:$F$51,F77)</f>
        <v>99473.8108108108</v>
      </c>
      <c r="M77" s="23" t="n">
        <f aca="false">IF(H77&gt;=Simulador!$C$19,INDEX(Simulador!$C$63:$F$63,F77),INDEX(Simulador!$C$62:$F$62,F77))</f>
        <v>88600.7254054054</v>
      </c>
      <c r="N77" s="23" t="n">
        <f aca="false">INDEX(Simulador!$C$64:$F$64,F77)</f>
        <v>111149.808108108</v>
      </c>
      <c r="O77" s="23" t="n">
        <f aca="false">IF(H77&gt;=Simulador!$C$19,INDEX(Simulador!$C$65:$F$65,F77),INDEX(Simulador!$C$64:$F$64,F77))</f>
        <v>111149.808108108</v>
      </c>
      <c r="P77" s="23" t="n">
        <f aca="false">IF(H77&gt;=Simulador!$C$19,INDEX(Simulador!$C$67:$F$67,F77),INDEX(Simulador!$C$66:$F$66,F77))</f>
        <v>85046.6491891892</v>
      </c>
      <c r="Q77" s="23" t="n">
        <f aca="false">M77+(IF(I77="",J77,I77)-J77)*Simulador!$C$9</f>
        <v>85324.7254054054</v>
      </c>
      <c r="R77" s="23" t="n">
        <f aca="false">N77+(IF(I77="",J77,I77)-J77)*Simulador!$C$9</f>
        <v>107873.808108108</v>
      </c>
      <c r="S77" s="23" t="n">
        <f aca="false">O77+(IF(I77="",J77,I77)-J77)*Simulador!$C$9</f>
        <v>107873.808108108</v>
      </c>
      <c r="T77" s="23" t="n">
        <f aca="false">P77+(IF(I77="",J77,I77)-J77)*Simulador!$C$9</f>
        <v>81770.6491891892</v>
      </c>
      <c r="U77" s="2"/>
    </row>
    <row r="79" customFormat="false" ht="15" hidden="false" customHeight="false" outlineLevel="0" collapsed="false">
      <c r="B79" s="35" t="s">
        <v>308</v>
      </c>
      <c r="L79" s="22" t="n">
        <f aca="false">SUM(L8:L77)</f>
        <v>6424357.43243243</v>
      </c>
      <c r="M79" s="22" t="n">
        <f aca="false">SUM(M8:M77)</f>
        <v>5250116.15337838</v>
      </c>
      <c r="N79" s="22" t="n">
        <f aca="false">SUM(N8:N77)</f>
        <v>7359291.49</v>
      </c>
      <c r="O79" s="22" t="n">
        <f aca="false">SUM(O8:O77)</f>
        <v>6610672.29283784</v>
      </c>
      <c r="P79" s="22" t="n">
        <f aca="false">SUM(P8:P77)</f>
        <v>5347975.7572973</v>
      </c>
      <c r="Q79" s="22" t="n">
        <f aca="false">SUM(Q8:Q77)</f>
        <v>5069717.75337838</v>
      </c>
      <c r="R79" s="22" t="n">
        <f aca="false">SUM(R8:R77)</f>
        <v>7178893.09</v>
      </c>
      <c r="S79" s="22" t="n">
        <f aca="false">SUM(S8:S77)</f>
        <v>6430273.89283784</v>
      </c>
      <c r="T79" s="22" t="n">
        <f aca="false">SUM(T8:T77)</f>
        <v>5167577.3572973</v>
      </c>
    </row>
    <row r="82" customFormat="false" ht="15" hidden="false" customHeight="false" outlineLevel="0" collapsed="false">
      <c r="B82" s="35" t="s">
        <v>234</v>
      </c>
    </row>
    <row r="83" customFormat="false" ht="35.05" hidden="false" customHeight="false" outlineLevel="0" collapsed="false">
      <c r="B83" s="34" t="s">
        <v>212</v>
      </c>
      <c r="C83" s="34" t="s">
        <v>232</v>
      </c>
      <c r="D83" s="34" t="s">
        <v>309</v>
      </c>
      <c r="E83" s="34" t="s">
        <v>310</v>
      </c>
      <c r="F83" s="34" t="s">
        <v>87</v>
      </c>
      <c r="G83" s="34" t="s">
        <v>88</v>
      </c>
      <c r="H83" s="34" t="s">
        <v>311</v>
      </c>
      <c r="I83" s="34" t="s">
        <v>312</v>
      </c>
      <c r="J83" s="34" t="s">
        <v>313</v>
      </c>
    </row>
    <row r="84" customFormat="false" ht="15" hidden="false" customHeight="false" outlineLevel="0" collapsed="false">
      <c r="B84" s="16" t="n">
        <v>1</v>
      </c>
      <c r="C84" s="16" t="n">
        <f aca="false">COUNTIF($G$8:$G$77,B84)</f>
        <v>7</v>
      </c>
      <c r="D84" s="16" t="n">
        <f aca="false">COUNTIFS($G$8:$G$77,B84,$F$8:$F$77,1)</f>
        <v>0</v>
      </c>
      <c r="E84" s="16" t="n">
        <f aca="false">COUNTIFS($G$8:$G$77,B84,$F$8:$F$77,2)</f>
        <v>5</v>
      </c>
      <c r="F84" s="16" t="n">
        <f aca="false">COUNTIFS($G$8:$G$77,B84,$F$8:$F$77,3)</f>
        <v>1</v>
      </c>
      <c r="G84" s="16" t="n">
        <f aca="false">COUNTIFS($G$8:$G$77,B84,$F$8:$F$77,4)</f>
        <v>1</v>
      </c>
      <c r="H84" s="23" t="n">
        <f aca="false">INDEX(Simulador!$E$72:$E$78,MIN(C84,6)+1)</f>
        <v>0</v>
      </c>
      <c r="I84" s="23" t="n">
        <f aca="false">INDEX(Simulador!$F$72:$F$78,MIN(C84,6)+1)</f>
        <v>0</v>
      </c>
      <c r="J84" s="23" t="n">
        <f aca="false">IF(Simulador!$C$16="Mensual fijo",Simulador!$C$14/Simulador!$C$7,0)</f>
        <v>0</v>
      </c>
    </row>
    <row r="85" customFormat="false" ht="15" hidden="false" customHeight="false" outlineLevel="0" collapsed="false">
      <c r="B85" s="16" t="n">
        <v>2</v>
      </c>
      <c r="C85" s="16" t="n">
        <f aca="false">COUNTIF($G$8:$G$77,B85)</f>
        <v>8</v>
      </c>
      <c r="D85" s="16" t="n">
        <f aca="false">COUNTIFS($G$8:$G$77,B85,$F$8:$F$77,1)</f>
        <v>4</v>
      </c>
      <c r="E85" s="16" t="n">
        <f aca="false">COUNTIFS($G$8:$G$77,B85,$F$8:$F$77,2)</f>
        <v>4</v>
      </c>
      <c r="F85" s="16" t="n">
        <f aca="false">COUNTIFS($G$8:$G$77,B85,$F$8:$F$77,3)</f>
        <v>0</v>
      </c>
      <c r="G85" s="16" t="n">
        <f aca="false">COUNTIFS($G$8:$G$77,B85,$F$8:$F$77,4)</f>
        <v>0</v>
      </c>
      <c r="H85" s="23" t="n">
        <f aca="false">INDEX(Simulador!$E$72:$E$78,MIN(C85,6)+1)</f>
        <v>0</v>
      </c>
      <c r="I85" s="23" t="n">
        <f aca="false">INDEX(Simulador!$F$72:$F$78,MIN(C85,6)+1)</f>
        <v>0</v>
      </c>
      <c r="J85" s="23" t="n">
        <f aca="false">IF(Simulador!$C$16="Mensual fijo",Simulador!$C$14/Simulador!$C$7,0)</f>
        <v>0</v>
      </c>
    </row>
    <row r="86" customFormat="false" ht="15" hidden="false" customHeight="false" outlineLevel="0" collapsed="false">
      <c r="B86" s="16" t="n">
        <v>3</v>
      </c>
      <c r="C86" s="16" t="n">
        <f aca="false">COUNTIF($G$8:$G$77,B86)</f>
        <v>7</v>
      </c>
      <c r="D86" s="16" t="n">
        <f aca="false">COUNTIFS($G$8:$G$77,B86,$F$8:$F$77,1)</f>
        <v>3</v>
      </c>
      <c r="E86" s="16" t="n">
        <f aca="false">COUNTIFS($G$8:$G$77,B86,$F$8:$F$77,2)</f>
        <v>3</v>
      </c>
      <c r="F86" s="16" t="n">
        <f aca="false">COUNTIFS($G$8:$G$77,B86,$F$8:$F$77,3)</f>
        <v>1</v>
      </c>
      <c r="G86" s="16" t="n">
        <f aca="false">COUNTIFS($G$8:$G$77,B86,$F$8:$F$77,4)</f>
        <v>0</v>
      </c>
      <c r="H86" s="23" t="n">
        <f aca="false">INDEX(Simulador!$E$72:$E$78,MIN(C86,6)+1)</f>
        <v>0</v>
      </c>
      <c r="I86" s="23" t="n">
        <f aca="false">INDEX(Simulador!$F$72:$F$78,MIN(C86,6)+1)</f>
        <v>0</v>
      </c>
      <c r="J86" s="23" t="n">
        <f aca="false">IF(Simulador!$C$16="Mensual fijo",Simulador!$C$14/Simulador!$C$7,0)</f>
        <v>0</v>
      </c>
    </row>
    <row r="87" customFormat="false" ht="15" hidden="false" customHeight="false" outlineLevel="0" collapsed="false">
      <c r="B87" s="16" t="n">
        <v>4</v>
      </c>
      <c r="C87" s="16" t="n">
        <f aca="false">COUNTIF($G$8:$G$77,B87)</f>
        <v>7</v>
      </c>
      <c r="D87" s="16" t="n">
        <f aca="false">COUNTIFS($G$8:$G$77,B87,$F$8:$F$77,1)</f>
        <v>1</v>
      </c>
      <c r="E87" s="16" t="n">
        <f aca="false">COUNTIFS($G$8:$G$77,B87,$F$8:$F$77,2)</f>
        <v>3</v>
      </c>
      <c r="F87" s="16" t="n">
        <f aca="false">COUNTIFS($G$8:$G$77,B87,$F$8:$F$77,3)</f>
        <v>3</v>
      </c>
      <c r="G87" s="16" t="n">
        <f aca="false">COUNTIFS($G$8:$G$77,B87,$F$8:$F$77,4)</f>
        <v>0</v>
      </c>
      <c r="H87" s="23" t="n">
        <f aca="false">INDEX(Simulador!$E$72:$E$78,MIN(C87,6)+1)</f>
        <v>0</v>
      </c>
      <c r="I87" s="23" t="n">
        <f aca="false">INDEX(Simulador!$F$72:$F$78,MIN(C87,6)+1)</f>
        <v>0</v>
      </c>
      <c r="J87" s="23" t="n">
        <f aca="false">IF(Simulador!$C$16="Mensual fijo",Simulador!$C$14/Simulador!$C$7,0)</f>
        <v>0</v>
      </c>
    </row>
    <row r="88" customFormat="false" ht="15" hidden="false" customHeight="false" outlineLevel="0" collapsed="false">
      <c r="B88" s="16" t="n">
        <v>5</v>
      </c>
      <c r="C88" s="16" t="n">
        <f aca="false">COUNTIF($G$8:$G$77,B88)</f>
        <v>7</v>
      </c>
      <c r="D88" s="16" t="n">
        <f aca="false">COUNTIFS($G$8:$G$77,B88,$F$8:$F$77,1)</f>
        <v>3</v>
      </c>
      <c r="E88" s="16" t="n">
        <f aca="false">COUNTIFS($G$8:$G$77,B88,$F$8:$F$77,2)</f>
        <v>3</v>
      </c>
      <c r="F88" s="16" t="n">
        <f aca="false">COUNTIFS($G$8:$G$77,B88,$F$8:$F$77,3)</f>
        <v>1</v>
      </c>
      <c r="G88" s="16" t="n">
        <f aca="false">COUNTIFS($G$8:$G$77,B88,$F$8:$F$77,4)</f>
        <v>0</v>
      </c>
      <c r="H88" s="23" t="n">
        <f aca="false">INDEX(Simulador!$E$72:$E$78,MIN(C88,6)+1)</f>
        <v>0</v>
      </c>
      <c r="I88" s="23" t="n">
        <f aca="false">INDEX(Simulador!$F$72:$F$78,MIN(C88,6)+1)</f>
        <v>0</v>
      </c>
      <c r="J88" s="23" t="n">
        <f aca="false">IF(Simulador!$C$16="Mensual fijo",Simulador!$C$14/Simulador!$C$7,0)</f>
        <v>0</v>
      </c>
    </row>
    <row r="89" customFormat="false" ht="15" hidden="false" customHeight="false" outlineLevel="0" collapsed="false">
      <c r="B89" s="16" t="n">
        <v>6</v>
      </c>
      <c r="C89" s="16" t="n">
        <f aca="false">COUNTIF($G$8:$G$77,B89)</f>
        <v>9</v>
      </c>
      <c r="D89" s="16" t="n">
        <f aca="false">COUNTIFS($G$8:$G$77,B89,$F$8:$F$77,1)</f>
        <v>4</v>
      </c>
      <c r="E89" s="16" t="n">
        <f aca="false">COUNTIFS($G$8:$G$77,B89,$F$8:$F$77,2)</f>
        <v>4</v>
      </c>
      <c r="F89" s="16" t="n">
        <f aca="false">COUNTIFS($G$8:$G$77,B89,$F$8:$F$77,3)</f>
        <v>1</v>
      </c>
      <c r="G89" s="16" t="n">
        <f aca="false">COUNTIFS($G$8:$G$77,B89,$F$8:$F$77,4)</f>
        <v>0</v>
      </c>
      <c r="H89" s="23" t="n">
        <f aca="false">INDEX(Simulador!$E$72:$E$78,MIN(C89,6)+1)</f>
        <v>0</v>
      </c>
      <c r="I89" s="23" t="n">
        <f aca="false">INDEX(Simulador!$F$72:$F$78,MIN(C89,6)+1)</f>
        <v>0</v>
      </c>
      <c r="J89" s="23" t="n">
        <f aca="false">IF(Simulador!$C$16="Mensual fijo",Simulador!$C$14/Simulador!$C$7,0)</f>
        <v>0</v>
      </c>
    </row>
    <row r="90" customFormat="false" ht="15" hidden="false" customHeight="false" outlineLevel="0" collapsed="false">
      <c r="B90" s="16" t="n">
        <v>7</v>
      </c>
      <c r="C90" s="16" t="n">
        <f aca="false">COUNTIF($G$8:$G$77,B90)</f>
        <v>7</v>
      </c>
      <c r="D90" s="16" t="n">
        <f aca="false">COUNTIFS($G$8:$G$77,B90,$F$8:$F$77,1)</f>
        <v>2</v>
      </c>
      <c r="E90" s="16" t="n">
        <f aca="false">COUNTIFS($G$8:$G$77,B90,$F$8:$F$77,2)</f>
        <v>3</v>
      </c>
      <c r="F90" s="16" t="n">
        <f aca="false">COUNTIFS($G$8:$G$77,B90,$F$8:$F$77,3)</f>
        <v>0</v>
      </c>
      <c r="G90" s="16" t="n">
        <f aca="false">COUNTIFS($G$8:$G$77,B90,$F$8:$F$77,4)</f>
        <v>2</v>
      </c>
      <c r="H90" s="23" t="n">
        <f aca="false">INDEX(Simulador!$E$72:$E$78,MIN(C90,6)+1)</f>
        <v>0</v>
      </c>
      <c r="I90" s="23" t="n">
        <f aca="false">INDEX(Simulador!$F$72:$F$78,MIN(C90,6)+1)</f>
        <v>0</v>
      </c>
      <c r="J90" s="23" t="n">
        <f aca="false">IF(Simulador!$C$16="Mensual fijo",Simulador!$C$14/Simulador!$C$7,0)</f>
        <v>0</v>
      </c>
    </row>
    <row r="91" customFormat="false" ht="15" hidden="false" customHeight="false" outlineLevel="0" collapsed="false">
      <c r="B91" s="16" t="n">
        <v>8</v>
      </c>
      <c r="C91" s="16" t="n">
        <f aca="false">COUNTIF($G$8:$G$77,B91)</f>
        <v>3</v>
      </c>
      <c r="D91" s="16" t="n">
        <f aca="false">COUNTIFS($G$8:$G$77,B91,$F$8:$F$77,1)</f>
        <v>1</v>
      </c>
      <c r="E91" s="16" t="n">
        <f aca="false">COUNTIFS($G$8:$G$77,B91,$F$8:$F$77,2)</f>
        <v>0</v>
      </c>
      <c r="F91" s="16" t="n">
        <f aca="false">COUNTIFS($G$8:$G$77,B91,$F$8:$F$77,3)</f>
        <v>1</v>
      </c>
      <c r="G91" s="16" t="n">
        <f aca="false">COUNTIFS($G$8:$G$77,B91,$F$8:$F$77,4)</f>
        <v>1</v>
      </c>
      <c r="H91" s="23" t="n">
        <f aca="false">INDEX(Simulador!$E$72:$E$78,MIN(C91,6)+1)</f>
        <v>69757.6113513514</v>
      </c>
      <c r="I91" s="23" t="n">
        <f aca="false">INDEX(Simulador!$F$72:$F$78,MIN(C91,6)+1)</f>
        <v>90527.0091891892</v>
      </c>
      <c r="J91" s="23" t="n">
        <f aca="false">IF(Simulador!$C$16="Mensual fijo",Simulador!$C$14/Simulador!$C$7,0)</f>
        <v>0</v>
      </c>
    </row>
    <row r="92" customFormat="false" ht="15" hidden="false" customHeight="false" outlineLevel="0" collapsed="false">
      <c r="B92" s="16" t="n">
        <v>9</v>
      </c>
      <c r="C92" s="16" t="n">
        <f aca="false">COUNTIF($G$8:$G$77,B92)</f>
        <v>6</v>
      </c>
      <c r="D92" s="16" t="n">
        <f aca="false">COUNTIFS($G$8:$G$77,B92,$F$8:$F$77,1)</f>
        <v>2</v>
      </c>
      <c r="E92" s="16" t="n">
        <f aca="false">COUNTIFS($G$8:$G$77,B92,$F$8:$F$77,2)</f>
        <v>2</v>
      </c>
      <c r="F92" s="16" t="n">
        <f aca="false">COUNTIFS($G$8:$G$77,B92,$F$8:$F$77,3)</f>
        <v>2</v>
      </c>
      <c r="G92" s="16" t="n">
        <f aca="false">COUNTIFS($G$8:$G$77,B92,$F$8:$F$77,4)</f>
        <v>0</v>
      </c>
      <c r="H92" s="23" t="n">
        <f aca="false">INDEX(Simulador!$E$72:$E$78,MIN(C92,6)+1)</f>
        <v>0</v>
      </c>
      <c r="I92" s="23" t="n">
        <f aca="false">INDEX(Simulador!$F$72:$F$78,MIN(C92,6)+1)</f>
        <v>0</v>
      </c>
      <c r="J92" s="23" t="n">
        <f aca="false">IF(Simulador!$C$16="Mensual fijo",Simulador!$C$14/Simulador!$C$7,0)</f>
        <v>0</v>
      </c>
    </row>
    <row r="93" customFormat="false" ht="15" hidden="false" customHeight="false" outlineLevel="0" collapsed="false">
      <c r="B93" s="16" t="n">
        <v>10</v>
      </c>
      <c r="C93" s="16" t="n">
        <f aca="false">COUNTIF($G$8:$G$77,B93)</f>
        <v>6</v>
      </c>
      <c r="D93" s="16" t="n">
        <f aca="false">COUNTIFS($G$8:$G$77,B93,$F$8:$F$77,1)</f>
        <v>3</v>
      </c>
      <c r="E93" s="16" t="n">
        <f aca="false">COUNTIFS($G$8:$G$77,B93,$F$8:$F$77,2)</f>
        <v>0</v>
      </c>
      <c r="F93" s="16" t="n">
        <f aca="false">COUNTIFS($G$8:$G$77,B93,$F$8:$F$77,3)</f>
        <v>3</v>
      </c>
      <c r="G93" s="16" t="n">
        <f aca="false">COUNTIFS($G$8:$G$77,B93,$F$8:$F$77,4)</f>
        <v>0</v>
      </c>
      <c r="H93" s="23" t="n">
        <f aca="false">INDEX(Simulador!$E$72:$E$78,MIN(C93,6)+1)</f>
        <v>0</v>
      </c>
      <c r="I93" s="23" t="n">
        <f aca="false">INDEX(Simulador!$F$72:$F$78,MIN(C93,6)+1)</f>
        <v>0</v>
      </c>
      <c r="J93" s="23" t="n">
        <f aca="false">IF(Simulador!$C$16="Mensual fijo",Simulador!$C$14/Simulador!$C$7,0)</f>
        <v>0</v>
      </c>
    </row>
    <row r="94" customFormat="false" ht="15" hidden="false" customHeight="false" outlineLevel="0" collapsed="false">
      <c r="B94" s="16" t="n">
        <v>11</v>
      </c>
      <c r="C94" s="16" t="n">
        <f aca="false">COUNTIF($G$8:$G$77,B94)</f>
        <v>3</v>
      </c>
      <c r="D94" s="16" t="n">
        <f aca="false">COUNTIFS($G$8:$G$77,B94,$F$8:$F$77,1)</f>
        <v>0</v>
      </c>
      <c r="E94" s="16" t="n">
        <f aca="false">COUNTIFS($G$8:$G$77,B94,$F$8:$F$77,2)</f>
        <v>2</v>
      </c>
      <c r="F94" s="16" t="n">
        <f aca="false">COUNTIFS($G$8:$G$77,B94,$F$8:$F$77,3)</f>
        <v>1</v>
      </c>
      <c r="G94" s="16" t="n">
        <f aca="false">COUNTIFS($G$8:$G$77,B94,$F$8:$F$77,4)</f>
        <v>0</v>
      </c>
      <c r="H94" s="23" t="n">
        <f aca="false">INDEX(Simulador!$E$72:$E$78,MIN(C94,6)+1)</f>
        <v>69757.6113513514</v>
      </c>
      <c r="I94" s="23" t="n">
        <f aca="false">INDEX(Simulador!$F$72:$F$78,MIN(C94,6)+1)</f>
        <v>90527.0091891892</v>
      </c>
      <c r="J94" s="23" t="n">
        <f aca="false">IF(Simulador!$C$16="Mensual fijo",Simulador!$C$14/Simulador!$C$7,0)</f>
        <v>0</v>
      </c>
    </row>
    <row r="95" customFormat="false" ht="15" hidden="false" customHeight="false" outlineLevel="0" collapsed="false">
      <c r="B95" s="35" t="s">
        <v>189</v>
      </c>
      <c r="C95" s="33" t="n">
        <f aca="false">SUM(C84:C94)</f>
        <v>70</v>
      </c>
      <c r="D95" s="33" t="n">
        <f aca="false">SUM(D84:D94)</f>
        <v>23</v>
      </c>
      <c r="E95" s="33" t="n">
        <f aca="false">SUM(E84:E94)</f>
        <v>29</v>
      </c>
      <c r="F95" s="33" t="n">
        <f aca="false">SUM(F84:F94)</f>
        <v>14</v>
      </c>
      <c r="G95" s="33" t="n">
        <f aca="false">SUM(G84:G94)</f>
        <v>4</v>
      </c>
      <c r="H95" s="22" t="n">
        <f aca="false">SUM(H84:H94)</f>
        <v>139515.222702703</v>
      </c>
      <c r="I95" s="22" t="n">
        <f aca="false">SUM(I84:I94)</f>
        <v>181054.018378378</v>
      </c>
      <c r="J95" s="22" t="n">
        <f aca="false">SUM(J84:J94)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314</v>
      </c>
    </row>
    <row r="2" customFormat="false" ht="15" hidden="false" customHeight="false" outlineLevel="0" collapsed="false">
      <c r="B2" s="2" t="s">
        <v>315</v>
      </c>
    </row>
    <row r="3" customFormat="false" ht="30" hidden="false" customHeight="true" outlineLevel="0" collapsed="false">
      <c r="W3" s="4" t="s">
        <v>146</v>
      </c>
      <c r="X3" s="34" t="s">
        <v>200</v>
      </c>
      <c r="Y3" s="34" t="s">
        <v>201</v>
      </c>
      <c r="Z3" s="34" t="s">
        <v>202</v>
      </c>
      <c r="AA3" s="34" t="s">
        <v>203</v>
      </c>
    </row>
    <row r="4" customFormat="false" ht="15" hidden="false" customHeight="false" outlineLevel="0" collapsed="false">
      <c r="B4" s="35" t="s">
        <v>204</v>
      </c>
      <c r="W4" s="5" t="s">
        <v>196</v>
      </c>
      <c r="X4" s="23" t="n">
        <f aca="false">L54</f>
        <v>4266318.02702703</v>
      </c>
      <c r="Y4" s="23"/>
      <c r="Z4" s="23" t="n">
        <f aca="false">L54</f>
        <v>4266318.02702703</v>
      </c>
      <c r="AA4" s="23"/>
    </row>
    <row r="5" customFormat="false" ht="15" hidden="false" customHeight="false" outlineLevel="0" collapsed="false">
      <c r="W5" s="5" t="s">
        <v>205</v>
      </c>
      <c r="X5" s="23" t="n">
        <f aca="false">M54+$H$68+$J$68</f>
        <v>4081146.2427027</v>
      </c>
      <c r="Y5" s="23" t="n">
        <f aca="false">$X$4-X5</f>
        <v>185171.784324324</v>
      </c>
      <c r="Z5" s="23" t="n">
        <f aca="false">Q54+$H$68+$J$68</f>
        <v>4185250.2427027</v>
      </c>
      <c r="AA5" s="23" t="n">
        <f aca="false">$Z$4-Z5</f>
        <v>81067.7843243238</v>
      </c>
    </row>
    <row r="6" customFormat="false" ht="15" hidden="false" customHeight="false" outlineLevel="0" collapsed="false">
      <c r="W6" s="5" t="s">
        <v>206</v>
      </c>
      <c r="X6" s="23" t="n">
        <f aca="false">N54+$H$68+$J$68</f>
        <v>5459003.65756757</v>
      </c>
      <c r="Y6" s="23" t="n">
        <f aca="false">$X$4-X6</f>
        <v>-1192685.63054054</v>
      </c>
      <c r="Z6" s="23" t="n">
        <f aca="false">R54+$H$68+$J$68</f>
        <v>5563107.65756757</v>
      </c>
      <c r="AA6" s="23" t="n">
        <f aca="false">$Z$4-Z6</f>
        <v>-1296789.63054054</v>
      </c>
    </row>
    <row r="7" customFormat="false" ht="30" hidden="false" customHeight="true" outlineLevel="0" collapsed="false">
      <c r="B7" s="36" t="s">
        <v>207</v>
      </c>
      <c r="C7" s="36" t="s">
        <v>208</v>
      </c>
      <c r="D7" s="36" t="s">
        <v>209</v>
      </c>
      <c r="E7" s="36" t="s">
        <v>210</v>
      </c>
      <c r="F7" s="36" t="s">
        <v>211</v>
      </c>
      <c r="G7" s="36" t="s">
        <v>212</v>
      </c>
      <c r="H7" s="36" t="s">
        <v>213</v>
      </c>
      <c r="I7" s="36" t="s">
        <v>214</v>
      </c>
      <c r="J7" s="36" t="s">
        <v>215</v>
      </c>
      <c r="K7" s="36" t="s">
        <v>216</v>
      </c>
      <c r="L7" s="36" t="s">
        <v>196</v>
      </c>
      <c r="M7" s="36" t="s">
        <v>217</v>
      </c>
      <c r="N7" s="36" t="s">
        <v>218</v>
      </c>
      <c r="O7" s="36" t="s">
        <v>219</v>
      </c>
      <c r="P7" s="36" t="s">
        <v>220</v>
      </c>
      <c r="Q7" s="36" t="s">
        <v>221</v>
      </c>
      <c r="R7" s="36" t="s">
        <v>222</v>
      </c>
      <c r="S7" s="36" t="s">
        <v>223</v>
      </c>
      <c r="T7" s="36" t="s">
        <v>224</v>
      </c>
      <c r="U7" s="36" t="s">
        <v>225</v>
      </c>
      <c r="W7" s="5" t="s">
        <v>226</v>
      </c>
      <c r="X7" s="23" t="n">
        <f aca="false">O54+$H$68+$J$68</f>
        <v>5162143.79135135</v>
      </c>
      <c r="Y7" s="23" t="n">
        <f aca="false">$X$4-X7</f>
        <v>-895825.764324324</v>
      </c>
      <c r="Z7" s="23" t="n">
        <f aca="false">S54+$H$68+$J$68</f>
        <v>5266247.79135135</v>
      </c>
      <c r="AA7" s="23" t="n">
        <f aca="false">$Z$4-Z7</f>
        <v>-999929.764324324</v>
      </c>
    </row>
    <row r="8" customFormat="false" ht="15" hidden="false" customHeight="false" outlineLevel="0" collapsed="false">
      <c r="B8" s="37" t="n">
        <v>45701</v>
      </c>
      <c r="C8" s="9" t="s">
        <v>316</v>
      </c>
      <c r="D8" s="38" t="n">
        <v>12</v>
      </c>
      <c r="E8" s="9" t="s">
        <v>228</v>
      </c>
      <c r="F8" s="16" t="n">
        <f aca="false">MATCH(E8,{"Misma locación","0.15 - 5 km","5 - 10 km","10+ km"},0)</f>
        <v>4</v>
      </c>
      <c r="G8" s="16" t="n">
        <f aca="false">MONTH(B8)</f>
        <v>2</v>
      </c>
      <c r="H8" s="16" t="n">
        <f aca="false">COUNTIF($G$8:G8,G8)</f>
        <v>1</v>
      </c>
      <c r="I8" s="38" t="n">
        <v>60</v>
      </c>
      <c r="J8" s="39" t="n">
        <f aca="false">INDEX(Simulador!$C$39:$F$39,F8)</f>
        <v>28</v>
      </c>
      <c r="K8" s="40" t="n">
        <f aca="false">IF(I8="","",I8-J8)</f>
        <v>32</v>
      </c>
      <c r="L8" s="41" t="n">
        <f aca="false">INDEX(Simulador!$C$51:$F$51,F8)</f>
        <v>110984.810810811</v>
      </c>
      <c r="M8" s="23" t="n">
        <f aca="false">IF(H8&gt;=Simulador!$C$19,INDEX(Simulador!$C$63:$F$63,F8),INDEX(Simulador!$C$62:$F$62,F8))</f>
        <v>110082.323783784</v>
      </c>
      <c r="N8" s="23" t="n">
        <f aca="false">INDEX(Simulador!$C$64:$F$64,F8)</f>
        <v>155579.061621622</v>
      </c>
      <c r="O8" s="23" t="n">
        <f aca="false">IF(H8&gt;=Simulador!$C$19,INDEX(Simulador!$C$65:$F$65,F8),INDEX(Simulador!$C$64:$F$64,F8))</f>
        <v>155579.061621622</v>
      </c>
      <c r="P8" s="23" t="n">
        <f aca="false">IF(H8&gt;=Simulador!$C$19,INDEX(Simulador!$C$67:$F$67,F8),INDEX(Simulador!$C$66:$F$66,F8))</f>
        <v>111865.297837838</v>
      </c>
      <c r="Q8" s="23" t="n">
        <f aca="false">M8+(IF(I8="",J8,I8)-J8)*Simulador!$C$9</f>
        <v>156674.323783784</v>
      </c>
      <c r="R8" s="23" t="n">
        <f aca="false">N8+(IF(I8="",J8,I8)-J8)*Simulador!$C$9</f>
        <v>202171.061621622</v>
      </c>
      <c r="S8" s="23" t="n">
        <f aca="false">O8+(IF(I8="",J8,I8)-J8)*Simulador!$C$9</f>
        <v>202171.061621622</v>
      </c>
      <c r="T8" s="23" t="n">
        <f aca="false">P8+(IF(I8="",J8,I8)-J8)*Simulador!$C$9</f>
        <v>158457.297837838</v>
      </c>
      <c r="U8" s="2"/>
      <c r="W8" s="5" t="s">
        <v>156</v>
      </c>
      <c r="X8" s="23" t="n">
        <f aca="false">P54+$I$68+$J$68</f>
        <v>4089479.36351351</v>
      </c>
      <c r="Y8" s="23" t="n">
        <f aca="false">$X$4-X8</f>
        <v>176838.663513513</v>
      </c>
      <c r="Z8" s="23" t="n">
        <f aca="false">T54+$I$68+$J$68</f>
        <v>4193583.36351351</v>
      </c>
      <c r="AA8" s="23" t="n">
        <f aca="false">$Z$4-Z8</f>
        <v>72734.6635135133</v>
      </c>
    </row>
    <row r="9" customFormat="false" ht="15" hidden="false" customHeight="false" outlineLevel="0" collapsed="false">
      <c r="B9" s="37" t="n">
        <v>45725</v>
      </c>
      <c r="C9" s="9" t="s">
        <v>317</v>
      </c>
      <c r="D9" s="38" t="n">
        <v>13.5</v>
      </c>
      <c r="E9" s="9" t="s">
        <v>228</v>
      </c>
      <c r="F9" s="16" t="n">
        <f aca="false">MATCH(E9,{"Misma locación","0.15 - 5 km","5 - 10 km","10+ km"},0)</f>
        <v>4</v>
      </c>
      <c r="G9" s="16" t="n">
        <f aca="false">MONTH(B9)</f>
        <v>3</v>
      </c>
      <c r="H9" s="16" t="n">
        <f aca="false">COUNTIF($G$8:G9,G9)</f>
        <v>1</v>
      </c>
      <c r="I9" s="38" t="n">
        <v>41.25</v>
      </c>
      <c r="J9" s="39" t="n">
        <f aca="false">INDEX(Simulador!$C$39:$F$39,F9)</f>
        <v>28</v>
      </c>
      <c r="K9" s="40" t="n">
        <f aca="false">IF(I9="","",I9-J9)</f>
        <v>13.25</v>
      </c>
      <c r="L9" s="41" t="n">
        <f aca="false">INDEX(Simulador!$C$51:$F$51,F9)</f>
        <v>110984.810810811</v>
      </c>
      <c r="M9" s="23" t="n">
        <f aca="false">IF(H9&gt;=Simulador!$C$19,INDEX(Simulador!$C$63:$F$63,F9),INDEX(Simulador!$C$62:$F$62,F9))</f>
        <v>110082.323783784</v>
      </c>
      <c r="N9" s="23" t="n">
        <f aca="false">INDEX(Simulador!$C$64:$F$64,F9)</f>
        <v>155579.061621622</v>
      </c>
      <c r="O9" s="23" t="n">
        <f aca="false">IF(H9&gt;=Simulador!$C$19,INDEX(Simulador!$C$65:$F$65,F9),INDEX(Simulador!$C$64:$F$64,F9))</f>
        <v>155579.061621622</v>
      </c>
      <c r="P9" s="23" t="n">
        <f aca="false">IF(H9&gt;=Simulador!$C$19,INDEX(Simulador!$C$67:$F$67,F9),INDEX(Simulador!$C$66:$F$66,F9))</f>
        <v>111865.297837838</v>
      </c>
      <c r="Q9" s="23" t="n">
        <f aca="false">M9+(IF(I9="",J9,I9)-J9)*Simulador!$C$9</f>
        <v>129374.323783784</v>
      </c>
      <c r="R9" s="23" t="n">
        <f aca="false">N9+(IF(I9="",J9,I9)-J9)*Simulador!$C$9</f>
        <v>174871.061621622</v>
      </c>
      <c r="S9" s="23" t="n">
        <f aca="false">O9+(IF(I9="",J9,I9)-J9)*Simulador!$C$9</f>
        <v>174871.061621622</v>
      </c>
      <c r="T9" s="23" t="n">
        <f aca="false">P9+(IF(I9="",J9,I9)-J9)*Simulador!$C$9</f>
        <v>131157.297837838</v>
      </c>
      <c r="U9" s="2"/>
      <c r="W9" s="42" t="s">
        <v>232</v>
      </c>
      <c r="X9" s="42" t="n">
        <v>45</v>
      </c>
    </row>
    <row r="10" customFormat="false" ht="15" hidden="false" customHeight="false" outlineLevel="0" collapsed="false">
      <c r="B10" s="37" t="n">
        <v>45738</v>
      </c>
      <c r="C10" s="9" t="s">
        <v>318</v>
      </c>
      <c r="D10" s="38" t="n">
        <v>2.4</v>
      </c>
      <c r="E10" s="9" t="s">
        <v>231</v>
      </c>
      <c r="F10" s="16" t="n">
        <f aca="false">MATCH(E10,{"Misma locación","0.15 - 5 km","5 - 10 km","10+ km"},0)</f>
        <v>2</v>
      </c>
      <c r="G10" s="16" t="n">
        <f aca="false">MONTH(B10)</f>
        <v>3</v>
      </c>
      <c r="H10" s="16" t="n">
        <f aca="false">COUNTIF($G$8:G10,G10)</f>
        <v>2</v>
      </c>
      <c r="I10" s="38" t="n">
        <v>25.5</v>
      </c>
      <c r="J10" s="39" t="n">
        <f aca="false">INDEX(Simulador!$C$39:$F$39,F10)</f>
        <v>18</v>
      </c>
      <c r="K10" s="40" t="n">
        <f aca="false">IF(I10="","",I10-J10)</f>
        <v>7.5</v>
      </c>
      <c r="L10" s="41" t="n">
        <f aca="false">INDEX(Simulador!$C$51:$F$51,F10)</f>
        <v>99473.8108108108</v>
      </c>
      <c r="M10" s="23" t="n">
        <f aca="false">IF(H10&gt;=Simulador!$C$19,INDEX(Simulador!$C$63:$F$63,F10),INDEX(Simulador!$C$62:$F$62,F10))</f>
        <v>88600.7254054054</v>
      </c>
      <c r="N10" s="23" t="n">
        <f aca="false">INDEX(Simulador!$C$64:$F$64,F10)</f>
        <v>111149.808108108</v>
      </c>
      <c r="O10" s="23" t="n">
        <f aca="false">IF(H10&gt;=Simulador!$C$19,INDEX(Simulador!$C$65:$F$65,F10),INDEX(Simulador!$C$64:$F$64,F10))</f>
        <v>111149.808108108</v>
      </c>
      <c r="P10" s="23" t="n">
        <f aca="false">IF(H10&gt;=Simulador!$C$19,INDEX(Simulador!$C$67:$F$67,F10),INDEX(Simulador!$C$66:$F$66,F10))</f>
        <v>85046.6491891892</v>
      </c>
      <c r="Q10" s="23" t="n">
        <f aca="false">M10+(IF(I10="",J10,I10)-J10)*Simulador!$C$9</f>
        <v>99520.7254054054</v>
      </c>
      <c r="R10" s="23" t="n">
        <f aca="false">N10+(IF(I10="",J10,I10)-J10)*Simulador!$C$9</f>
        <v>122069.808108108</v>
      </c>
      <c r="S10" s="23" t="n">
        <f aca="false">O10+(IF(I10="",J10,I10)-J10)*Simulador!$C$9</f>
        <v>122069.808108108</v>
      </c>
      <c r="T10" s="23" t="n">
        <f aca="false">P10+(IF(I10="",J10,I10)-J10)*Simulador!$C$9</f>
        <v>95966.6491891892</v>
      </c>
      <c r="U10" s="2"/>
      <c r="W10" s="42" t="s">
        <v>234</v>
      </c>
      <c r="X10" s="42" t="n">
        <v>9</v>
      </c>
    </row>
    <row r="11" customFormat="false" ht="15" hidden="false" customHeight="false" outlineLevel="0" collapsed="false">
      <c r="B11" s="37" t="n">
        <v>45743</v>
      </c>
      <c r="C11" s="9" t="s">
        <v>319</v>
      </c>
      <c r="D11" s="38" t="n">
        <v>0.00640079979517441</v>
      </c>
      <c r="E11" s="9" t="s">
        <v>245</v>
      </c>
      <c r="F11" s="16" t="n">
        <f aca="false">MATCH(E11,{"Misma locación","0.15 - 5 km","5 - 10 km","10+ km"},0)</f>
        <v>1</v>
      </c>
      <c r="G11" s="16" t="n">
        <f aca="false">MONTH(B11)</f>
        <v>3</v>
      </c>
      <c r="H11" s="16" t="n">
        <f aca="false">COUNTIF($G$8:G11,G11)</f>
        <v>3</v>
      </c>
      <c r="I11" s="38" t="n">
        <v>11.75</v>
      </c>
      <c r="J11" s="39" t="n">
        <f aca="false">INDEX(Simulador!$C$39:$F$39,F11)</f>
        <v>12</v>
      </c>
      <c r="K11" s="40" t="n">
        <f aca="false">IF(I11="","",I11-J11)</f>
        <v>-0.25</v>
      </c>
      <c r="L11" s="41" t="n">
        <f aca="false">INDEX(Simulador!$C$51:$F$51,F11)</f>
        <v>76047.4054054054</v>
      </c>
      <c r="M11" s="23" t="n">
        <f aca="false">IF(H11&gt;=Simulador!$C$19,INDEX(Simulador!$C$63:$F$63,F11),INDEX(Simulador!$C$62:$F$62,F11))</f>
        <v>58116.7137837838</v>
      </c>
      <c r="N11" s="23" t="n">
        <f aca="false">INDEX(Simulador!$C$64:$F$64,F11)</f>
        <v>68381.1581081081</v>
      </c>
      <c r="O11" s="23" t="n">
        <f aca="false">IF(H11&gt;=Simulador!$C$19,INDEX(Simulador!$C$65:$F$65,F11),INDEX(Simulador!$C$64:$F$64,F11))</f>
        <v>68381.1581081081</v>
      </c>
      <c r="P11" s="23" t="n">
        <f aca="false">IF(H11&gt;=Simulador!$C$19,INDEX(Simulador!$C$67:$F$67,F11),INDEX(Simulador!$C$66:$F$66,F11))</f>
        <v>58075.5140540541</v>
      </c>
      <c r="Q11" s="23" t="n">
        <f aca="false">M11+(IF(I11="",J11,I11)-J11)*Simulador!$C$9</f>
        <v>57752.7137837838</v>
      </c>
      <c r="R11" s="23" t="n">
        <f aca="false">N11+(IF(I11="",J11,I11)-J11)*Simulador!$C$9</f>
        <v>68017.1581081081</v>
      </c>
      <c r="S11" s="23" t="n">
        <f aca="false">O11+(IF(I11="",J11,I11)-J11)*Simulador!$C$9</f>
        <v>68017.1581081081</v>
      </c>
      <c r="T11" s="23" t="n">
        <f aca="false">P11+(IF(I11="",J11,I11)-J11)*Simulador!$C$9</f>
        <v>57711.5140540541</v>
      </c>
      <c r="U11" s="2"/>
      <c r="W11" s="42" t="s">
        <v>237</v>
      </c>
      <c r="X11" s="43" t="n">
        <f aca="false">X9/X10</f>
        <v>5</v>
      </c>
    </row>
    <row r="12" customFormat="false" ht="15" hidden="false" customHeight="false" outlineLevel="0" collapsed="false">
      <c r="B12" s="37" t="n">
        <v>45747</v>
      </c>
      <c r="C12" s="9" t="s">
        <v>320</v>
      </c>
      <c r="D12" s="38" t="n">
        <v>0.6</v>
      </c>
      <c r="E12" s="9" t="s">
        <v>231</v>
      </c>
      <c r="F12" s="16" t="n">
        <f aca="false">MATCH(E12,{"Misma locación","0.15 - 5 km","5 - 10 km","10+ km"},0)</f>
        <v>2</v>
      </c>
      <c r="G12" s="16" t="n">
        <f aca="false">MONTH(B12)</f>
        <v>3</v>
      </c>
      <c r="H12" s="16" t="n">
        <f aca="false">COUNTIF($G$8:G12,G12)</f>
        <v>4</v>
      </c>
      <c r="I12" s="38" t="n">
        <v>19.5</v>
      </c>
      <c r="J12" s="39" t="n">
        <f aca="false">INDEX(Simulador!$C$39:$F$39,F12)</f>
        <v>18</v>
      </c>
      <c r="K12" s="40" t="n">
        <f aca="false">IF(I12="","",I12-J12)</f>
        <v>1.5</v>
      </c>
      <c r="L12" s="41" t="n">
        <f aca="false">INDEX(Simulador!$C$51:$F$51,F12)</f>
        <v>99473.8108108108</v>
      </c>
      <c r="M12" s="23" t="n">
        <f aca="false">IF(H12&gt;=Simulador!$C$19,INDEX(Simulador!$C$63:$F$63,F12),INDEX(Simulador!$C$62:$F$62,F12))</f>
        <v>88600.7254054054</v>
      </c>
      <c r="N12" s="23" t="n">
        <f aca="false">INDEX(Simulador!$C$64:$F$64,F12)</f>
        <v>111149.808108108</v>
      </c>
      <c r="O12" s="23" t="n">
        <f aca="false">IF(H12&gt;=Simulador!$C$19,INDEX(Simulador!$C$65:$F$65,F12),INDEX(Simulador!$C$64:$F$64,F12))</f>
        <v>111149.808108108</v>
      </c>
      <c r="P12" s="23" t="n">
        <f aca="false">IF(H12&gt;=Simulador!$C$19,INDEX(Simulador!$C$67:$F$67,F12),INDEX(Simulador!$C$66:$F$66,F12))</f>
        <v>85046.6491891892</v>
      </c>
      <c r="Q12" s="23" t="n">
        <f aca="false">M12+(IF(I12="",J12,I12)-J12)*Simulador!$C$9</f>
        <v>90784.7254054054</v>
      </c>
      <c r="R12" s="23" t="n">
        <f aca="false">N12+(IF(I12="",J12,I12)-J12)*Simulador!$C$9</f>
        <v>113333.808108108</v>
      </c>
      <c r="S12" s="23" t="n">
        <f aca="false">O12+(IF(I12="",J12,I12)-J12)*Simulador!$C$9</f>
        <v>113333.808108108</v>
      </c>
      <c r="T12" s="23" t="n">
        <f aca="false">P12+(IF(I12="",J12,I12)-J12)*Simulador!$C$9</f>
        <v>87230.6491891892</v>
      </c>
      <c r="U12" s="2"/>
      <c r="W12" s="42" t="s">
        <v>239</v>
      </c>
      <c r="X12" s="42" t="n">
        <f aca="false">COUNTIF(C59:C67,"&gt;=6")</f>
        <v>4</v>
      </c>
    </row>
    <row r="13" customFormat="false" ht="15" hidden="false" customHeight="false" outlineLevel="0" collapsed="false">
      <c r="B13" s="37" t="n">
        <v>45752</v>
      </c>
      <c r="C13" s="9" t="s">
        <v>321</v>
      </c>
      <c r="D13" s="38" t="n">
        <v>0.58</v>
      </c>
      <c r="E13" s="9" t="s">
        <v>231</v>
      </c>
      <c r="F13" s="16" t="n">
        <f aca="false">MATCH(E13,{"Misma locación","0.15 - 5 km","5 - 10 km","10+ km"},0)</f>
        <v>2</v>
      </c>
      <c r="G13" s="16" t="n">
        <f aca="false">MONTH(B13)</f>
        <v>4</v>
      </c>
      <c r="H13" s="16" t="n">
        <f aca="false">COUNTIF($G$8:G13,G13)</f>
        <v>1</v>
      </c>
      <c r="I13" s="38" t="n">
        <v>15.75</v>
      </c>
      <c r="J13" s="39" t="n">
        <f aca="false">INDEX(Simulador!$C$39:$F$39,F13)</f>
        <v>18</v>
      </c>
      <c r="K13" s="40" t="n">
        <f aca="false">IF(I13="","",I13-J13)</f>
        <v>-2.25</v>
      </c>
      <c r="L13" s="41" t="n">
        <f aca="false">INDEX(Simulador!$C$51:$F$51,F13)</f>
        <v>99473.8108108108</v>
      </c>
      <c r="M13" s="23" t="n">
        <f aca="false">IF(H13&gt;=Simulador!$C$19,INDEX(Simulador!$C$63:$F$63,F13),INDEX(Simulador!$C$62:$F$62,F13))</f>
        <v>88600.7254054054</v>
      </c>
      <c r="N13" s="23" t="n">
        <f aca="false">INDEX(Simulador!$C$64:$F$64,F13)</f>
        <v>111149.808108108</v>
      </c>
      <c r="O13" s="23" t="n">
        <f aca="false">IF(H13&gt;=Simulador!$C$19,INDEX(Simulador!$C$65:$F$65,F13),INDEX(Simulador!$C$64:$F$64,F13))</f>
        <v>111149.808108108</v>
      </c>
      <c r="P13" s="23" t="n">
        <f aca="false">IF(H13&gt;=Simulador!$C$19,INDEX(Simulador!$C$67:$F$67,F13),INDEX(Simulador!$C$66:$F$66,F13))</f>
        <v>85046.6491891892</v>
      </c>
      <c r="Q13" s="23" t="n">
        <f aca="false">M13+(IF(I13="",J13,I13)-J13)*Simulador!$C$9</f>
        <v>85324.7254054054</v>
      </c>
      <c r="R13" s="23" t="n">
        <f aca="false">N13+(IF(I13="",J13,I13)-J13)*Simulador!$C$9</f>
        <v>107873.808108108</v>
      </c>
      <c r="S13" s="23" t="n">
        <f aca="false">O13+(IF(I13="",J13,I13)-J13)*Simulador!$C$9</f>
        <v>107873.808108108</v>
      </c>
      <c r="T13" s="23" t="n">
        <f aca="false">P13+(IF(I13="",J13,I13)-J13)*Simulador!$C$9</f>
        <v>81770.6491891892</v>
      </c>
      <c r="U13" s="2"/>
      <c r="W13" s="42" t="s">
        <v>241</v>
      </c>
      <c r="X13" s="42" t="n">
        <f aca="false">COUNTIF(C59:C67,"&lt;5")</f>
        <v>3</v>
      </c>
    </row>
    <row r="14" customFormat="false" ht="15" hidden="false" customHeight="false" outlineLevel="0" collapsed="false">
      <c r="B14" s="37" t="n">
        <v>45756</v>
      </c>
      <c r="C14" s="9" t="s">
        <v>322</v>
      </c>
      <c r="D14" s="38" t="n">
        <v>0.0128015995903488</v>
      </c>
      <c r="E14" s="9" t="s">
        <v>245</v>
      </c>
      <c r="F14" s="16" t="n">
        <f aca="false">MATCH(E14,{"Misma locación","0.15 - 5 km","5 - 10 km","10+ km"},0)</f>
        <v>1</v>
      </c>
      <c r="G14" s="16" t="n">
        <f aca="false">MONTH(B14)</f>
        <v>4</v>
      </c>
      <c r="H14" s="16" t="n">
        <f aca="false">COUNTIF($G$8:G14,G14)</f>
        <v>2</v>
      </c>
      <c r="I14" s="38" t="n">
        <v>15.5</v>
      </c>
      <c r="J14" s="39" t="n">
        <f aca="false">INDEX(Simulador!$C$39:$F$39,F14)</f>
        <v>12</v>
      </c>
      <c r="K14" s="40" t="n">
        <f aca="false">IF(I14="","",I14-J14)</f>
        <v>3.5</v>
      </c>
      <c r="L14" s="41" t="n">
        <f aca="false">INDEX(Simulador!$C$51:$F$51,F14)</f>
        <v>76047.4054054054</v>
      </c>
      <c r="M14" s="23" t="n">
        <f aca="false">IF(H14&gt;=Simulador!$C$19,INDEX(Simulador!$C$63:$F$63,F14),INDEX(Simulador!$C$62:$F$62,F14))</f>
        <v>58116.7137837838</v>
      </c>
      <c r="N14" s="23" t="n">
        <f aca="false">INDEX(Simulador!$C$64:$F$64,F14)</f>
        <v>68381.1581081081</v>
      </c>
      <c r="O14" s="23" t="n">
        <f aca="false">IF(H14&gt;=Simulador!$C$19,INDEX(Simulador!$C$65:$F$65,F14),INDEX(Simulador!$C$64:$F$64,F14))</f>
        <v>68381.1581081081</v>
      </c>
      <c r="P14" s="23" t="n">
        <f aca="false">IF(H14&gt;=Simulador!$C$19,INDEX(Simulador!$C$67:$F$67,F14),INDEX(Simulador!$C$66:$F$66,F14))</f>
        <v>58075.5140540541</v>
      </c>
      <c r="Q14" s="23" t="n">
        <f aca="false">M14+(IF(I14="",J14,I14)-J14)*Simulador!$C$9</f>
        <v>63212.7137837838</v>
      </c>
      <c r="R14" s="23" t="n">
        <f aca="false">N14+(IF(I14="",J14,I14)-J14)*Simulador!$C$9</f>
        <v>73477.1581081081</v>
      </c>
      <c r="S14" s="23" t="n">
        <f aca="false">O14+(IF(I14="",J14,I14)-J14)*Simulador!$C$9</f>
        <v>73477.1581081081</v>
      </c>
      <c r="T14" s="23" t="n">
        <f aca="false">P14+(IF(I14="",J14,I14)-J14)*Simulador!$C$9</f>
        <v>63171.5140540541</v>
      </c>
      <c r="U14" s="2"/>
    </row>
    <row r="15" customFormat="false" ht="15" hidden="false" customHeight="false" outlineLevel="0" collapsed="false">
      <c r="B15" s="37" t="n">
        <v>45759</v>
      </c>
      <c r="C15" s="9" t="s">
        <v>323</v>
      </c>
      <c r="D15" s="38" t="n">
        <v>8.2</v>
      </c>
      <c r="E15" s="9" t="s">
        <v>243</v>
      </c>
      <c r="F15" s="16" t="n">
        <f aca="false">MATCH(E15,{"Misma locación","0.15 - 5 km","5 - 10 km","10+ km"},0)</f>
        <v>3</v>
      </c>
      <c r="G15" s="16" t="n">
        <f aca="false">MONTH(B15)</f>
        <v>4</v>
      </c>
      <c r="H15" s="16" t="n">
        <f aca="false">COUNTIF($G$8:G15,G15)</f>
        <v>3</v>
      </c>
      <c r="I15" s="38" t="n">
        <v>20</v>
      </c>
      <c r="J15" s="39" t="n">
        <f aca="false">INDEX(Simulador!$C$39:$F$39,F15)</f>
        <v>24</v>
      </c>
      <c r="K15" s="40" t="n">
        <f aca="false">IF(I15="","",I15-J15)</f>
        <v>-4</v>
      </c>
      <c r="L15" s="41" t="n">
        <f aca="false">INDEX(Simulador!$C$51:$F$51,F15)</f>
        <v>96184.8108108108</v>
      </c>
      <c r="M15" s="23" t="n">
        <f aca="false">IF(H15&gt;=Simulador!$C$19,INDEX(Simulador!$C$63:$F$63,F15),INDEX(Simulador!$C$62:$F$62,F15))</f>
        <v>102096.161621622</v>
      </c>
      <c r="N15" s="23" t="n">
        <f aca="false">INDEX(Simulador!$C$64:$F$64,F15)</f>
        <v>138633.155135135</v>
      </c>
      <c r="O15" s="23" t="n">
        <f aca="false">IF(H15&gt;=Simulador!$C$19,INDEX(Simulador!$C$65:$F$65,F15),INDEX(Simulador!$C$64:$F$64,F15))</f>
        <v>138633.155135135</v>
      </c>
      <c r="P15" s="23" t="n">
        <f aca="false">IF(H15&gt;=Simulador!$C$19,INDEX(Simulador!$C$67:$F$67,F15),INDEX(Simulador!$C$66:$F$66,F15))</f>
        <v>104944.811351351</v>
      </c>
      <c r="Q15" s="23" t="n">
        <f aca="false">M15+(IF(I15="",J15,I15)-J15)*Simulador!$C$9</f>
        <v>96272.1616216216</v>
      </c>
      <c r="R15" s="23" t="n">
        <f aca="false">N15+(IF(I15="",J15,I15)-J15)*Simulador!$C$9</f>
        <v>132809.155135135</v>
      </c>
      <c r="S15" s="23" t="n">
        <f aca="false">O15+(IF(I15="",J15,I15)-J15)*Simulador!$C$9</f>
        <v>132809.155135135</v>
      </c>
      <c r="T15" s="23" t="n">
        <f aca="false">P15+(IF(I15="",J15,I15)-J15)*Simulador!$C$9</f>
        <v>99120.8113513514</v>
      </c>
      <c r="U15" s="2"/>
    </row>
    <row r="16" customFormat="false" ht="15" hidden="false" customHeight="false" outlineLevel="0" collapsed="false">
      <c r="B16" s="37" t="n">
        <v>45763</v>
      </c>
      <c r="C16" s="9" t="s">
        <v>324</v>
      </c>
      <c r="D16" s="38" t="n">
        <v>0.0384047987710464</v>
      </c>
      <c r="E16" s="9" t="s">
        <v>245</v>
      </c>
      <c r="F16" s="16" t="n">
        <f aca="false">MATCH(E16,{"Misma locación","0.15 - 5 km","5 - 10 km","10+ km"},0)</f>
        <v>1</v>
      </c>
      <c r="G16" s="16" t="n">
        <f aca="false">MONTH(B16)</f>
        <v>4</v>
      </c>
      <c r="H16" s="16" t="n">
        <f aca="false">COUNTIF($G$8:G16,G16)</f>
        <v>4</v>
      </c>
      <c r="I16" s="38" t="n">
        <v>13.5</v>
      </c>
      <c r="J16" s="39" t="n">
        <f aca="false">INDEX(Simulador!$C$39:$F$39,F16)</f>
        <v>12</v>
      </c>
      <c r="K16" s="40" t="n">
        <f aca="false">IF(I16="","",I16-J16)</f>
        <v>1.5</v>
      </c>
      <c r="L16" s="41" t="n">
        <f aca="false">INDEX(Simulador!$C$51:$F$51,F16)</f>
        <v>76047.4054054054</v>
      </c>
      <c r="M16" s="23" t="n">
        <f aca="false">IF(H16&gt;=Simulador!$C$19,INDEX(Simulador!$C$63:$F$63,F16),INDEX(Simulador!$C$62:$F$62,F16))</f>
        <v>58116.7137837838</v>
      </c>
      <c r="N16" s="23" t="n">
        <f aca="false">INDEX(Simulador!$C$64:$F$64,F16)</f>
        <v>68381.1581081081</v>
      </c>
      <c r="O16" s="23" t="n">
        <f aca="false">IF(H16&gt;=Simulador!$C$19,INDEX(Simulador!$C$65:$F$65,F16),INDEX(Simulador!$C$64:$F$64,F16))</f>
        <v>68381.1581081081</v>
      </c>
      <c r="P16" s="23" t="n">
        <f aca="false">IF(H16&gt;=Simulador!$C$19,INDEX(Simulador!$C$67:$F$67,F16),INDEX(Simulador!$C$66:$F$66,F16))</f>
        <v>58075.5140540541</v>
      </c>
      <c r="Q16" s="23" t="n">
        <f aca="false">M16+(IF(I16="",J16,I16)-J16)*Simulador!$C$9</f>
        <v>60300.7137837838</v>
      </c>
      <c r="R16" s="23" t="n">
        <f aca="false">N16+(IF(I16="",J16,I16)-J16)*Simulador!$C$9</f>
        <v>70565.1581081081</v>
      </c>
      <c r="S16" s="23" t="n">
        <f aca="false">O16+(IF(I16="",J16,I16)-J16)*Simulador!$C$9</f>
        <v>70565.1581081081</v>
      </c>
      <c r="T16" s="23" t="n">
        <f aca="false">P16+(IF(I16="",J16,I16)-J16)*Simulador!$C$9</f>
        <v>60259.5140540541</v>
      </c>
      <c r="U16" s="2"/>
    </row>
    <row r="17" customFormat="false" ht="15" hidden="false" customHeight="false" outlineLevel="0" collapsed="false">
      <c r="B17" s="37" t="n">
        <v>45767</v>
      </c>
      <c r="C17" s="9" t="s">
        <v>325</v>
      </c>
      <c r="D17" s="38" t="n">
        <v>0.4</v>
      </c>
      <c r="E17" s="9" t="s">
        <v>231</v>
      </c>
      <c r="F17" s="16" t="n">
        <f aca="false">MATCH(E17,{"Misma locación","0.15 - 5 km","5 - 10 km","10+ km"},0)</f>
        <v>2</v>
      </c>
      <c r="G17" s="16" t="n">
        <f aca="false">MONTH(B17)</f>
        <v>4</v>
      </c>
      <c r="H17" s="16" t="n">
        <f aca="false">COUNTIF($G$8:G17,G17)</f>
        <v>5</v>
      </c>
      <c r="I17" s="38" t="n">
        <v>15</v>
      </c>
      <c r="J17" s="39" t="n">
        <f aca="false">INDEX(Simulador!$C$39:$F$39,F17)</f>
        <v>18</v>
      </c>
      <c r="K17" s="40" t="n">
        <f aca="false">IF(I17="","",I17-J17)</f>
        <v>-3</v>
      </c>
      <c r="L17" s="41" t="n">
        <f aca="false">INDEX(Simulador!$C$51:$F$51,F17)</f>
        <v>99473.8108108108</v>
      </c>
      <c r="M17" s="23" t="n">
        <f aca="false">IF(H17&gt;=Simulador!$C$19,INDEX(Simulador!$C$63:$F$63,F17),INDEX(Simulador!$C$62:$F$62,F17))</f>
        <v>88600.7254054054</v>
      </c>
      <c r="N17" s="23" t="n">
        <f aca="false">INDEX(Simulador!$C$64:$F$64,F17)</f>
        <v>111149.808108108</v>
      </c>
      <c r="O17" s="23" t="n">
        <f aca="false">IF(H17&gt;=Simulador!$C$19,INDEX(Simulador!$C$65:$F$65,F17),INDEX(Simulador!$C$64:$F$64,F17))</f>
        <v>111149.808108108</v>
      </c>
      <c r="P17" s="23" t="n">
        <f aca="false">IF(H17&gt;=Simulador!$C$19,INDEX(Simulador!$C$67:$F$67,F17),INDEX(Simulador!$C$66:$F$66,F17))</f>
        <v>85046.6491891892</v>
      </c>
      <c r="Q17" s="23" t="n">
        <f aca="false">M17+(IF(I17="",J17,I17)-J17)*Simulador!$C$9</f>
        <v>84232.7254054054</v>
      </c>
      <c r="R17" s="23" t="n">
        <f aca="false">N17+(IF(I17="",J17,I17)-J17)*Simulador!$C$9</f>
        <v>106781.808108108</v>
      </c>
      <c r="S17" s="23" t="n">
        <f aca="false">O17+(IF(I17="",J17,I17)-J17)*Simulador!$C$9</f>
        <v>106781.808108108</v>
      </c>
      <c r="T17" s="23" t="n">
        <f aca="false">P17+(IF(I17="",J17,I17)-J17)*Simulador!$C$9</f>
        <v>80678.6491891892</v>
      </c>
      <c r="U17" s="2"/>
    </row>
    <row r="18" customFormat="false" ht="15" hidden="false" customHeight="false" outlineLevel="0" collapsed="false">
      <c r="B18" s="37" t="n">
        <v>45770</v>
      </c>
      <c r="C18" s="9" t="s">
        <v>326</v>
      </c>
      <c r="D18" s="38" t="n">
        <v>0.107289596566733</v>
      </c>
      <c r="E18" s="9" t="s">
        <v>245</v>
      </c>
      <c r="F18" s="16" t="n">
        <f aca="false">MATCH(E18,{"Misma locación","0.15 - 5 km","5 - 10 km","10+ km"},0)</f>
        <v>1</v>
      </c>
      <c r="G18" s="16" t="n">
        <f aca="false">MONTH(B18)</f>
        <v>4</v>
      </c>
      <c r="H18" s="16" t="n">
        <f aca="false">COUNTIF($G$8:G18,G18)</f>
        <v>6</v>
      </c>
      <c r="I18" s="38" t="n">
        <v>13.5</v>
      </c>
      <c r="J18" s="39" t="n">
        <f aca="false">INDEX(Simulador!$C$39:$F$39,F18)</f>
        <v>12</v>
      </c>
      <c r="K18" s="40" t="n">
        <f aca="false">IF(I18="","",I18-J18)</f>
        <v>1.5</v>
      </c>
      <c r="L18" s="41" t="n">
        <f aca="false">INDEX(Simulador!$C$51:$F$51,F18)</f>
        <v>76047.4054054054</v>
      </c>
      <c r="M18" s="23" t="n">
        <f aca="false">IF(H18&gt;=Simulador!$C$19,INDEX(Simulador!$C$63:$F$63,F18),INDEX(Simulador!$C$62:$F$62,F18))</f>
        <v>39145.7082432432</v>
      </c>
      <c r="N18" s="23" t="n">
        <f aca="false">INDEX(Simulador!$C$64:$F$64,F18)</f>
        <v>68381.1581081081</v>
      </c>
      <c r="O18" s="23" t="n">
        <f aca="false">IF(H18&gt;=Simulador!$C$19,INDEX(Simulador!$C$65:$F$65,F18),INDEX(Simulador!$C$64:$F$64,F18))</f>
        <v>44277.9304054054</v>
      </c>
      <c r="P18" s="23" t="n">
        <f aca="false">IF(H18&gt;=Simulador!$C$19,INDEX(Simulador!$C$67:$F$67,F18),INDEX(Simulador!$C$66:$F$66,F18))</f>
        <v>53466.5945945946</v>
      </c>
      <c r="Q18" s="23" t="n">
        <f aca="false">M18+(IF(I18="",J18,I18)-J18)*Simulador!$C$9</f>
        <v>41329.7082432432</v>
      </c>
      <c r="R18" s="23" t="n">
        <f aca="false">N18+(IF(I18="",J18,I18)-J18)*Simulador!$C$9</f>
        <v>70565.1581081081</v>
      </c>
      <c r="S18" s="23" t="n">
        <f aca="false">O18+(IF(I18="",J18,I18)-J18)*Simulador!$C$9</f>
        <v>46461.9304054054</v>
      </c>
      <c r="T18" s="23" t="n">
        <f aca="false">P18+(IF(I18="",J18,I18)-J18)*Simulador!$C$9</f>
        <v>55650.5945945946</v>
      </c>
      <c r="U18" s="2"/>
    </row>
    <row r="19" customFormat="false" ht="15" hidden="false" customHeight="false" outlineLevel="0" collapsed="false">
      <c r="B19" s="37" t="n">
        <v>45774</v>
      </c>
      <c r="C19" s="9" t="s">
        <v>327</v>
      </c>
      <c r="D19" s="38" t="n">
        <v>7.2</v>
      </c>
      <c r="E19" s="9" t="s">
        <v>243</v>
      </c>
      <c r="F19" s="16" t="n">
        <f aca="false">MATCH(E19,{"Misma locación","0.15 - 5 km","5 - 10 km","10+ km"},0)</f>
        <v>3</v>
      </c>
      <c r="G19" s="16" t="n">
        <f aca="false">MONTH(B19)</f>
        <v>4</v>
      </c>
      <c r="H19" s="16" t="n">
        <f aca="false">COUNTIF($G$8:G19,G19)</f>
        <v>7</v>
      </c>
      <c r="I19" s="38" t="n">
        <v>27</v>
      </c>
      <c r="J19" s="39" t="n">
        <f aca="false">INDEX(Simulador!$C$39:$F$39,F19)</f>
        <v>24</v>
      </c>
      <c r="K19" s="40" t="n">
        <f aca="false">IF(I19="","",I19-J19)</f>
        <v>3</v>
      </c>
      <c r="L19" s="41" t="n">
        <f aca="false">INDEX(Simulador!$C$51:$F$51,F19)</f>
        <v>96184.8108108108</v>
      </c>
      <c r="M19" s="23" t="n">
        <f aca="false">IF(H19&gt;=Simulador!$C$19,INDEX(Simulador!$C$63:$F$63,F19),INDEX(Simulador!$C$62:$F$62,F19))</f>
        <v>69871.4321621622</v>
      </c>
      <c r="N19" s="23" t="n">
        <f aca="false">INDEX(Simulador!$C$64:$F$64,F19)</f>
        <v>138633.155135135</v>
      </c>
      <c r="O19" s="23" t="n">
        <f aca="false">IF(H19&gt;=Simulador!$C$19,INDEX(Simulador!$C$65:$F$65,F19),INDEX(Simulador!$C$64:$F$64,F19))</f>
        <v>88139.9289189189</v>
      </c>
      <c r="P19" s="23" t="n">
        <f aca="false">IF(H19&gt;=Simulador!$C$19,INDEX(Simulador!$C$67:$F$67,F19),INDEX(Simulador!$C$66:$F$66,F19))</f>
        <v>75215.6216216216</v>
      </c>
      <c r="Q19" s="23" t="n">
        <f aca="false">M19+(IF(I19="",J19,I19)-J19)*Simulador!$C$9</f>
        <v>74239.4321621622</v>
      </c>
      <c r="R19" s="23" t="n">
        <f aca="false">N19+(IF(I19="",J19,I19)-J19)*Simulador!$C$9</f>
        <v>143001.155135135</v>
      </c>
      <c r="S19" s="23" t="n">
        <f aca="false">O19+(IF(I19="",J19,I19)-J19)*Simulador!$C$9</f>
        <v>92507.9289189189</v>
      </c>
      <c r="T19" s="23" t="n">
        <f aca="false">P19+(IF(I19="",J19,I19)-J19)*Simulador!$C$9</f>
        <v>79583.6216216216</v>
      </c>
      <c r="U19" s="2"/>
    </row>
    <row r="20" customFormat="false" ht="15" hidden="false" customHeight="false" outlineLevel="0" collapsed="false">
      <c r="B20" s="37" t="n">
        <v>45781</v>
      </c>
      <c r="C20" s="9" t="s">
        <v>328</v>
      </c>
      <c r="D20" s="38" t="n">
        <v>5.9</v>
      </c>
      <c r="E20" s="9" t="s">
        <v>243</v>
      </c>
      <c r="F20" s="16" t="n">
        <f aca="false">MATCH(E20,{"Misma locación","0.15 - 5 km","5 - 10 km","10+ km"},0)</f>
        <v>3</v>
      </c>
      <c r="G20" s="16" t="n">
        <f aca="false">MONTH(B20)</f>
        <v>5</v>
      </c>
      <c r="H20" s="16" t="n">
        <f aca="false">COUNTIF($G$8:G20,G20)</f>
        <v>1</v>
      </c>
      <c r="I20" s="38" t="n">
        <v>19.25</v>
      </c>
      <c r="J20" s="39" t="n">
        <f aca="false">INDEX(Simulador!$C$39:$F$39,F20)</f>
        <v>24</v>
      </c>
      <c r="K20" s="40" t="n">
        <f aca="false">IF(I20="","",I20-J20)</f>
        <v>-4.75</v>
      </c>
      <c r="L20" s="41" t="n">
        <f aca="false">INDEX(Simulador!$C$51:$F$51,F20)</f>
        <v>96184.8108108108</v>
      </c>
      <c r="M20" s="23" t="n">
        <f aca="false">IF(H20&gt;=Simulador!$C$19,INDEX(Simulador!$C$63:$F$63,F20),INDEX(Simulador!$C$62:$F$62,F20))</f>
        <v>102096.161621622</v>
      </c>
      <c r="N20" s="23" t="n">
        <f aca="false">INDEX(Simulador!$C$64:$F$64,F20)</f>
        <v>138633.155135135</v>
      </c>
      <c r="O20" s="23" t="n">
        <f aca="false">IF(H20&gt;=Simulador!$C$19,INDEX(Simulador!$C$65:$F$65,F20),INDEX(Simulador!$C$64:$F$64,F20))</f>
        <v>138633.155135135</v>
      </c>
      <c r="P20" s="23" t="n">
        <f aca="false">IF(H20&gt;=Simulador!$C$19,INDEX(Simulador!$C$67:$F$67,F20),INDEX(Simulador!$C$66:$F$66,F20))</f>
        <v>104944.811351351</v>
      </c>
      <c r="Q20" s="23" t="n">
        <f aca="false">M20+(IF(I20="",J20,I20)-J20)*Simulador!$C$9</f>
        <v>95180.1616216216</v>
      </c>
      <c r="R20" s="23" t="n">
        <f aca="false">N20+(IF(I20="",J20,I20)-J20)*Simulador!$C$9</f>
        <v>131717.155135135</v>
      </c>
      <c r="S20" s="23" t="n">
        <f aca="false">O20+(IF(I20="",J20,I20)-J20)*Simulador!$C$9</f>
        <v>131717.155135135</v>
      </c>
      <c r="T20" s="23" t="n">
        <f aca="false">P20+(IF(I20="",J20,I20)-J20)*Simulador!$C$9</f>
        <v>98028.8113513514</v>
      </c>
      <c r="U20" s="2"/>
    </row>
    <row r="21" customFormat="false" ht="15" hidden="false" customHeight="false" outlineLevel="0" collapsed="false">
      <c r="B21" s="37" t="n">
        <v>45786</v>
      </c>
      <c r="C21" s="9" t="s">
        <v>329</v>
      </c>
      <c r="D21" s="38" t="n">
        <v>1.3</v>
      </c>
      <c r="E21" s="9" t="s">
        <v>231</v>
      </c>
      <c r="F21" s="16" t="n">
        <f aca="false">MATCH(E21,{"Misma locación","0.15 - 5 km","5 - 10 km","10+ km"},0)</f>
        <v>2</v>
      </c>
      <c r="G21" s="16" t="n">
        <f aca="false">MONTH(B21)</f>
        <v>5</v>
      </c>
      <c r="H21" s="16" t="n">
        <f aca="false">COUNTIF($G$8:G21,G21)</f>
        <v>2</v>
      </c>
      <c r="I21" s="38" t="n">
        <v>46</v>
      </c>
      <c r="J21" s="39" t="n">
        <f aca="false">INDEX(Simulador!$C$39:$F$39,F21)</f>
        <v>18</v>
      </c>
      <c r="K21" s="40" t="n">
        <f aca="false">IF(I21="","",I21-J21)</f>
        <v>28</v>
      </c>
      <c r="L21" s="41" t="n">
        <f aca="false">INDEX(Simulador!$C$51:$F$51,F21)</f>
        <v>99473.8108108108</v>
      </c>
      <c r="M21" s="23" t="n">
        <f aca="false">IF(H21&gt;=Simulador!$C$19,INDEX(Simulador!$C$63:$F$63,F21),INDEX(Simulador!$C$62:$F$62,F21))</f>
        <v>88600.7254054054</v>
      </c>
      <c r="N21" s="23" t="n">
        <f aca="false">INDEX(Simulador!$C$64:$F$64,F21)</f>
        <v>111149.808108108</v>
      </c>
      <c r="O21" s="23" t="n">
        <f aca="false">IF(H21&gt;=Simulador!$C$19,INDEX(Simulador!$C$65:$F$65,F21),INDEX(Simulador!$C$64:$F$64,F21))</f>
        <v>111149.808108108</v>
      </c>
      <c r="P21" s="23" t="n">
        <f aca="false">IF(H21&gt;=Simulador!$C$19,INDEX(Simulador!$C$67:$F$67,F21),INDEX(Simulador!$C$66:$F$66,F21))</f>
        <v>85046.6491891892</v>
      </c>
      <c r="Q21" s="23" t="n">
        <f aca="false">M21+(IF(I21="",J21,I21)-J21)*Simulador!$C$9</f>
        <v>129368.725405405</v>
      </c>
      <c r="R21" s="23" t="n">
        <f aca="false">N21+(IF(I21="",J21,I21)-J21)*Simulador!$C$9</f>
        <v>151917.808108108</v>
      </c>
      <c r="S21" s="23" t="n">
        <f aca="false">O21+(IF(I21="",J21,I21)-J21)*Simulador!$C$9</f>
        <v>151917.808108108</v>
      </c>
      <c r="T21" s="23" t="n">
        <f aca="false">P21+(IF(I21="",J21,I21)-J21)*Simulador!$C$9</f>
        <v>125814.649189189</v>
      </c>
      <c r="U21" s="2"/>
    </row>
    <row r="22" customFormat="false" ht="15" hidden="false" customHeight="false" outlineLevel="0" collapsed="false">
      <c r="B22" s="37" t="n">
        <v>45793</v>
      </c>
      <c r="C22" s="9" t="s">
        <v>330</v>
      </c>
      <c r="D22" s="38" t="n">
        <v>4.2</v>
      </c>
      <c r="E22" s="9" t="s">
        <v>231</v>
      </c>
      <c r="F22" s="16" t="n">
        <f aca="false">MATCH(E22,{"Misma locación","0.15 - 5 km","5 - 10 km","10+ km"},0)</f>
        <v>2</v>
      </c>
      <c r="G22" s="16" t="n">
        <f aca="false">MONTH(B22)</f>
        <v>5</v>
      </c>
      <c r="H22" s="16" t="n">
        <f aca="false">COUNTIF($G$8:G22,G22)</f>
        <v>3</v>
      </c>
      <c r="I22" s="38" t="n">
        <v>15.5</v>
      </c>
      <c r="J22" s="39" t="n">
        <f aca="false">INDEX(Simulador!$C$39:$F$39,F22)</f>
        <v>18</v>
      </c>
      <c r="K22" s="40" t="n">
        <f aca="false">IF(I22="","",I22-J22)</f>
        <v>-2.5</v>
      </c>
      <c r="L22" s="41" t="n">
        <f aca="false">INDEX(Simulador!$C$51:$F$51,F22)</f>
        <v>99473.8108108108</v>
      </c>
      <c r="M22" s="23" t="n">
        <f aca="false">IF(H22&gt;=Simulador!$C$19,INDEX(Simulador!$C$63:$F$63,F22),INDEX(Simulador!$C$62:$F$62,F22))</f>
        <v>88600.7254054054</v>
      </c>
      <c r="N22" s="23" t="n">
        <f aca="false">INDEX(Simulador!$C$64:$F$64,F22)</f>
        <v>111149.808108108</v>
      </c>
      <c r="O22" s="23" t="n">
        <f aca="false">IF(H22&gt;=Simulador!$C$19,INDEX(Simulador!$C$65:$F$65,F22),INDEX(Simulador!$C$64:$F$64,F22))</f>
        <v>111149.808108108</v>
      </c>
      <c r="P22" s="23" t="n">
        <f aca="false">IF(H22&gt;=Simulador!$C$19,INDEX(Simulador!$C$67:$F$67,F22),INDEX(Simulador!$C$66:$F$66,F22))</f>
        <v>85046.6491891892</v>
      </c>
      <c r="Q22" s="23" t="n">
        <f aca="false">M22+(IF(I22="",J22,I22)-J22)*Simulador!$C$9</f>
        <v>84960.7254054054</v>
      </c>
      <c r="R22" s="23" t="n">
        <f aca="false">N22+(IF(I22="",J22,I22)-J22)*Simulador!$C$9</f>
        <v>107509.808108108</v>
      </c>
      <c r="S22" s="23" t="n">
        <f aca="false">O22+(IF(I22="",J22,I22)-J22)*Simulador!$C$9</f>
        <v>107509.808108108</v>
      </c>
      <c r="T22" s="23" t="n">
        <f aca="false">P22+(IF(I22="",J22,I22)-J22)*Simulador!$C$9</f>
        <v>81406.6491891892</v>
      </c>
      <c r="U22" s="2"/>
    </row>
    <row r="23" customFormat="false" ht="15" hidden="false" customHeight="false" outlineLevel="0" collapsed="false">
      <c r="B23" s="37" t="n">
        <v>45799</v>
      </c>
      <c r="C23" s="9" t="s">
        <v>331</v>
      </c>
      <c r="D23" s="38" t="n">
        <v>5.7</v>
      </c>
      <c r="E23" s="9" t="s">
        <v>243</v>
      </c>
      <c r="F23" s="16" t="n">
        <f aca="false">MATCH(E23,{"Misma locación","0.15 - 5 km","5 - 10 km","10+ km"},0)</f>
        <v>3</v>
      </c>
      <c r="G23" s="16" t="n">
        <f aca="false">MONTH(B23)</f>
        <v>5</v>
      </c>
      <c r="H23" s="16" t="n">
        <f aca="false">COUNTIF($G$8:G23,G23)</f>
        <v>4</v>
      </c>
      <c r="I23" s="38" t="n">
        <v>23.25</v>
      </c>
      <c r="J23" s="39" t="n">
        <f aca="false">INDEX(Simulador!$C$39:$F$39,F23)</f>
        <v>24</v>
      </c>
      <c r="K23" s="40" t="n">
        <f aca="false">IF(I23="","",I23-J23)</f>
        <v>-0.75</v>
      </c>
      <c r="L23" s="41" t="n">
        <f aca="false">INDEX(Simulador!$C$51:$F$51,F23)</f>
        <v>96184.8108108108</v>
      </c>
      <c r="M23" s="23" t="n">
        <f aca="false">IF(H23&gt;=Simulador!$C$19,INDEX(Simulador!$C$63:$F$63,F23),INDEX(Simulador!$C$62:$F$62,F23))</f>
        <v>102096.161621622</v>
      </c>
      <c r="N23" s="23" t="n">
        <f aca="false">INDEX(Simulador!$C$64:$F$64,F23)</f>
        <v>138633.155135135</v>
      </c>
      <c r="O23" s="23" t="n">
        <f aca="false">IF(H23&gt;=Simulador!$C$19,INDEX(Simulador!$C$65:$F$65,F23),INDEX(Simulador!$C$64:$F$64,F23))</f>
        <v>138633.155135135</v>
      </c>
      <c r="P23" s="23" t="n">
        <f aca="false">IF(H23&gt;=Simulador!$C$19,INDEX(Simulador!$C$67:$F$67,F23),INDEX(Simulador!$C$66:$F$66,F23))</f>
        <v>104944.811351351</v>
      </c>
      <c r="Q23" s="23" t="n">
        <f aca="false">M23+(IF(I23="",J23,I23)-J23)*Simulador!$C$9</f>
        <v>101004.161621622</v>
      </c>
      <c r="R23" s="23" t="n">
        <f aca="false">N23+(IF(I23="",J23,I23)-J23)*Simulador!$C$9</f>
        <v>137541.155135135</v>
      </c>
      <c r="S23" s="23" t="n">
        <f aca="false">O23+(IF(I23="",J23,I23)-J23)*Simulador!$C$9</f>
        <v>137541.155135135</v>
      </c>
      <c r="T23" s="23" t="n">
        <f aca="false">P23+(IF(I23="",J23,I23)-J23)*Simulador!$C$9</f>
        <v>103852.811351351</v>
      </c>
      <c r="U23" s="2"/>
    </row>
    <row r="24" customFormat="false" ht="15" hidden="false" customHeight="false" outlineLevel="0" collapsed="false">
      <c r="B24" s="37" t="n">
        <v>45807</v>
      </c>
      <c r="C24" s="9" t="s">
        <v>332</v>
      </c>
      <c r="D24" s="38" t="n">
        <v>4.4</v>
      </c>
      <c r="E24" s="9" t="s">
        <v>231</v>
      </c>
      <c r="F24" s="16" t="n">
        <f aca="false">MATCH(E24,{"Misma locación","0.15 - 5 km","5 - 10 km","10+ km"},0)</f>
        <v>2</v>
      </c>
      <c r="G24" s="16" t="n">
        <f aca="false">MONTH(B24)</f>
        <v>5</v>
      </c>
      <c r="H24" s="16" t="n">
        <f aca="false">COUNTIF($G$8:G24,G24)</f>
        <v>5</v>
      </c>
      <c r="I24" s="38" t="n">
        <v>19.5</v>
      </c>
      <c r="J24" s="39" t="n">
        <f aca="false">INDEX(Simulador!$C$39:$F$39,F24)</f>
        <v>18</v>
      </c>
      <c r="K24" s="40" t="n">
        <f aca="false">IF(I24="","",I24-J24)</f>
        <v>1.5</v>
      </c>
      <c r="L24" s="41" t="n">
        <f aca="false">INDEX(Simulador!$C$51:$F$51,F24)</f>
        <v>99473.8108108108</v>
      </c>
      <c r="M24" s="23" t="n">
        <f aca="false">IF(H24&gt;=Simulador!$C$19,INDEX(Simulador!$C$63:$F$63,F24),INDEX(Simulador!$C$62:$F$62,F24))</f>
        <v>88600.7254054054</v>
      </c>
      <c r="N24" s="23" t="n">
        <f aca="false">INDEX(Simulador!$C$64:$F$64,F24)</f>
        <v>111149.808108108</v>
      </c>
      <c r="O24" s="23" t="n">
        <f aca="false">IF(H24&gt;=Simulador!$C$19,INDEX(Simulador!$C$65:$F$65,F24),INDEX(Simulador!$C$64:$F$64,F24))</f>
        <v>111149.808108108</v>
      </c>
      <c r="P24" s="23" t="n">
        <f aca="false">IF(H24&gt;=Simulador!$C$19,INDEX(Simulador!$C$67:$F$67,F24),INDEX(Simulador!$C$66:$F$66,F24))</f>
        <v>85046.6491891892</v>
      </c>
      <c r="Q24" s="23" t="n">
        <f aca="false">M24+(IF(I24="",J24,I24)-J24)*Simulador!$C$9</f>
        <v>90784.7254054054</v>
      </c>
      <c r="R24" s="23" t="n">
        <f aca="false">N24+(IF(I24="",J24,I24)-J24)*Simulador!$C$9</f>
        <v>113333.808108108</v>
      </c>
      <c r="S24" s="23" t="n">
        <f aca="false">O24+(IF(I24="",J24,I24)-J24)*Simulador!$C$9</f>
        <v>113333.808108108</v>
      </c>
      <c r="T24" s="23" t="n">
        <f aca="false">P24+(IF(I24="",J24,I24)-J24)*Simulador!$C$9</f>
        <v>87230.6491891892</v>
      </c>
      <c r="U24" s="2"/>
    </row>
    <row r="25" customFormat="false" ht="15" hidden="false" customHeight="false" outlineLevel="0" collapsed="false">
      <c r="B25" s="37" t="n">
        <v>45812</v>
      </c>
      <c r="C25" s="9" t="s">
        <v>333</v>
      </c>
      <c r="D25" s="38" t="n">
        <v>0.00640079979517441</v>
      </c>
      <c r="E25" s="9" t="s">
        <v>245</v>
      </c>
      <c r="F25" s="16" t="n">
        <f aca="false">MATCH(E25,{"Misma locación","0.15 - 5 km","5 - 10 km","10+ km"},0)</f>
        <v>1</v>
      </c>
      <c r="G25" s="16" t="n">
        <f aca="false">MONTH(B25)</f>
        <v>6</v>
      </c>
      <c r="H25" s="16" t="n">
        <f aca="false">COUNTIF($G$8:G25,G25)</f>
        <v>1</v>
      </c>
      <c r="I25" s="38" t="n">
        <v>15.75</v>
      </c>
      <c r="J25" s="39" t="n">
        <f aca="false">INDEX(Simulador!$C$39:$F$39,F25)</f>
        <v>12</v>
      </c>
      <c r="K25" s="40" t="n">
        <f aca="false">IF(I25="","",I25-J25)</f>
        <v>3.75</v>
      </c>
      <c r="L25" s="41" t="n">
        <f aca="false">INDEX(Simulador!$C$51:$F$51,F25)</f>
        <v>76047.4054054054</v>
      </c>
      <c r="M25" s="23" t="n">
        <f aca="false">IF(H25&gt;=Simulador!$C$19,INDEX(Simulador!$C$63:$F$63,F25),INDEX(Simulador!$C$62:$F$62,F25))</f>
        <v>58116.7137837838</v>
      </c>
      <c r="N25" s="23" t="n">
        <f aca="false">INDEX(Simulador!$C$64:$F$64,F25)</f>
        <v>68381.1581081081</v>
      </c>
      <c r="O25" s="23" t="n">
        <f aca="false">IF(H25&gt;=Simulador!$C$19,INDEX(Simulador!$C$65:$F$65,F25),INDEX(Simulador!$C$64:$F$64,F25))</f>
        <v>68381.1581081081</v>
      </c>
      <c r="P25" s="23" t="n">
        <f aca="false">IF(H25&gt;=Simulador!$C$19,INDEX(Simulador!$C$67:$F$67,F25),INDEX(Simulador!$C$66:$F$66,F25))</f>
        <v>58075.5140540541</v>
      </c>
      <c r="Q25" s="23" t="n">
        <f aca="false">M25+(IF(I25="",J25,I25)-J25)*Simulador!$C$9</f>
        <v>63576.7137837838</v>
      </c>
      <c r="R25" s="23" t="n">
        <f aca="false">N25+(IF(I25="",J25,I25)-J25)*Simulador!$C$9</f>
        <v>73841.1581081081</v>
      </c>
      <c r="S25" s="23" t="n">
        <f aca="false">O25+(IF(I25="",J25,I25)-J25)*Simulador!$C$9</f>
        <v>73841.1581081081</v>
      </c>
      <c r="T25" s="23" t="n">
        <f aca="false">P25+(IF(I25="",J25,I25)-J25)*Simulador!$C$9</f>
        <v>63535.5140540541</v>
      </c>
      <c r="U25" s="2"/>
    </row>
    <row r="26" customFormat="false" ht="15" hidden="false" customHeight="false" outlineLevel="0" collapsed="false">
      <c r="B26" s="37" t="n">
        <v>45816</v>
      </c>
      <c r="C26" s="9" t="s">
        <v>334</v>
      </c>
      <c r="D26" s="38" t="n">
        <v>3.2</v>
      </c>
      <c r="E26" s="9" t="s">
        <v>231</v>
      </c>
      <c r="F26" s="16" t="n">
        <f aca="false">MATCH(E26,{"Misma locación","0.15 - 5 km","5 - 10 km","10+ km"},0)</f>
        <v>2</v>
      </c>
      <c r="G26" s="16" t="n">
        <f aca="false">MONTH(B26)</f>
        <v>6</v>
      </c>
      <c r="H26" s="16" t="n">
        <f aca="false">COUNTIF($G$8:G26,G26)</f>
        <v>2</v>
      </c>
      <c r="I26" s="38" t="n">
        <v>21.5</v>
      </c>
      <c r="J26" s="39" t="n">
        <f aca="false">INDEX(Simulador!$C$39:$F$39,F26)</f>
        <v>18</v>
      </c>
      <c r="K26" s="40" t="n">
        <f aca="false">IF(I26="","",I26-J26)</f>
        <v>3.5</v>
      </c>
      <c r="L26" s="41" t="n">
        <f aca="false">INDEX(Simulador!$C$51:$F$51,F26)</f>
        <v>99473.8108108108</v>
      </c>
      <c r="M26" s="23" t="n">
        <f aca="false">IF(H26&gt;=Simulador!$C$19,INDEX(Simulador!$C$63:$F$63,F26),INDEX(Simulador!$C$62:$F$62,F26))</f>
        <v>88600.7254054054</v>
      </c>
      <c r="N26" s="23" t="n">
        <f aca="false">INDEX(Simulador!$C$64:$F$64,F26)</f>
        <v>111149.808108108</v>
      </c>
      <c r="O26" s="23" t="n">
        <f aca="false">IF(H26&gt;=Simulador!$C$19,INDEX(Simulador!$C$65:$F$65,F26),INDEX(Simulador!$C$64:$F$64,F26))</f>
        <v>111149.808108108</v>
      </c>
      <c r="P26" s="23" t="n">
        <f aca="false">IF(H26&gt;=Simulador!$C$19,INDEX(Simulador!$C$67:$F$67,F26),INDEX(Simulador!$C$66:$F$66,F26))</f>
        <v>85046.6491891892</v>
      </c>
      <c r="Q26" s="23" t="n">
        <f aca="false">M26+(IF(I26="",J26,I26)-J26)*Simulador!$C$9</f>
        <v>93696.7254054054</v>
      </c>
      <c r="R26" s="23" t="n">
        <f aca="false">N26+(IF(I26="",J26,I26)-J26)*Simulador!$C$9</f>
        <v>116245.808108108</v>
      </c>
      <c r="S26" s="23" t="n">
        <f aca="false">O26+(IF(I26="",J26,I26)-J26)*Simulador!$C$9</f>
        <v>116245.808108108</v>
      </c>
      <c r="T26" s="23" t="n">
        <f aca="false">P26+(IF(I26="",J26,I26)-J26)*Simulador!$C$9</f>
        <v>90142.6491891892</v>
      </c>
      <c r="U26" s="2"/>
    </row>
    <row r="27" customFormat="false" ht="15" hidden="false" customHeight="false" outlineLevel="0" collapsed="false">
      <c r="B27" s="37" t="n">
        <v>45821</v>
      </c>
      <c r="C27" s="9" t="s">
        <v>335</v>
      </c>
      <c r="D27" s="38" t="n">
        <v>2.8</v>
      </c>
      <c r="E27" s="9" t="s">
        <v>231</v>
      </c>
      <c r="F27" s="16" t="n">
        <f aca="false">MATCH(E27,{"Misma locación","0.15 - 5 km","5 - 10 km","10+ km"},0)</f>
        <v>2</v>
      </c>
      <c r="G27" s="16" t="n">
        <f aca="false">MONTH(B27)</f>
        <v>6</v>
      </c>
      <c r="H27" s="16" t="n">
        <f aca="false">COUNTIF($G$8:G27,G27)</f>
        <v>3</v>
      </c>
      <c r="I27" s="38" t="n">
        <v>15.5</v>
      </c>
      <c r="J27" s="39" t="n">
        <f aca="false">INDEX(Simulador!$C$39:$F$39,F27)</f>
        <v>18</v>
      </c>
      <c r="K27" s="40" t="n">
        <f aca="false">IF(I27="","",I27-J27)</f>
        <v>-2.5</v>
      </c>
      <c r="L27" s="41" t="n">
        <f aca="false">INDEX(Simulador!$C$51:$F$51,F27)</f>
        <v>99473.8108108108</v>
      </c>
      <c r="M27" s="23" t="n">
        <f aca="false">IF(H27&gt;=Simulador!$C$19,INDEX(Simulador!$C$63:$F$63,F27),INDEX(Simulador!$C$62:$F$62,F27))</f>
        <v>88600.7254054054</v>
      </c>
      <c r="N27" s="23" t="n">
        <f aca="false">INDEX(Simulador!$C$64:$F$64,F27)</f>
        <v>111149.808108108</v>
      </c>
      <c r="O27" s="23" t="n">
        <f aca="false">IF(H27&gt;=Simulador!$C$19,INDEX(Simulador!$C$65:$F$65,F27),INDEX(Simulador!$C$64:$F$64,F27))</f>
        <v>111149.808108108</v>
      </c>
      <c r="P27" s="23" t="n">
        <f aca="false">IF(H27&gt;=Simulador!$C$19,INDEX(Simulador!$C$67:$F$67,F27),INDEX(Simulador!$C$66:$F$66,F27))</f>
        <v>85046.6491891892</v>
      </c>
      <c r="Q27" s="23" t="n">
        <f aca="false">M27+(IF(I27="",J27,I27)-J27)*Simulador!$C$9</f>
        <v>84960.7254054054</v>
      </c>
      <c r="R27" s="23" t="n">
        <f aca="false">N27+(IF(I27="",J27,I27)-J27)*Simulador!$C$9</f>
        <v>107509.808108108</v>
      </c>
      <c r="S27" s="23" t="n">
        <f aca="false">O27+(IF(I27="",J27,I27)-J27)*Simulador!$C$9</f>
        <v>107509.808108108</v>
      </c>
      <c r="T27" s="23" t="n">
        <f aca="false">P27+(IF(I27="",J27,I27)-J27)*Simulador!$C$9</f>
        <v>81406.6491891892</v>
      </c>
      <c r="U27" s="2"/>
    </row>
    <row r="28" customFormat="false" ht="15" hidden="false" customHeight="false" outlineLevel="0" collapsed="false">
      <c r="B28" s="37" t="n">
        <v>45825</v>
      </c>
      <c r="C28" s="9" t="s">
        <v>336</v>
      </c>
      <c r="D28" s="38" t="n">
        <v>3.8</v>
      </c>
      <c r="E28" s="9" t="s">
        <v>231</v>
      </c>
      <c r="F28" s="16" t="n">
        <f aca="false">MATCH(E28,{"Misma locación","0.15 - 5 km","5 - 10 km","10+ km"},0)</f>
        <v>2</v>
      </c>
      <c r="G28" s="16" t="n">
        <f aca="false">MONTH(B28)</f>
        <v>6</v>
      </c>
      <c r="H28" s="16" t="n">
        <f aca="false">COUNTIF($G$8:G28,G28)</f>
        <v>4</v>
      </c>
      <c r="I28" s="38" t="n">
        <v>15</v>
      </c>
      <c r="J28" s="39" t="n">
        <f aca="false">INDEX(Simulador!$C$39:$F$39,F28)</f>
        <v>18</v>
      </c>
      <c r="K28" s="40" t="n">
        <f aca="false">IF(I28="","",I28-J28)</f>
        <v>-3</v>
      </c>
      <c r="L28" s="41" t="n">
        <f aca="false">INDEX(Simulador!$C$51:$F$51,F28)</f>
        <v>99473.8108108108</v>
      </c>
      <c r="M28" s="23" t="n">
        <f aca="false">IF(H28&gt;=Simulador!$C$19,INDEX(Simulador!$C$63:$F$63,F28),INDEX(Simulador!$C$62:$F$62,F28))</f>
        <v>88600.7254054054</v>
      </c>
      <c r="N28" s="23" t="n">
        <f aca="false">INDEX(Simulador!$C$64:$F$64,F28)</f>
        <v>111149.808108108</v>
      </c>
      <c r="O28" s="23" t="n">
        <f aca="false">IF(H28&gt;=Simulador!$C$19,INDEX(Simulador!$C$65:$F$65,F28),INDEX(Simulador!$C$64:$F$64,F28))</f>
        <v>111149.808108108</v>
      </c>
      <c r="P28" s="23" t="n">
        <f aca="false">IF(H28&gt;=Simulador!$C$19,INDEX(Simulador!$C$67:$F$67,F28),INDEX(Simulador!$C$66:$F$66,F28))</f>
        <v>85046.6491891892</v>
      </c>
      <c r="Q28" s="23" t="n">
        <f aca="false">M28+(IF(I28="",J28,I28)-J28)*Simulador!$C$9</f>
        <v>84232.7254054054</v>
      </c>
      <c r="R28" s="23" t="n">
        <f aca="false">N28+(IF(I28="",J28,I28)-J28)*Simulador!$C$9</f>
        <v>106781.808108108</v>
      </c>
      <c r="S28" s="23" t="n">
        <f aca="false">O28+(IF(I28="",J28,I28)-J28)*Simulador!$C$9</f>
        <v>106781.808108108</v>
      </c>
      <c r="T28" s="23" t="n">
        <f aca="false">P28+(IF(I28="",J28,I28)-J28)*Simulador!$C$9</f>
        <v>80678.6491891892</v>
      </c>
      <c r="U28" s="2"/>
    </row>
    <row r="29" customFormat="false" ht="15" hidden="false" customHeight="false" outlineLevel="0" collapsed="false">
      <c r="B29" s="37" t="n">
        <v>45831</v>
      </c>
      <c r="C29" s="9" t="s">
        <v>337</v>
      </c>
      <c r="D29" s="38" t="n">
        <v>5.3</v>
      </c>
      <c r="E29" s="9" t="s">
        <v>243</v>
      </c>
      <c r="F29" s="16" t="n">
        <f aca="false">MATCH(E29,{"Misma locación","0.15 - 5 km","5 - 10 km","10+ km"},0)</f>
        <v>3</v>
      </c>
      <c r="G29" s="16" t="n">
        <f aca="false">MONTH(B29)</f>
        <v>6</v>
      </c>
      <c r="H29" s="16" t="n">
        <f aca="false">COUNTIF($G$8:G29,G29)</f>
        <v>5</v>
      </c>
      <c r="I29" s="38" t="n">
        <v>18.25</v>
      </c>
      <c r="J29" s="39" t="n">
        <f aca="false">INDEX(Simulador!$C$39:$F$39,F29)</f>
        <v>24</v>
      </c>
      <c r="K29" s="40" t="n">
        <f aca="false">IF(I29="","",I29-J29)</f>
        <v>-5.75</v>
      </c>
      <c r="L29" s="41" t="n">
        <f aca="false">INDEX(Simulador!$C$51:$F$51,F29)</f>
        <v>96184.8108108108</v>
      </c>
      <c r="M29" s="23" t="n">
        <f aca="false">IF(H29&gt;=Simulador!$C$19,INDEX(Simulador!$C$63:$F$63,F29),INDEX(Simulador!$C$62:$F$62,F29))</f>
        <v>102096.161621622</v>
      </c>
      <c r="N29" s="23" t="n">
        <f aca="false">INDEX(Simulador!$C$64:$F$64,F29)</f>
        <v>138633.155135135</v>
      </c>
      <c r="O29" s="23" t="n">
        <f aca="false">IF(H29&gt;=Simulador!$C$19,INDEX(Simulador!$C$65:$F$65,F29),INDEX(Simulador!$C$64:$F$64,F29))</f>
        <v>138633.155135135</v>
      </c>
      <c r="P29" s="23" t="n">
        <f aca="false">IF(H29&gt;=Simulador!$C$19,INDEX(Simulador!$C$67:$F$67,F29),INDEX(Simulador!$C$66:$F$66,F29))</f>
        <v>104944.811351351</v>
      </c>
      <c r="Q29" s="23" t="n">
        <f aca="false">M29+(IF(I29="",J29,I29)-J29)*Simulador!$C$9</f>
        <v>93724.1616216216</v>
      </c>
      <c r="R29" s="23" t="n">
        <f aca="false">N29+(IF(I29="",J29,I29)-J29)*Simulador!$C$9</f>
        <v>130261.155135135</v>
      </c>
      <c r="S29" s="23" t="n">
        <f aca="false">O29+(IF(I29="",J29,I29)-J29)*Simulador!$C$9</f>
        <v>130261.155135135</v>
      </c>
      <c r="T29" s="23" t="n">
        <f aca="false">P29+(IF(I29="",J29,I29)-J29)*Simulador!$C$9</f>
        <v>96572.8113513514</v>
      </c>
      <c r="U29" s="2"/>
    </row>
    <row r="30" customFormat="false" ht="15" hidden="false" customHeight="false" outlineLevel="0" collapsed="false">
      <c r="B30" s="37" t="n">
        <v>45835</v>
      </c>
      <c r="C30" s="9" t="s">
        <v>338</v>
      </c>
      <c r="D30" s="38" t="n">
        <v>12.1</v>
      </c>
      <c r="E30" s="9" t="s">
        <v>228</v>
      </c>
      <c r="F30" s="16" t="n">
        <f aca="false">MATCH(E30,{"Misma locación","0.15 - 5 km","5 - 10 km","10+ km"},0)</f>
        <v>4</v>
      </c>
      <c r="G30" s="16" t="n">
        <f aca="false">MONTH(B30)</f>
        <v>6</v>
      </c>
      <c r="H30" s="16" t="n">
        <f aca="false">COUNTIF($G$8:G30,G30)</f>
        <v>6</v>
      </c>
      <c r="I30" s="38" t="n">
        <v>17.75</v>
      </c>
      <c r="J30" s="39" t="n">
        <f aca="false">INDEX(Simulador!$C$39:$F$39,F30)</f>
        <v>28</v>
      </c>
      <c r="K30" s="40" t="n">
        <f aca="false">IF(I30="","",I30-J30)</f>
        <v>-10.25</v>
      </c>
      <c r="L30" s="41" t="n">
        <f aca="false">INDEX(Simulador!$C$51:$F$51,F30)</f>
        <v>110984.810810811</v>
      </c>
      <c r="M30" s="23" t="n">
        <f aca="false">IF(H30&gt;=Simulador!$C$19,INDEX(Simulador!$C$63:$F$63,F30),INDEX(Simulador!$C$62:$F$62,F30))</f>
        <v>76776.5132432433</v>
      </c>
      <c r="N30" s="23" t="n">
        <f aca="false">INDEX(Simulador!$C$64:$F$64,F30)</f>
        <v>155579.061621622</v>
      </c>
      <c r="O30" s="23" t="n">
        <f aca="false">IF(H30&gt;=Simulador!$C$19,INDEX(Simulador!$C$65:$F$65,F30),INDEX(Simulador!$C$64:$F$64,F30))</f>
        <v>99524.8821621622</v>
      </c>
      <c r="P30" s="23" t="n">
        <f aca="false">IF(H30&gt;=Simulador!$C$19,INDEX(Simulador!$C$67:$F$67,F30),INDEX(Simulador!$C$66:$F$66,F30))</f>
        <v>88620.7027027027</v>
      </c>
      <c r="Q30" s="23" t="n">
        <f aca="false">M30+(IF(I30="",J30,I30)-J30)*Simulador!$C$9</f>
        <v>61852.5132432433</v>
      </c>
      <c r="R30" s="23" t="n">
        <f aca="false">N30+(IF(I30="",J30,I30)-J30)*Simulador!$C$9</f>
        <v>140655.061621622</v>
      </c>
      <c r="S30" s="23" t="n">
        <f aca="false">O30+(IF(I30="",J30,I30)-J30)*Simulador!$C$9</f>
        <v>84600.8821621622</v>
      </c>
      <c r="T30" s="23" t="n">
        <f aca="false">P30+(IF(I30="",J30,I30)-J30)*Simulador!$C$9</f>
        <v>73696.7027027027</v>
      </c>
      <c r="U30" s="2"/>
    </row>
    <row r="31" customFormat="false" ht="15" hidden="false" customHeight="false" outlineLevel="0" collapsed="false">
      <c r="B31" s="37" t="n">
        <v>45842</v>
      </c>
      <c r="C31" s="9" t="s">
        <v>339</v>
      </c>
      <c r="D31" s="38" t="n">
        <v>11.7</v>
      </c>
      <c r="E31" s="9" t="s">
        <v>228</v>
      </c>
      <c r="F31" s="16" t="n">
        <f aca="false">MATCH(E31,{"Misma locación","0.15 - 5 km","5 - 10 km","10+ km"},0)</f>
        <v>4</v>
      </c>
      <c r="G31" s="16" t="n">
        <f aca="false">MONTH(B31)</f>
        <v>7</v>
      </c>
      <c r="H31" s="16" t="n">
        <f aca="false">COUNTIF($G$8:G31,G31)</f>
        <v>1</v>
      </c>
      <c r="I31" s="38" t="n">
        <v>31</v>
      </c>
      <c r="J31" s="39" t="n">
        <f aca="false">INDEX(Simulador!$C$39:$F$39,F31)</f>
        <v>28</v>
      </c>
      <c r="K31" s="40" t="n">
        <f aca="false">IF(I31="","",I31-J31)</f>
        <v>3</v>
      </c>
      <c r="L31" s="41" t="n">
        <f aca="false">INDEX(Simulador!$C$51:$F$51,F31)</f>
        <v>110984.810810811</v>
      </c>
      <c r="M31" s="23" t="n">
        <f aca="false">IF(H31&gt;=Simulador!$C$19,INDEX(Simulador!$C$63:$F$63,F31),INDEX(Simulador!$C$62:$F$62,F31))</f>
        <v>110082.323783784</v>
      </c>
      <c r="N31" s="23" t="n">
        <f aca="false">INDEX(Simulador!$C$64:$F$64,F31)</f>
        <v>155579.061621622</v>
      </c>
      <c r="O31" s="23" t="n">
        <f aca="false">IF(H31&gt;=Simulador!$C$19,INDEX(Simulador!$C$65:$F$65,F31),INDEX(Simulador!$C$64:$F$64,F31))</f>
        <v>155579.061621622</v>
      </c>
      <c r="P31" s="23" t="n">
        <f aca="false">IF(H31&gt;=Simulador!$C$19,INDEX(Simulador!$C$67:$F$67,F31),INDEX(Simulador!$C$66:$F$66,F31))</f>
        <v>111865.297837838</v>
      </c>
      <c r="Q31" s="23" t="n">
        <f aca="false">M31+(IF(I31="",J31,I31)-J31)*Simulador!$C$9</f>
        <v>114450.323783784</v>
      </c>
      <c r="R31" s="23" t="n">
        <f aca="false">N31+(IF(I31="",J31,I31)-J31)*Simulador!$C$9</f>
        <v>159947.061621622</v>
      </c>
      <c r="S31" s="23" t="n">
        <f aca="false">O31+(IF(I31="",J31,I31)-J31)*Simulador!$C$9</f>
        <v>159947.061621622</v>
      </c>
      <c r="T31" s="23" t="n">
        <f aca="false">P31+(IF(I31="",J31,I31)-J31)*Simulador!$C$9</f>
        <v>116233.297837838</v>
      </c>
      <c r="U31" s="2"/>
    </row>
    <row r="32" customFormat="false" ht="15" hidden="false" customHeight="false" outlineLevel="0" collapsed="false">
      <c r="B32" s="37" t="n">
        <v>45847</v>
      </c>
      <c r="C32" s="9" t="s">
        <v>340</v>
      </c>
      <c r="D32" s="38" t="n">
        <v>2</v>
      </c>
      <c r="E32" s="9" t="s">
        <v>231</v>
      </c>
      <c r="F32" s="16" t="n">
        <f aca="false">MATCH(E32,{"Misma locación","0.15 - 5 km","5 - 10 km","10+ km"},0)</f>
        <v>2</v>
      </c>
      <c r="G32" s="16" t="n">
        <f aca="false">MONTH(B32)</f>
        <v>7</v>
      </c>
      <c r="H32" s="16" t="n">
        <f aca="false">COUNTIF($G$8:G32,G32)</f>
        <v>2</v>
      </c>
      <c r="I32" s="38" t="n">
        <v>21</v>
      </c>
      <c r="J32" s="39" t="n">
        <f aca="false">INDEX(Simulador!$C$39:$F$39,F32)</f>
        <v>18</v>
      </c>
      <c r="K32" s="40" t="n">
        <f aca="false">IF(I32="","",I32-J32)</f>
        <v>3</v>
      </c>
      <c r="L32" s="41" t="n">
        <f aca="false">INDEX(Simulador!$C$51:$F$51,F32)</f>
        <v>99473.8108108108</v>
      </c>
      <c r="M32" s="23" t="n">
        <f aca="false">IF(H32&gt;=Simulador!$C$19,INDEX(Simulador!$C$63:$F$63,F32),INDEX(Simulador!$C$62:$F$62,F32))</f>
        <v>88600.7254054054</v>
      </c>
      <c r="N32" s="23" t="n">
        <f aca="false">INDEX(Simulador!$C$64:$F$64,F32)</f>
        <v>111149.808108108</v>
      </c>
      <c r="O32" s="23" t="n">
        <f aca="false">IF(H32&gt;=Simulador!$C$19,INDEX(Simulador!$C$65:$F$65,F32),INDEX(Simulador!$C$64:$F$64,F32))</f>
        <v>111149.808108108</v>
      </c>
      <c r="P32" s="23" t="n">
        <f aca="false">IF(H32&gt;=Simulador!$C$19,INDEX(Simulador!$C$67:$F$67,F32),INDEX(Simulador!$C$66:$F$66,F32))</f>
        <v>85046.6491891892</v>
      </c>
      <c r="Q32" s="23" t="n">
        <f aca="false">M32+(IF(I32="",J32,I32)-J32)*Simulador!$C$9</f>
        <v>92968.7254054054</v>
      </c>
      <c r="R32" s="23" t="n">
        <f aca="false">N32+(IF(I32="",J32,I32)-J32)*Simulador!$C$9</f>
        <v>115517.808108108</v>
      </c>
      <c r="S32" s="23" t="n">
        <f aca="false">O32+(IF(I32="",J32,I32)-J32)*Simulador!$C$9</f>
        <v>115517.808108108</v>
      </c>
      <c r="T32" s="23" t="n">
        <f aca="false">P32+(IF(I32="",J32,I32)-J32)*Simulador!$C$9</f>
        <v>89414.6491891892</v>
      </c>
      <c r="U32" s="2"/>
    </row>
    <row r="33" customFormat="false" ht="15" hidden="false" customHeight="false" outlineLevel="0" collapsed="false">
      <c r="B33" s="37" t="n">
        <v>45851</v>
      </c>
      <c r="C33" s="9" t="s">
        <v>341</v>
      </c>
      <c r="D33" s="38" t="n">
        <v>5.8</v>
      </c>
      <c r="E33" s="9" t="s">
        <v>243</v>
      </c>
      <c r="F33" s="16" t="n">
        <f aca="false">MATCH(E33,{"Misma locación","0.15 - 5 km","5 - 10 km","10+ km"},0)</f>
        <v>3</v>
      </c>
      <c r="G33" s="16" t="n">
        <f aca="false">MONTH(B33)</f>
        <v>7</v>
      </c>
      <c r="H33" s="16" t="n">
        <f aca="false">COUNTIF($G$8:G33,G33)</f>
        <v>3</v>
      </c>
      <c r="I33" s="38" t="n">
        <v>16.25</v>
      </c>
      <c r="J33" s="39" t="n">
        <f aca="false">INDEX(Simulador!$C$39:$F$39,F33)</f>
        <v>24</v>
      </c>
      <c r="K33" s="40" t="n">
        <f aca="false">IF(I33="","",I33-J33)</f>
        <v>-7.75</v>
      </c>
      <c r="L33" s="41" t="n">
        <f aca="false">INDEX(Simulador!$C$51:$F$51,F33)</f>
        <v>96184.8108108108</v>
      </c>
      <c r="M33" s="23" t="n">
        <f aca="false">IF(H33&gt;=Simulador!$C$19,INDEX(Simulador!$C$63:$F$63,F33),INDEX(Simulador!$C$62:$F$62,F33))</f>
        <v>102096.161621622</v>
      </c>
      <c r="N33" s="23" t="n">
        <f aca="false">INDEX(Simulador!$C$64:$F$64,F33)</f>
        <v>138633.155135135</v>
      </c>
      <c r="O33" s="23" t="n">
        <f aca="false">IF(H33&gt;=Simulador!$C$19,INDEX(Simulador!$C$65:$F$65,F33),INDEX(Simulador!$C$64:$F$64,F33))</f>
        <v>138633.155135135</v>
      </c>
      <c r="P33" s="23" t="n">
        <f aca="false">IF(H33&gt;=Simulador!$C$19,INDEX(Simulador!$C$67:$F$67,F33),INDEX(Simulador!$C$66:$F$66,F33))</f>
        <v>104944.811351351</v>
      </c>
      <c r="Q33" s="23" t="n">
        <f aca="false">M33+(IF(I33="",J33,I33)-J33)*Simulador!$C$9</f>
        <v>90812.1616216216</v>
      </c>
      <c r="R33" s="23" t="n">
        <f aca="false">N33+(IF(I33="",J33,I33)-J33)*Simulador!$C$9</f>
        <v>127349.155135135</v>
      </c>
      <c r="S33" s="23" t="n">
        <f aca="false">O33+(IF(I33="",J33,I33)-J33)*Simulador!$C$9</f>
        <v>127349.155135135</v>
      </c>
      <c r="T33" s="23" t="n">
        <f aca="false">P33+(IF(I33="",J33,I33)-J33)*Simulador!$C$9</f>
        <v>93660.8113513514</v>
      </c>
      <c r="U33" s="2"/>
    </row>
    <row r="34" customFormat="false" ht="15" hidden="false" customHeight="false" outlineLevel="0" collapsed="false">
      <c r="B34" s="37" t="n">
        <v>45855</v>
      </c>
      <c r="C34" s="9" t="s">
        <v>342</v>
      </c>
      <c r="D34" s="38" t="n">
        <v>6</v>
      </c>
      <c r="E34" s="9" t="s">
        <v>243</v>
      </c>
      <c r="F34" s="16" t="n">
        <f aca="false">MATCH(E34,{"Misma locación","0.15 - 5 km","5 - 10 km","10+ km"},0)</f>
        <v>3</v>
      </c>
      <c r="G34" s="16" t="n">
        <f aca="false">MONTH(B34)</f>
        <v>7</v>
      </c>
      <c r="H34" s="16" t="n">
        <f aca="false">COUNTIF($G$8:G34,G34)</f>
        <v>4</v>
      </c>
      <c r="I34" s="38" t="n">
        <v>19.75</v>
      </c>
      <c r="J34" s="39" t="n">
        <f aca="false">INDEX(Simulador!$C$39:$F$39,F34)</f>
        <v>24</v>
      </c>
      <c r="K34" s="40" t="n">
        <f aca="false">IF(I34="","",I34-J34)</f>
        <v>-4.25</v>
      </c>
      <c r="L34" s="41" t="n">
        <f aca="false">INDEX(Simulador!$C$51:$F$51,F34)</f>
        <v>96184.8108108108</v>
      </c>
      <c r="M34" s="23" t="n">
        <f aca="false">IF(H34&gt;=Simulador!$C$19,INDEX(Simulador!$C$63:$F$63,F34),INDEX(Simulador!$C$62:$F$62,F34))</f>
        <v>102096.161621622</v>
      </c>
      <c r="N34" s="23" t="n">
        <f aca="false">INDEX(Simulador!$C$64:$F$64,F34)</f>
        <v>138633.155135135</v>
      </c>
      <c r="O34" s="23" t="n">
        <f aca="false">IF(H34&gt;=Simulador!$C$19,INDEX(Simulador!$C$65:$F$65,F34),INDEX(Simulador!$C$64:$F$64,F34))</f>
        <v>138633.155135135</v>
      </c>
      <c r="P34" s="23" t="n">
        <f aca="false">IF(H34&gt;=Simulador!$C$19,INDEX(Simulador!$C$67:$F$67,F34),INDEX(Simulador!$C$66:$F$66,F34))</f>
        <v>104944.811351351</v>
      </c>
      <c r="Q34" s="23" t="n">
        <f aca="false">M34+(IF(I34="",J34,I34)-J34)*Simulador!$C$9</f>
        <v>95908.1616216216</v>
      </c>
      <c r="R34" s="23" t="n">
        <f aca="false">N34+(IF(I34="",J34,I34)-J34)*Simulador!$C$9</f>
        <v>132445.155135135</v>
      </c>
      <c r="S34" s="23" t="n">
        <f aca="false">O34+(IF(I34="",J34,I34)-J34)*Simulador!$C$9</f>
        <v>132445.155135135</v>
      </c>
      <c r="T34" s="23" t="n">
        <f aca="false">P34+(IF(I34="",J34,I34)-J34)*Simulador!$C$9</f>
        <v>98756.8113513514</v>
      </c>
      <c r="U34" s="2"/>
    </row>
    <row r="35" customFormat="false" ht="15" hidden="false" customHeight="false" outlineLevel="0" collapsed="false">
      <c r="B35" s="37" t="n">
        <v>45860</v>
      </c>
      <c r="C35" s="9" t="s">
        <v>343</v>
      </c>
      <c r="D35" s="38" t="n">
        <v>2</v>
      </c>
      <c r="E35" s="9" t="s">
        <v>231</v>
      </c>
      <c r="F35" s="16" t="n">
        <f aca="false">MATCH(E35,{"Misma locación","0.15 - 5 km","5 - 10 km","10+ km"},0)</f>
        <v>2</v>
      </c>
      <c r="G35" s="16" t="n">
        <f aca="false">MONTH(B35)</f>
        <v>7</v>
      </c>
      <c r="H35" s="16" t="n">
        <f aca="false">COUNTIF($G$8:G35,G35)</f>
        <v>5</v>
      </c>
      <c r="I35" s="38" t="n">
        <v>15.75</v>
      </c>
      <c r="J35" s="39" t="n">
        <f aca="false">INDEX(Simulador!$C$39:$F$39,F35)</f>
        <v>18</v>
      </c>
      <c r="K35" s="40" t="n">
        <f aca="false">IF(I35="","",I35-J35)</f>
        <v>-2.25</v>
      </c>
      <c r="L35" s="41" t="n">
        <f aca="false">INDEX(Simulador!$C$51:$F$51,F35)</f>
        <v>99473.8108108108</v>
      </c>
      <c r="M35" s="23" t="n">
        <f aca="false">IF(H35&gt;=Simulador!$C$19,INDEX(Simulador!$C$63:$F$63,F35),INDEX(Simulador!$C$62:$F$62,F35))</f>
        <v>88600.7254054054</v>
      </c>
      <c r="N35" s="23" t="n">
        <f aca="false">INDEX(Simulador!$C$64:$F$64,F35)</f>
        <v>111149.808108108</v>
      </c>
      <c r="O35" s="23" t="n">
        <f aca="false">IF(H35&gt;=Simulador!$C$19,INDEX(Simulador!$C$65:$F$65,F35),INDEX(Simulador!$C$64:$F$64,F35))</f>
        <v>111149.808108108</v>
      </c>
      <c r="P35" s="23" t="n">
        <f aca="false">IF(H35&gt;=Simulador!$C$19,INDEX(Simulador!$C$67:$F$67,F35),INDEX(Simulador!$C$66:$F$66,F35))</f>
        <v>85046.6491891892</v>
      </c>
      <c r="Q35" s="23" t="n">
        <f aca="false">M35+(IF(I35="",J35,I35)-J35)*Simulador!$C$9</f>
        <v>85324.7254054054</v>
      </c>
      <c r="R35" s="23" t="n">
        <f aca="false">N35+(IF(I35="",J35,I35)-J35)*Simulador!$C$9</f>
        <v>107873.808108108</v>
      </c>
      <c r="S35" s="23" t="n">
        <f aca="false">O35+(IF(I35="",J35,I35)-J35)*Simulador!$C$9</f>
        <v>107873.808108108</v>
      </c>
      <c r="T35" s="23" t="n">
        <f aca="false">P35+(IF(I35="",J35,I35)-J35)*Simulador!$C$9</f>
        <v>81770.6491891892</v>
      </c>
      <c r="U35" s="2"/>
    </row>
    <row r="36" customFormat="false" ht="15" hidden="false" customHeight="false" outlineLevel="0" collapsed="false">
      <c r="B36" s="37" t="n">
        <v>45864</v>
      </c>
      <c r="C36" s="9" t="s">
        <v>344</v>
      </c>
      <c r="D36" s="38" t="n">
        <v>2</v>
      </c>
      <c r="E36" s="9" t="s">
        <v>231</v>
      </c>
      <c r="F36" s="16" t="n">
        <f aca="false">MATCH(E36,{"Misma locación","0.15 - 5 km","5 - 10 km","10+ km"},0)</f>
        <v>2</v>
      </c>
      <c r="G36" s="16" t="n">
        <f aca="false">MONTH(B36)</f>
        <v>7</v>
      </c>
      <c r="H36" s="16" t="n">
        <f aca="false">COUNTIF($G$8:G36,G36)</f>
        <v>6</v>
      </c>
      <c r="I36" s="38" t="n">
        <v>18.75</v>
      </c>
      <c r="J36" s="39" t="n">
        <f aca="false">INDEX(Simulador!$C$39:$F$39,F36)</f>
        <v>18</v>
      </c>
      <c r="K36" s="40" t="n">
        <f aca="false">IF(I36="","",I36-J36)</f>
        <v>0.75</v>
      </c>
      <c r="L36" s="41" t="n">
        <f aca="false">INDEX(Simulador!$C$51:$F$51,F36)</f>
        <v>99473.8108108108</v>
      </c>
      <c r="M36" s="23" t="n">
        <f aca="false">IF(H36&gt;=Simulador!$C$19,INDEX(Simulador!$C$63:$F$63,F36),INDEX(Simulador!$C$62:$F$62,F36))</f>
        <v>58755.7140540541</v>
      </c>
      <c r="N36" s="23" t="n">
        <f aca="false">INDEX(Simulador!$C$64:$F$64,F36)</f>
        <v>111149.808108108</v>
      </c>
      <c r="O36" s="23" t="n">
        <f aca="false">IF(H36&gt;=Simulador!$C$19,INDEX(Simulador!$C$65:$F$65,F36),INDEX(Simulador!$C$64:$F$64,F36))</f>
        <v>70030.2554054054</v>
      </c>
      <c r="P36" s="23" t="n">
        <f aca="false">IF(H36&gt;=Simulador!$C$19,INDEX(Simulador!$C$67:$F$67,F36),INDEX(Simulador!$C$66:$F$66,F36))</f>
        <v>62202.5945945946</v>
      </c>
      <c r="Q36" s="23" t="n">
        <f aca="false">M36+(IF(I36="",J36,I36)-J36)*Simulador!$C$9</f>
        <v>59847.7140540541</v>
      </c>
      <c r="R36" s="23" t="n">
        <f aca="false">N36+(IF(I36="",J36,I36)-J36)*Simulador!$C$9</f>
        <v>112241.808108108</v>
      </c>
      <c r="S36" s="23" t="n">
        <f aca="false">O36+(IF(I36="",J36,I36)-J36)*Simulador!$C$9</f>
        <v>71122.2554054054</v>
      </c>
      <c r="T36" s="23" t="n">
        <f aca="false">P36+(IF(I36="",J36,I36)-J36)*Simulador!$C$9</f>
        <v>63294.5945945946</v>
      </c>
      <c r="U36" s="2"/>
    </row>
    <row r="37" customFormat="false" ht="15" hidden="false" customHeight="false" outlineLevel="0" collapsed="false">
      <c r="B37" s="37" t="n">
        <v>45869</v>
      </c>
      <c r="C37" s="9" t="s">
        <v>345</v>
      </c>
      <c r="D37" s="38" t="n">
        <v>8.1</v>
      </c>
      <c r="E37" s="9" t="s">
        <v>243</v>
      </c>
      <c r="F37" s="16" t="n">
        <f aca="false">MATCH(E37,{"Misma locación","0.15 - 5 km","5 - 10 km","10+ km"},0)</f>
        <v>3</v>
      </c>
      <c r="G37" s="16" t="n">
        <f aca="false">MONTH(B37)</f>
        <v>7</v>
      </c>
      <c r="H37" s="16" t="n">
        <f aca="false">COUNTIF($G$8:G37,G37)</f>
        <v>7</v>
      </c>
      <c r="I37" s="38" t="n">
        <v>24</v>
      </c>
      <c r="J37" s="39" t="n">
        <f aca="false">INDEX(Simulador!$C$39:$F$39,F37)</f>
        <v>24</v>
      </c>
      <c r="K37" s="40" t="n">
        <f aca="false">IF(I37="","",I37-J37)</f>
        <v>0</v>
      </c>
      <c r="L37" s="41" t="n">
        <f aca="false">INDEX(Simulador!$C$51:$F$51,F37)</f>
        <v>96184.8108108108</v>
      </c>
      <c r="M37" s="23" t="n">
        <f aca="false">IF(H37&gt;=Simulador!$C$19,INDEX(Simulador!$C$63:$F$63,F37),INDEX(Simulador!$C$62:$F$62,F37))</f>
        <v>69871.4321621622</v>
      </c>
      <c r="N37" s="23" t="n">
        <f aca="false">INDEX(Simulador!$C$64:$F$64,F37)</f>
        <v>138633.155135135</v>
      </c>
      <c r="O37" s="23" t="n">
        <f aca="false">IF(H37&gt;=Simulador!$C$19,INDEX(Simulador!$C$65:$F$65,F37),INDEX(Simulador!$C$64:$F$64,F37))</f>
        <v>88139.9289189189</v>
      </c>
      <c r="P37" s="23" t="n">
        <f aca="false">IF(H37&gt;=Simulador!$C$19,INDEX(Simulador!$C$67:$F$67,F37),INDEX(Simulador!$C$66:$F$66,F37))</f>
        <v>75215.6216216216</v>
      </c>
      <c r="Q37" s="23" t="n">
        <f aca="false">M37+(IF(I37="",J37,I37)-J37)*Simulador!$C$9</f>
        <v>69871.4321621622</v>
      </c>
      <c r="R37" s="23" t="n">
        <f aca="false">N37+(IF(I37="",J37,I37)-J37)*Simulador!$C$9</f>
        <v>138633.155135135</v>
      </c>
      <c r="S37" s="23" t="n">
        <f aca="false">O37+(IF(I37="",J37,I37)-J37)*Simulador!$C$9</f>
        <v>88139.9289189189</v>
      </c>
      <c r="T37" s="23" t="n">
        <f aca="false">P37+(IF(I37="",J37,I37)-J37)*Simulador!$C$9</f>
        <v>75215.6216216216</v>
      </c>
      <c r="U37" s="2"/>
    </row>
    <row r="38" customFormat="false" ht="15" hidden="false" customHeight="false" outlineLevel="0" collapsed="false">
      <c r="B38" s="37" t="n">
        <v>45873</v>
      </c>
      <c r="C38" s="9" t="s">
        <v>346</v>
      </c>
      <c r="D38" s="38" t="n">
        <v>0.0512063983613953</v>
      </c>
      <c r="E38" s="9" t="s">
        <v>245</v>
      </c>
      <c r="F38" s="16" t="n">
        <f aca="false">MATCH(E38,{"Misma locación","0.15 - 5 km","5 - 10 km","10+ km"},0)</f>
        <v>1</v>
      </c>
      <c r="G38" s="16" t="n">
        <f aca="false">MONTH(B38)</f>
        <v>8</v>
      </c>
      <c r="H38" s="16" t="n">
        <f aca="false">COUNTIF($G$8:G38,G38)</f>
        <v>1</v>
      </c>
      <c r="I38" s="38" t="n">
        <v>16.75</v>
      </c>
      <c r="J38" s="39" t="n">
        <f aca="false">INDEX(Simulador!$C$39:$F$39,F38)</f>
        <v>12</v>
      </c>
      <c r="K38" s="40" t="n">
        <f aca="false">IF(I38="","",I38-J38)</f>
        <v>4.75</v>
      </c>
      <c r="L38" s="41" t="n">
        <f aca="false">INDEX(Simulador!$C$51:$F$51,F38)</f>
        <v>76047.4054054054</v>
      </c>
      <c r="M38" s="23" t="n">
        <f aca="false">IF(H38&gt;=Simulador!$C$19,INDEX(Simulador!$C$63:$F$63,F38),INDEX(Simulador!$C$62:$F$62,F38))</f>
        <v>58116.7137837838</v>
      </c>
      <c r="N38" s="23" t="n">
        <f aca="false">INDEX(Simulador!$C$64:$F$64,F38)</f>
        <v>68381.1581081081</v>
      </c>
      <c r="O38" s="23" t="n">
        <f aca="false">IF(H38&gt;=Simulador!$C$19,INDEX(Simulador!$C$65:$F$65,F38),INDEX(Simulador!$C$64:$F$64,F38))</f>
        <v>68381.1581081081</v>
      </c>
      <c r="P38" s="23" t="n">
        <f aca="false">IF(H38&gt;=Simulador!$C$19,INDEX(Simulador!$C$67:$F$67,F38),INDEX(Simulador!$C$66:$F$66,F38))</f>
        <v>58075.5140540541</v>
      </c>
      <c r="Q38" s="23" t="n">
        <f aca="false">M38+(IF(I38="",J38,I38)-J38)*Simulador!$C$9</f>
        <v>65032.7137837838</v>
      </c>
      <c r="R38" s="23" t="n">
        <f aca="false">N38+(IF(I38="",J38,I38)-J38)*Simulador!$C$9</f>
        <v>75297.1581081081</v>
      </c>
      <c r="S38" s="23" t="n">
        <f aca="false">O38+(IF(I38="",J38,I38)-J38)*Simulador!$C$9</f>
        <v>75297.1581081081</v>
      </c>
      <c r="T38" s="23" t="n">
        <f aca="false">P38+(IF(I38="",J38,I38)-J38)*Simulador!$C$9</f>
        <v>64991.5140540541</v>
      </c>
      <c r="U38" s="2"/>
    </row>
    <row r="39" customFormat="false" ht="15" hidden="false" customHeight="false" outlineLevel="0" collapsed="false">
      <c r="B39" s="37" t="n">
        <v>45877</v>
      </c>
      <c r="C39" s="9" t="s">
        <v>347</v>
      </c>
      <c r="D39" s="38" t="n">
        <v>11.1</v>
      </c>
      <c r="E39" s="9" t="s">
        <v>228</v>
      </c>
      <c r="F39" s="16" t="n">
        <f aca="false">MATCH(E39,{"Misma locación","0.15 - 5 km","5 - 10 km","10+ km"},0)</f>
        <v>4</v>
      </c>
      <c r="G39" s="16" t="n">
        <f aca="false">MONTH(B39)</f>
        <v>8</v>
      </c>
      <c r="H39" s="16" t="n">
        <f aca="false">COUNTIF($G$8:G39,G39)</f>
        <v>2</v>
      </c>
      <c r="I39" s="38" t="n">
        <v>19.5</v>
      </c>
      <c r="J39" s="39" t="n">
        <f aca="false">INDEX(Simulador!$C$39:$F$39,F39)</f>
        <v>28</v>
      </c>
      <c r="K39" s="40" t="n">
        <f aca="false">IF(I39="","",I39-J39)</f>
        <v>-8.5</v>
      </c>
      <c r="L39" s="41" t="n">
        <f aca="false">INDEX(Simulador!$C$51:$F$51,F39)</f>
        <v>110984.810810811</v>
      </c>
      <c r="M39" s="23" t="n">
        <f aca="false">IF(H39&gt;=Simulador!$C$19,INDEX(Simulador!$C$63:$F$63,F39),INDEX(Simulador!$C$62:$F$62,F39))</f>
        <v>110082.323783784</v>
      </c>
      <c r="N39" s="23" t="n">
        <f aca="false">INDEX(Simulador!$C$64:$F$64,F39)</f>
        <v>155579.061621622</v>
      </c>
      <c r="O39" s="23" t="n">
        <f aca="false">IF(H39&gt;=Simulador!$C$19,INDEX(Simulador!$C$65:$F$65,F39),INDEX(Simulador!$C$64:$F$64,F39))</f>
        <v>155579.061621622</v>
      </c>
      <c r="P39" s="23" t="n">
        <f aca="false">IF(H39&gt;=Simulador!$C$19,INDEX(Simulador!$C$67:$F$67,F39),INDEX(Simulador!$C$66:$F$66,F39))</f>
        <v>111865.297837838</v>
      </c>
      <c r="Q39" s="23" t="n">
        <f aca="false">M39+(IF(I39="",J39,I39)-J39)*Simulador!$C$9</f>
        <v>97706.3237837838</v>
      </c>
      <c r="R39" s="23" t="n">
        <f aca="false">N39+(IF(I39="",J39,I39)-J39)*Simulador!$C$9</f>
        <v>143203.061621622</v>
      </c>
      <c r="S39" s="23" t="n">
        <f aca="false">O39+(IF(I39="",J39,I39)-J39)*Simulador!$C$9</f>
        <v>143203.061621622</v>
      </c>
      <c r="T39" s="23" t="n">
        <f aca="false">P39+(IF(I39="",J39,I39)-J39)*Simulador!$C$9</f>
        <v>99489.2978378379</v>
      </c>
      <c r="U39" s="2"/>
    </row>
    <row r="40" customFormat="false" ht="15" hidden="false" customHeight="false" outlineLevel="0" collapsed="false">
      <c r="B40" s="37" t="n">
        <v>45882</v>
      </c>
      <c r="C40" s="9" t="s">
        <v>348</v>
      </c>
      <c r="D40" s="38" t="n">
        <v>0.6</v>
      </c>
      <c r="E40" s="9" t="s">
        <v>231</v>
      </c>
      <c r="F40" s="16" t="n">
        <f aca="false">MATCH(E40,{"Misma locación","0.15 - 5 km","5 - 10 km","10+ km"},0)</f>
        <v>2</v>
      </c>
      <c r="G40" s="16" t="n">
        <f aca="false">MONTH(B40)</f>
        <v>8</v>
      </c>
      <c r="H40" s="16" t="n">
        <f aca="false">COUNTIF($G$8:G40,G40)</f>
        <v>3</v>
      </c>
      <c r="I40" s="38" t="n">
        <v>26</v>
      </c>
      <c r="J40" s="39" t="n">
        <f aca="false">INDEX(Simulador!$C$39:$F$39,F40)</f>
        <v>18</v>
      </c>
      <c r="K40" s="40" t="n">
        <f aca="false">IF(I40="","",I40-J40)</f>
        <v>8</v>
      </c>
      <c r="L40" s="41" t="n">
        <f aca="false">INDEX(Simulador!$C$51:$F$51,F40)</f>
        <v>99473.8108108108</v>
      </c>
      <c r="M40" s="23" t="n">
        <f aca="false">IF(H40&gt;=Simulador!$C$19,INDEX(Simulador!$C$63:$F$63,F40),INDEX(Simulador!$C$62:$F$62,F40))</f>
        <v>88600.7254054054</v>
      </c>
      <c r="N40" s="23" t="n">
        <f aca="false">INDEX(Simulador!$C$64:$F$64,F40)</f>
        <v>111149.808108108</v>
      </c>
      <c r="O40" s="23" t="n">
        <f aca="false">IF(H40&gt;=Simulador!$C$19,INDEX(Simulador!$C$65:$F$65,F40),INDEX(Simulador!$C$64:$F$64,F40))</f>
        <v>111149.808108108</v>
      </c>
      <c r="P40" s="23" t="n">
        <f aca="false">IF(H40&gt;=Simulador!$C$19,INDEX(Simulador!$C$67:$F$67,F40),INDEX(Simulador!$C$66:$F$66,F40))</f>
        <v>85046.6491891892</v>
      </c>
      <c r="Q40" s="23" t="n">
        <f aca="false">M40+(IF(I40="",J40,I40)-J40)*Simulador!$C$9</f>
        <v>100248.725405405</v>
      </c>
      <c r="R40" s="23" t="n">
        <f aca="false">N40+(IF(I40="",J40,I40)-J40)*Simulador!$C$9</f>
        <v>122797.808108108</v>
      </c>
      <c r="S40" s="23" t="n">
        <f aca="false">O40+(IF(I40="",J40,I40)-J40)*Simulador!$C$9</f>
        <v>122797.808108108</v>
      </c>
      <c r="T40" s="23" t="n">
        <f aca="false">P40+(IF(I40="",J40,I40)-J40)*Simulador!$C$9</f>
        <v>96694.6491891892</v>
      </c>
      <c r="U40" s="2"/>
    </row>
    <row r="41" customFormat="false" ht="15" hidden="false" customHeight="false" outlineLevel="0" collapsed="false">
      <c r="B41" s="37" t="n">
        <v>45886</v>
      </c>
      <c r="C41" s="9" t="s">
        <v>349</v>
      </c>
      <c r="D41" s="38" t="n">
        <v>0.0128015995903488</v>
      </c>
      <c r="E41" s="9" t="s">
        <v>245</v>
      </c>
      <c r="F41" s="16" t="n">
        <f aca="false">MATCH(E41,{"Misma locación","0.15 - 5 km","5 - 10 km","10+ km"},0)</f>
        <v>1</v>
      </c>
      <c r="G41" s="16" t="n">
        <f aca="false">MONTH(B41)</f>
        <v>8</v>
      </c>
      <c r="H41" s="16" t="n">
        <f aca="false">COUNTIF($G$8:G41,G41)</f>
        <v>4</v>
      </c>
      <c r="I41" s="38" t="n">
        <v>17.25</v>
      </c>
      <c r="J41" s="39" t="n">
        <f aca="false">INDEX(Simulador!$C$39:$F$39,F41)</f>
        <v>12</v>
      </c>
      <c r="K41" s="40" t="n">
        <f aca="false">IF(I41="","",I41-J41)</f>
        <v>5.25</v>
      </c>
      <c r="L41" s="41" t="n">
        <f aca="false">INDEX(Simulador!$C$51:$F$51,F41)</f>
        <v>76047.4054054054</v>
      </c>
      <c r="M41" s="23" t="n">
        <f aca="false">IF(H41&gt;=Simulador!$C$19,INDEX(Simulador!$C$63:$F$63,F41),INDEX(Simulador!$C$62:$F$62,F41))</f>
        <v>58116.7137837838</v>
      </c>
      <c r="N41" s="23" t="n">
        <f aca="false">INDEX(Simulador!$C$64:$F$64,F41)</f>
        <v>68381.1581081081</v>
      </c>
      <c r="O41" s="23" t="n">
        <f aca="false">IF(H41&gt;=Simulador!$C$19,INDEX(Simulador!$C$65:$F$65,F41),INDEX(Simulador!$C$64:$F$64,F41))</f>
        <v>68381.1581081081</v>
      </c>
      <c r="P41" s="23" t="n">
        <f aca="false">IF(H41&gt;=Simulador!$C$19,INDEX(Simulador!$C$67:$F$67,F41),INDEX(Simulador!$C$66:$F$66,F41))</f>
        <v>58075.5140540541</v>
      </c>
      <c r="Q41" s="23" t="n">
        <f aca="false">M41+(IF(I41="",J41,I41)-J41)*Simulador!$C$9</f>
        <v>65760.7137837838</v>
      </c>
      <c r="R41" s="23" t="n">
        <f aca="false">N41+(IF(I41="",J41,I41)-J41)*Simulador!$C$9</f>
        <v>76025.1581081081</v>
      </c>
      <c r="S41" s="23" t="n">
        <f aca="false">O41+(IF(I41="",J41,I41)-J41)*Simulador!$C$9</f>
        <v>76025.1581081081</v>
      </c>
      <c r="T41" s="23" t="n">
        <f aca="false">P41+(IF(I41="",J41,I41)-J41)*Simulador!$C$9</f>
        <v>65719.5140540541</v>
      </c>
      <c r="U41" s="2"/>
    </row>
    <row r="42" customFormat="false" ht="15" hidden="false" customHeight="false" outlineLevel="0" collapsed="false">
      <c r="B42" s="37" t="n">
        <v>45890</v>
      </c>
      <c r="C42" s="9" t="s">
        <v>350</v>
      </c>
      <c r="D42" s="38" t="n">
        <v>0.0128015995903488</v>
      </c>
      <c r="E42" s="9" t="s">
        <v>245</v>
      </c>
      <c r="F42" s="16" t="n">
        <f aca="false">MATCH(E42,{"Misma locación","0.15 - 5 km","5 - 10 km","10+ km"},0)</f>
        <v>1</v>
      </c>
      <c r="G42" s="16" t="n">
        <f aca="false">MONTH(B42)</f>
        <v>8</v>
      </c>
      <c r="H42" s="16" t="n">
        <f aca="false">COUNTIF($G$8:G42,G42)</f>
        <v>5</v>
      </c>
      <c r="I42" s="38" t="n">
        <v>19</v>
      </c>
      <c r="J42" s="39" t="n">
        <f aca="false">INDEX(Simulador!$C$39:$F$39,F42)</f>
        <v>12</v>
      </c>
      <c r="K42" s="40" t="n">
        <f aca="false">IF(I42="","",I42-J42)</f>
        <v>7</v>
      </c>
      <c r="L42" s="41" t="n">
        <f aca="false">INDEX(Simulador!$C$51:$F$51,F42)</f>
        <v>76047.4054054054</v>
      </c>
      <c r="M42" s="23" t="n">
        <f aca="false">IF(H42&gt;=Simulador!$C$19,INDEX(Simulador!$C$63:$F$63,F42),INDEX(Simulador!$C$62:$F$62,F42))</f>
        <v>58116.7137837838</v>
      </c>
      <c r="N42" s="23" t="n">
        <f aca="false">INDEX(Simulador!$C$64:$F$64,F42)</f>
        <v>68381.1581081081</v>
      </c>
      <c r="O42" s="23" t="n">
        <f aca="false">IF(H42&gt;=Simulador!$C$19,INDEX(Simulador!$C$65:$F$65,F42),INDEX(Simulador!$C$64:$F$64,F42))</f>
        <v>68381.1581081081</v>
      </c>
      <c r="P42" s="23" t="n">
        <f aca="false">IF(H42&gt;=Simulador!$C$19,INDEX(Simulador!$C$67:$F$67,F42),INDEX(Simulador!$C$66:$F$66,F42))</f>
        <v>58075.5140540541</v>
      </c>
      <c r="Q42" s="23" t="n">
        <f aca="false">M42+(IF(I42="",J42,I42)-J42)*Simulador!$C$9</f>
        <v>68308.7137837838</v>
      </c>
      <c r="R42" s="23" t="n">
        <f aca="false">N42+(IF(I42="",J42,I42)-J42)*Simulador!$C$9</f>
        <v>78573.1581081081</v>
      </c>
      <c r="S42" s="23" t="n">
        <f aca="false">O42+(IF(I42="",J42,I42)-J42)*Simulador!$C$9</f>
        <v>78573.1581081081</v>
      </c>
      <c r="T42" s="23" t="n">
        <f aca="false">P42+(IF(I42="",J42,I42)-J42)*Simulador!$C$9</f>
        <v>68267.5140540541</v>
      </c>
      <c r="U42" s="2"/>
    </row>
    <row r="43" customFormat="false" ht="15" hidden="false" customHeight="false" outlineLevel="0" collapsed="false">
      <c r="B43" s="37" t="n">
        <v>45894</v>
      </c>
      <c r="C43" s="9" t="s">
        <v>351</v>
      </c>
      <c r="D43" s="38" t="n">
        <v>9.3</v>
      </c>
      <c r="E43" s="9" t="s">
        <v>243</v>
      </c>
      <c r="F43" s="16" t="n">
        <f aca="false">MATCH(E43,{"Misma locación","0.15 - 5 km","5 - 10 km","10+ km"},0)</f>
        <v>3</v>
      </c>
      <c r="G43" s="16" t="n">
        <f aca="false">MONTH(B43)</f>
        <v>8</v>
      </c>
      <c r="H43" s="16" t="n">
        <f aca="false">COUNTIF($G$8:G43,G43)</f>
        <v>6</v>
      </c>
      <c r="I43" s="38" t="n">
        <v>18.25</v>
      </c>
      <c r="J43" s="39" t="n">
        <f aca="false">INDEX(Simulador!$C$39:$F$39,F43)</f>
        <v>24</v>
      </c>
      <c r="K43" s="40" t="n">
        <f aca="false">IF(I43="","",I43-J43)</f>
        <v>-5.75</v>
      </c>
      <c r="L43" s="41" t="n">
        <f aca="false">INDEX(Simulador!$C$51:$F$51,F43)</f>
        <v>96184.8108108108</v>
      </c>
      <c r="M43" s="23" t="n">
        <f aca="false">IF(H43&gt;=Simulador!$C$19,INDEX(Simulador!$C$63:$F$63,F43),INDEX(Simulador!$C$62:$F$62,F43))</f>
        <v>69871.4321621622</v>
      </c>
      <c r="N43" s="23" t="n">
        <f aca="false">INDEX(Simulador!$C$64:$F$64,F43)</f>
        <v>138633.155135135</v>
      </c>
      <c r="O43" s="23" t="n">
        <f aca="false">IF(H43&gt;=Simulador!$C$19,INDEX(Simulador!$C$65:$F$65,F43),INDEX(Simulador!$C$64:$F$64,F43))</f>
        <v>88139.9289189189</v>
      </c>
      <c r="P43" s="23" t="n">
        <f aca="false">IF(H43&gt;=Simulador!$C$19,INDEX(Simulador!$C$67:$F$67,F43),INDEX(Simulador!$C$66:$F$66,F43))</f>
        <v>75215.6216216216</v>
      </c>
      <c r="Q43" s="23" t="n">
        <f aca="false">M43+(IF(I43="",J43,I43)-J43)*Simulador!$C$9</f>
        <v>61499.4321621622</v>
      </c>
      <c r="R43" s="23" t="n">
        <f aca="false">N43+(IF(I43="",J43,I43)-J43)*Simulador!$C$9</f>
        <v>130261.155135135</v>
      </c>
      <c r="S43" s="23" t="n">
        <f aca="false">O43+(IF(I43="",J43,I43)-J43)*Simulador!$C$9</f>
        <v>79767.9289189189</v>
      </c>
      <c r="T43" s="23" t="n">
        <f aca="false">P43+(IF(I43="",J43,I43)-J43)*Simulador!$C$9</f>
        <v>66843.6216216216</v>
      </c>
      <c r="U43" s="2"/>
    </row>
    <row r="44" customFormat="false" ht="15" hidden="false" customHeight="false" outlineLevel="0" collapsed="false">
      <c r="B44" s="37" t="n">
        <v>45899</v>
      </c>
      <c r="C44" s="9" t="s">
        <v>352</v>
      </c>
      <c r="D44" s="38" t="n">
        <v>0.00640079979517441</v>
      </c>
      <c r="E44" s="9" t="s">
        <v>245</v>
      </c>
      <c r="F44" s="16" t="n">
        <f aca="false">MATCH(E44,{"Misma locación","0.15 - 5 km","5 - 10 km","10+ km"},0)</f>
        <v>1</v>
      </c>
      <c r="G44" s="16" t="n">
        <f aca="false">MONTH(B44)</f>
        <v>8</v>
      </c>
      <c r="H44" s="16" t="n">
        <f aca="false">COUNTIF($G$8:G44,G44)</f>
        <v>7</v>
      </c>
      <c r="I44" s="38" t="n">
        <v>16</v>
      </c>
      <c r="J44" s="39" t="n">
        <f aca="false">INDEX(Simulador!$C$39:$F$39,F44)</f>
        <v>12</v>
      </c>
      <c r="K44" s="40" t="n">
        <f aca="false">IF(I44="","",I44-J44)</f>
        <v>4</v>
      </c>
      <c r="L44" s="41" t="n">
        <f aca="false">INDEX(Simulador!$C$51:$F$51,F44)</f>
        <v>76047.4054054054</v>
      </c>
      <c r="M44" s="23" t="n">
        <f aca="false">IF(H44&gt;=Simulador!$C$19,INDEX(Simulador!$C$63:$F$63,F44),INDEX(Simulador!$C$62:$F$62,F44))</f>
        <v>39145.7082432432</v>
      </c>
      <c r="N44" s="23" t="n">
        <f aca="false">INDEX(Simulador!$C$64:$F$64,F44)</f>
        <v>68381.1581081081</v>
      </c>
      <c r="O44" s="23" t="n">
        <f aca="false">IF(H44&gt;=Simulador!$C$19,INDEX(Simulador!$C$65:$F$65,F44),INDEX(Simulador!$C$64:$F$64,F44))</f>
        <v>44277.9304054054</v>
      </c>
      <c r="P44" s="23" t="n">
        <f aca="false">IF(H44&gt;=Simulador!$C$19,INDEX(Simulador!$C$67:$F$67,F44),INDEX(Simulador!$C$66:$F$66,F44))</f>
        <v>53466.5945945946</v>
      </c>
      <c r="Q44" s="23" t="n">
        <f aca="false">M44+(IF(I44="",J44,I44)-J44)*Simulador!$C$9</f>
        <v>44969.7082432432</v>
      </c>
      <c r="R44" s="23" t="n">
        <f aca="false">N44+(IF(I44="",J44,I44)-J44)*Simulador!$C$9</f>
        <v>74205.1581081081</v>
      </c>
      <c r="S44" s="23" t="n">
        <f aca="false">O44+(IF(I44="",J44,I44)-J44)*Simulador!$C$9</f>
        <v>50101.9304054054</v>
      </c>
      <c r="T44" s="23" t="n">
        <f aca="false">P44+(IF(I44="",J44,I44)-J44)*Simulador!$C$9</f>
        <v>59290.5945945946</v>
      </c>
      <c r="U44" s="2"/>
    </row>
    <row r="45" customFormat="false" ht="15" hidden="false" customHeight="false" outlineLevel="0" collapsed="false">
      <c r="B45" s="37" t="n">
        <v>45905</v>
      </c>
      <c r="C45" s="9" t="s">
        <v>353</v>
      </c>
      <c r="D45" s="38" t="n">
        <v>11.2</v>
      </c>
      <c r="E45" s="9" t="s">
        <v>228</v>
      </c>
      <c r="F45" s="16" t="n">
        <f aca="false">MATCH(E45,{"Misma locación","0.15 - 5 km","5 - 10 km","10+ km"},0)</f>
        <v>4</v>
      </c>
      <c r="G45" s="16" t="n">
        <f aca="false">MONTH(B45)</f>
        <v>9</v>
      </c>
      <c r="H45" s="16" t="n">
        <f aca="false">COUNTIF($G$8:G45,G45)</f>
        <v>1</v>
      </c>
      <c r="I45" s="38" t="n">
        <v>18.5</v>
      </c>
      <c r="J45" s="39" t="n">
        <f aca="false">INDEX(Simulador!$C$39:$F$39,F45)</f>
        <v>28</v>
      </c>
      <c r="K45" s="40" t="n">
        <f aca="false">IF(I45="","",I45-J45)</f>
        <v>-9.5</v>
      </c>
      <c r="L45" s="41" t="n">
        <f aca="false">INDEX(Simulador!$C$51:$F$51,F45)</f>
        <v>110984.810810811</v>
      </c>
      <c r="M45" s="23" t="n">
        <f aca="false">IF(H45&gt;=Simulador!$C$19,INDEX(Simulador!$C$63:$F$63,F45),INDEX(Simulador!$C$62:$F$62,F45))</f>
        <v>110082.323783784</v>
      </c>
      <c r="N45" s="23" t="n">
        <f aca="false">INDEX(Simulador!$C$64:$F$64,F45)</f>
        <v>155579.061621622</v>
      </c>
      <c r="O45" s="23" t="n">
        <f aca="false">IF(H45&gt;=Simulador!$C$19,INDEX(Simulador!$C$65:$F$65,F45),INDEX(Simulador!$C$64:$F$64,F45))</f>
        <v>155579.061621622</v>
      </c>
      <c r="P45" s="23" t="n">
        <f aca="false">IF(H45&gt;=Simulador!$C$19,INDEX(Simulador!$C$67:$F$67,F45),INDEX(Simulador!$C$66:$F$66,F45))</f>
        <v>111865.297837838</v>
      </c>
      <c r="Q45" s="23" t="n">
        <f aca="false">M45+(IF(I45="",J45,I45)-J45)*Simulador!$C$9</f>
        <v>96250.3237837838</v>
      </c>
      <c r="R45" s="23" t="n">
        <f aca="false">N45+(IF(I45="",J45,I45)-J45)*Simulador!$C$9</f>
        <v>141747.061621622</v>
      </c>
      <c r="S45" s="23" t="n">
        <f aca="false">O45+(IF(I45="",J45,I45)-J45)*Simulador!$C$9</f>
        <v>141747.061621622</v>
      </c>
      <c r="T45" s="23" t="n">
        <f aca="false">P45+(IF(I45="",J45,I45)-J45)*Simulador!$C$9</f>
        <v>98033.2978378379</v>
      </c>
      <c r="U45" s="2"/>
    </row>
    <row r="46" customFormat="false" ht="15" hidden="false" customHeight="false" outlineLevel="0" collapsed="false">
      <c r="B46" s="37" t="n">
        <v>45909</v>
      </c>
      <c r="C46" s="9" t="s">
        <v>354</v>
      </c>
      <c r="D46" s="38" t="n">
        <v>0.00640079979517441</v>
      </c>
      <c r="E46" s="9" t="s">
        <v>245</v>
      </c>
      <c r="F46" s="16" t="n">
        <f aca="false">MATCH(E46,{"Misma locación","0.15 - 5 km","5 - 10 km","10+ km"},0)</f>
        <v>1</v>
      </c>
      <c r="G46" s="16" t="n">
        <f aca="false">MONTH(B46)</f>
        <v>9</v>
      </c>
      <c r="H46" s="16" t="n">
        <f aca="false">COUNTIF($G$8:G46,G46)</f>
        <v>2</v>
      </c>
      <c r="I46" s="38" t="n">
        <v>14</v>
      </c>
      <c r="J46" s="39" t="n">
        <f aca="false">INDEX(Simulador!$C$39:$F$39,F46)</f>
        <v>12</v>
      </c>
      <c r="K46" s="40" t="n">
        <f aca="false">IF(I46="","",I46-J46)</f>
        <v>2</v>
      </c>
      <c r="L46" s="41" t="n">
        <f aca="false">INDEX(Simulador!$C$51:$F$51,F46)</f>
        <v>76047.4054054054</v>
      </c>
      <c r="M46" s="23" t="n">
        <f aca="false">IF(H46&gt;=Simulador!$C$19,INDEX(Simulador!$C$63:$F$63,F46),INDEX(Simulador!$C$62:$F$62,F46))</f>
        <v>58116.7137837838</v>
      </c>
      <c r="N46" s="23" t="n">
        <f aca="false">INDEX(Simulador!$C$64:$F$64,F46)</f>
        <v>68381.1581081081</v>
      </c>
      <c r="O46" s="23" t="n">
        <f aca="false">IF(H46&gt;=Simulador!$C$19,INDEX(Simulador!$C$65:$F$65,F46),INDEX(Simulador!$C$64:$F$64,F46))</f>
        <v>68381.1581081081</v>
      </c>
      <c r="P46" s="23" t="n">
        <f aca="false">IF(H46&gt;=Simulador!$C$19,INDEX(Simulador!$C$67:$F$67,F46),INDEX(Simulador!$C$66:$F$66,F46))</f>
        <v>58075.5140540541</v>
      </c>
      <c r="Q46" s="23" t="n">
        <f aca="false">M46+(IF(I46="",J46,I46)-J46)*Simulador!$C$9</f>
        <v>61028.7137837838</v>
      </c>
      <c r="R46" s="23" t="n">
        <f aca="false">N46+(IF(I46="",J46,I46)-J46)*Simulador!$C$9</f>
        <v>71293.1581081081</v>
      </c>
      <c r="S46" s="23" t="n">
        <f aca="false">O46+(IF(I46="",J46,I46)-J46)*Simulador!$C$9</f>
        <v>71293.1581081081</v>
      </c>
      <c r="T46" s="23" t="n">
        <f aca="false">P46+(IF(I46="",J46,I46)-J46)*Simulador!$C$9</f>
        <v>60987.5140540541</v>
      </c>
      <c r="U46" s="2"/>
    </row>
    <row r="47" customFormat="false" ht="15" hidden="false" customHeight="false" outlineLevel="0" collapsed="false">
      <c r="B47" s="37" t="n">
        <v>45912</v>
      </c>
      <c r="C47" s="9" t="s">
        <v>355</v>
      </c>
      <c r="D47" s="38" t="n">
        <v>1.6</v>
      </c>
      <c r="E47" s="9" t="s">
        <v>231</v>
      </c>
      <c r="F47" s="16" t="n">
        <f aca="false">MATCH(E47,{"Misma locación","0.15 - 5 km","5 - 10 km","10+ km"},0)</f>
        <v>2</v>
      </c>
      <c r="G47" s="16" t="n">
        <f aca="false">MONTH(B47)</f>
        <v>9</v>
      </c>
      <c r="H47" s="16" t="n">
        <f aca="false">COUNTIF($G$8:G47,G47)</f>
        <v>3</v>
      </c>
      <c r="I47" s="38" t="n">
        <v>20.25</v>
      </c>
      <c r="J47" s="39" t="n">
        <f aca="false">INDEX(Simulador!$C$39:$F$39,F47)</f>
        <v>18</v>
      </c>
      <c r="K47" s="40" t="n">
        <f aca="false">IF(I47="","",I47-J47)</f>
        <v>2.25</v>
      </c>
      <c r="L47" s="41" t="n">
        <f aca="false">INDEX(Simulador!$C$51:$F$51,F47)</f>
        <v>99473.8108108108</v>
      </c>
      <c r="M47" s="23" t="n">
        <f aca="false">IF(H47&gt;=Simulador!$C$19,INDEX(Simulador!$C$63:$F$63,F47),INDEX(Simulador!$C$62:$F$62,F47))</f>
        <v>88600.7254054054</v>
      </c>
      <c r="N47" s="23" t="n">
        <f aca="false">INDEX(Simulador!$C$64:$F$64,F47)</f>
        <v>111149.808108108</v>
      </c>
      <c r="O47" s="23" t="n">
        <f aca="false">IF(H47&gt;=Simulador!$C$19,INDEX(Simulador!$C$65:$F$65,F47),INDEX(Simulador!$C$64:$F$64,F47))</f>
        <v>111149.808108108</v>
      </c>
      <c r="P47" s="23" t="n">
        <f aca="false">IF(H47&gt;=Simulador!$C$19,INDEX(Simulador!$C$67:$F$67,F47),INDEX(Simulador!$C$66:$F$66,F47))</f>
        <v>85046.6491891892</v>
      </c>
      <c r="Q47" s="23" t="n">
        <f aca="false">M47+(IF(I47="",J47,I47)-J47)*Simulador!$C$9</f>
        <v>91876.7254054054</v>
      </c>
      <c r="R47" s="23" t="n">
        <f aca="false">N47+(IF(I47="",J47,I47)-J47)*Simulador!$C$9</f>
        <v>114425.808108108</v>
      </c>
      <c r="S47" s="23" t="n">
        <f aca="false">O47+(IF(I47="",J47,I47)-J47)*Simulador!$C$9</f>
        <v>114425.808108108</v>
      </c>
      <c r="T47" s="23" t="n">
        <f aca="false">P47+(IF(I47="",J47,I47)-J47)*Simulador!$C$9</f>
        <v>88322.6491891892</v>
      </c>
      <c r="U47" s="2"/>
    </row>
    <row r="48" customFormat="false" ht="15" hidden="false" customHeight="false" outlineLevel="0" collapsed="false">
      <c r="B48" s="37" t="n">
        <v>45916</v>
      </c>
      <c r="C48" s="9" t="s">
        <v>356</v>
      </c>
      <c r="D48" s="38" t="n">
        <v>7.2</v>
      </c>
      <c r="E48" s="9" t="s">
        <v>243</v>
      </c>
      <c r="F48" s="16" t="n">
        <f aca="false">MATCH(E48,{"Misma locación","0.15 - 5 km","5 - 10 km","10+ km"},0)</f>
        <v>3</v>
      </c>
      <c r="G48" s="16" t="n">
        <f aca="false">MONTH(B48)</f>
        <v>9</v>
      </c>
      <c r="H48" s="16" t="n">
        <f aca="false">COUNTIF($G$8:G48,G48)</f>
        <v>4</v>
      </c>
      <c r="I48" s="38" t="n">
        <v>17.25</v>
      </c>
      <c r="J48" s="39" t="n">
        <f aca="false">INDEX(Simulador!$C$39:$F$39,F48)</f>
        <v>24</v>
      </c>
      <c r="K48" s="40" t="n">
        <f aca="false">IF(I48="","",I48-J48)</f>
        <v>-6.75</v>
      </c>
      <c r="L48" s="41" t="n">
        <f aca="false">INDEX(Simulador!$C$51:$F$51,F48)</f>
        <v>96184.8108108108</v>
      </c>
      <c r="M48" s="23" t="n">
        <f aca="false">IF(H48&gt;=Simulador!$C$19,INDEX(Simulador!$C$63:$F$63,F48),INDEX(Simulador!$C$62:$F$62,F48))</f>
        <v>102096.161621622</v>
      </c>
      <c r="N48" s="23" t="n">
        <f aca="false">INDEX(Simulador!$C$64:$F$64,F48)</f>
        <v>138633.155135135</v>
      </c>
      <c r="O48" s="23" t="n">
        <f aca="false">IF(H48&gt;=Simulador!$C$19,INDEX(Simulador!$C$65:$F$65,F48),INDEX(Simulador!$C$64:$F$64,F48))</f>
        <v>138633.155135135</v>
      </c>
      <c r="P48" s="23" t="n">
        <f aca="false">IF(H48&gt;=Simulador!$C$19,INDEX(Simulador!$C$67:$F$67,F48),INDEX(Simulador!$C$66:$F$66,F48))</f>
        <v>104944.811351351</v>
      </c>
      <c r="Q48" s="23" t="n">
        <f aca="false">M48+(IF(I48="",J48,I48)-J48)*Simulador!$C$9</f>
        <v>92268.1616216216</v>
      </c>
      <c r="R48" s="23" t="n">
        <f aca="false">N48+(IF(I48="",J48,I48)-J48)*Simulador!$C$9</f>
        <v>128805.155135135</v>
      </c>
      <c r="S48" s="23" t="n">
        <f aca="false">O48+(IF(I48="",J48,I48)-J48)*Simulador!$C$9</f>
        <v>128805.155135135</v>
      </c>
      <c r="T48" s="23" t="n">
        <f aca="false">P48+(IF(I48="",J48,I48)-J48)*Simulador!$C$9</f>
        <v>95116.8113513514</v>
      </c>
      <c r="U48" s="2"/>
    </row>
    <row r="49" customFormat="false" ht="15" hidden="false" customHeight="false" outlineLevel="0" collapsed="false">
      <c r="B49" s="37" t="n">
        <v>45928</v>
      </c>
      <c r="C49" s="9" t="s">
        <v>357</v>
      </c>
      <c r="D49" s="38" t="n">
        <v>0.0384047987710464</v>
      </c>
      <c r="E49" s="9" t="s">
        <v>245</v>
      </c>
      <c r="F49" s="16" t="n">
        <f aca="false">MATCH(E49,{"Misma locación","0.15 - 5 km","5 - 10 km","10+ km"},0)</f>
        <v>1</v>
      </c>
      <c r="G49" s="16" t="n">
        <f aca="false">MONTH(B49)</f>
        <v>9</v>
      </c>
      <c r="H49" s="16" t="n">
        <f aca="false">COUNTIF($G$8:G49,G49)</f>
        <v>5</v>
      </c>
      <c r="I49" s="38" t="n">
        <v>18</v>
      </c>
      <c r="J49" s="39" t="n">
        <f aca="false">INDEX(Simulador!$C$39:$F$39,F49)</f>
        <v>12</v>
      </c>
      <c r="K49" s="40" t="n">
        <f aca="false">IF(I49="","",I49-J49)</f>
        <v>6</v>
      </c>
      <c r="L49" s="41" t="n">
        <f aca="false">INDEX(Simulador!$C$51:$F$51,F49)</f>
        <v>76047.4054054054</v>
      </c>
      <c r="M49" s="23" t="n">
        <f aca="false">IF(H49&gt;=Simulador!$C$19,INDEX(Simulador!$C$63:$F$63,F49),INDEX(Simulador!$C$62:$F$62,F49))</f>
        <v>58116.7137837838</v>
      </c>
      <c r="N49" s="23" t="n">
        <f aca="false">INDEX(Simulador!$C$64:$F$64,F49)</f>
        <v>68381.1581081081</v>
      </c>
      <c r="O49" s="23" t="n">
        <f aca="false">IF(H49&gt;=Simulador!$C$19,INDEX(Simulador!$C$65:$F$65,F49),INDEX(Simulador!$C$64:$F$64,F49))</f>
        <v>68381.1581081081</v>
      </c>
      <c r="P49" s="23" t="n">
        <f aca="false">IF(H49&gt;=Simulador!$C$19,INDEX(Simulador!$C$67:$F$67,F49),INDEX(Simulador!$C$66:$F$66,F49))</f>
        <v>58075.5140540541</v>
      </c>
      <c r="Q49" s="23" t="n">
        <f aca="false">M49+(IF(I49="",J49,I49)-J49)*Simulador!$C$9</f>
        <v>66852.7137837838</v>
      </c>
      <c r="R49" s="23" t="n">
        <f aca="false">N49+(IF(I49="",J49,I49)-J49)*Simulador!$C$9</f>
        <v>77117.1581081081</v>
      </c>
      <c r="S49" s="23" t="n">
        <f aca="false">O49+(IF(I49="",J49,I49)-J49)*Simulador!$C$9</f>
        <v>77117.1581081081</v>
      </c>
      <c r="T49" s="23" t="n">
        <f aca="false">P49+(IF(I49="",J49,I49)-J49)*Simulador!$C$9</f>
        <v>66811.5140540541</v>
      </c>
      <c r="U49" s="2"/>
    </row>
    <row r="50" customFormat="false" ht="15" hidden="false" customHeight="false" outlineLevel="0" collapsed="false">
      <c r="B50" s="37" t="n">
        <v>45931</v>
      </c>
      <c r="C50" s="9" t="s">
        <v>358</v>
      </c>
      <c r="D50" s="38" t="n">
        <v>1.2</v>
      </c>
      <c r="E50" s="9" t="s">
        <v>231</v>
      </c>
      <c r="F50" s="16" t="n">
        <f aca="false">MATCH(E50,{"Misma locación","0.15 - 5 km","5 - 10 km","10+ km"},0)</f>
        <v>2</v>
      </c>
      <c r="G50" s="16" t="n">
        <f aca="false">MONTH(B50)</f>
        <v>10</v>
      </c>
      <c r="H50" s="16" t="n">
        <f aca="false">COUNTIF($G$8:G50,G50)</f>
        <v>1</v>
      </c>
      <c r="I50" s="38" t="n">
        <v>22</v>
      </c>
      <c r="J50" s="39" t="n">
        <f aca="false">INDEX(Simulador!$C$39:$F$39,F50)</f>
        <v>18</v>
      </c>
      <c r="K50" s="40" t="n">
        <f aca="false">IF(I50="","",I50-J50)</f>
        <v>4</v>
      </c>
      <c r="L50" s="41" t="n">
        <f aca="false">INDEX(Simulador!$C$51:$F$51,F50)</f>
        <v>99473.8108108108</v>
      </c>
      <c r="M50" s="23" t="n">
        <f aca="false">IF(H50&gt;=Simulador!$C$19,INDEX(Simulador!$C$63:$F$63,F50),INDEX(Simulador!$C$62:$F$62,F50))</f>
        <v>88600.7254054054</v>
      </c>
      <c r="N50" s="23" t="n">
        <f aca="false">INDEX(Simulador!$C$64:$F$64,F50)</f>
        <v>111149.808108108</v>
      </c>
      <c r="O50" s="23" t="n">
        <f aca="false">IF(H50&gt;=Simulador!$C$19,INDEX(Simulador!$C$65:$F$65,F50),INDEX(Simulador!$C$64:$F$64,F50))</f>
        <v>111149.808108108</v>
      </c>
      <c r="P50" s="23" t="n">
        <f aca="false">IF(H50&gt;=Simulador!$C$19,INDEX(Simulador!$C$67:$F$67,F50),INDEX(Simulador!$C$66:$F$66,F50))</f>
        <v>85046.6491891892</v>
      </c>
      <c r="Q50" s="23" t="n">
        <f aca="false">M50+(IF(I50="",J50,I50)-J50)*Simulador!$C$9</f>
        <v>94424.7254054054</v>
      </c>
      <c r="R50" s="23" t="n">
        <f aca="false">N50+(IF(I50="",J50,I50)-J50)*Simulador!$C$9</f>
        <v>116973.808108108</v>
      </c>
      <c r="S50" s="23" t="n">
        <f aca="false">O50+(IF(I50="",J50,I50)-J50)*Simulador!$C$9</f>
        <v>116973.808108108</v>
      </c>
      <c r="T50" s="23" t="n">
        <f aca="false">P50+(IF(I50="",J50,I50)-J50)*Simulador!$C$9</f>
        <v>90870.6491891892</v>
      </c>
      <c r="U50" s="2"/>
    </row>
    <row r="51" customFormat="false" ht="15" hidden="false" customHeight="false" outlineLevel="0" collapsed="false">
      <c r="B51" s="37" t="n">
        <v>45935</v>
      </c>
      <c r="C51" s="9" t="s">
        <v>359</v>
      </c>
      <c r="D51" s="38" t="n">
        <v>3.1</v>
      </c>
      <c r="E51" s="9" t="s">
        <v>231</v>
      </c>
      <c r="F51" s="16" t="n">
        <f aca="false">MATCH(E51,{"Misma locación","0.15 - 5 km","5 - 10 km","10+ km"},0)</f>
        <v>2</v>
      </c>
      <c r="G51" s="16" t="n">
        <f aca="false">MONTH(B51)</f>
        <v>10</v>
      </c>
      <c r="H51" s="16" t="n">
        <f aca="false">COUNTIF($G$8:G51,G51)</f>
        <v>2</v>
      </c>
      <c r="I51" s="38" t="n">
        <v>16.75</v>
      </c>
      <c r="J51" s="39" t="n">
        <f aca="false">INDEX(Simulador!$C$39:$F$39,F51)</f>
        <v>18</v>
      </c>
      <c r="K51" s="40" t="n">
        <f aca="false">IF(I51="","",I51-J51)</f>
        <v>-1.25</v>
      </c>
      <c r="L51" s="41" t="n">
        <f aca="false">INDEX(Simulador!$C$51:$F$51,F51)</f>
        <v>99473.8108108108</v>
      </c>
      <c r="M51" s="23" t="n">
        <f aca="false">IF(H51&gt;=Simulador!$C$19,INDEX(Simulador!$C$63:$F$63,F51),INDEX(Simulador!$C$62:$F$62,F51))</f>
        <v>88600.7254054054</v>
      </c>
      <c r="N51" s="23" t="n">
        <f aca="false">INDEX(Simulador!$C$64:$F$64,F51)</f>
        <v>111149.808108108</v>
      </c>
      <c r="O51" s="23" t="n">
        <f aca="false">IF(H51&gt;=Simulador!$C$19,INDEX(Simulador!$C$65:$F$65,F51),INDEX(Simulador!$C$64:$F$64,F51))</f>
        <v>111149.808108108</v>
      </c>
      <c r="P51" s="23" t="n">
        <f aca="false">IF(H51&gt;=Simulador!$C$19,INDEX(Simulador!$C$67:$F$67,F51),INDEX(Simulador!$C$66:$F$66,F51))</f>
        <v>85046.6491891892</v>
      </c>
      <c r="Q51" s="23" t="n">
        <f aca="false">M51+(IF(I51="",J51,I51)-J51)*Simulador!$C$9</f>
        <v>86780.7254054054</v>
      </c>
      <c r="R51" s="23" t="n">
        <f aca="false">N51+(IF(I51="",J51,I51)-J51)*Simulador!$C$9</f>
        <v>109329.808108108</v>
      </c>
      <c r="S51" s="23" t="n">
        <f aca="false">O51+(IF(I51="",J51,I51)-J51)*Simulador!$C$9</f>
        <v>109329.808108108</v>
      </c>
      <c r="T51" s="23" t="n">
        <f aca="false">P51+(IF(I51="",J51,I51)-J51)*Simulador!$C$9</f>
        <v>83226.6491891892</v>
      </c>
      <c r="U51" s="2"/>
    </row>
    <row r="52" customFormat="false" ht="15" hidden="false" customHeight="false" outlineLevel="0" collapsed="false">
      <c r="B52" s="37" t="n">
        <v>45943</v>
      </c>
      <c r="C52" s="9" t="s">
        <v>360</v>
      </c>
      <c r="D52" s="38" t="n">
        <v>14.6</v>
      </c>
      <c r="E52" s="9" t="s">
        <v>228</v>
      </c>
      <c r="F52" s="16" t="n">
        <f aca="false">MATCH(E52,{"Misma locación","0.15 - 5 km","5 - 10 km","10+ km"},0)</f>
        <v>4</v>
      </c>
      <c r="G52" s="16" t="n">
        <f aca="false">MONTH(B52)</f>
        <v>10</v>
      </c>
      <c r="H52" s="16" t="n">
        <f aca="false">COUNTIF($G$8:G52,G52)</f>
        <v>3</v>
      </c>
      <c r="I52" s="38" t="n">
        <v>34</v>
      </c>
      <c r="J52" s="39" t="n">
        <f aca="false">INDEX(Simulador!$C$39:$F$39,F52)</f>
        <v>28</v>
      </c>
      <c r="K52" s="40" t="n">
        <f aca="false">IF(I52="","",I52-J52)</f>
        <v>6</v>
      </c>
      <c r="L52" s="41" t="n">
        <f aca="false">INDEX(Simulador!$C$51:$F$51,F52)</f>
        <v>110984.810810811</v>
      </c>
      <c r="M52" s="23" t="n">
        <f aca="false">IF(H52&gt;=Simulador!$C$19,INDEX(Simulador!$C$63:$F$63,F52),INDEX(Simulador!$C$62:$F$62,F52))</f>
        <v>110082.323783784</v>
      </c>
      <c r="N52" s="23" t="n">
        <f aca="false">INDEX(Simulador!$C$64:$F$64,F52)</f>
        <v>155579.061621622</v>
      </c>
      <c r="O52" s="23" t="n">
        <f aca="false">IF(H52&gt;=Simulador!$C$19,INDEX(Simulador!$C$65:$F$65,F52),INDEX(Simulador!$C$64:$F$64,F52))</f>
        <v>155579.061621622</v>
      </c>
      <c r="P52" s="23" t="n">
        <f aca="false">IF(H52&gt;=Simulador!$C$19,INDEX(Simulador!$C$67:$F$67,F52),INDEX(Simulador!$C$66:$F$66,F52))</f>
        <v>111865.297837838</v>
      </c>
      <c r="Q52" s="23" t="n">
        <f aca="false">M52+(IF(I52="",J52,I52)-J52)*Simulador!$C$9</f>
        <v>118818.323783784</v>
      </c>
      <c r="R52" s="23" t="n">
        <f aca="false">N52+(IF(I52="",J52,I52)-J52)*Simulador!$C$9</f>
        <v>164315.061621622</v>
      </c>
      <c r="S52" s="23" t="n">
        <f aca="false">O52+(IF(I52="",J52,I52)-J52)*Simulador!$C$9</f>
        <v>164315.061621622</v>
      </c>
      <c r="T52" s="23" t="n">
        <f aca="false">P52+(IF(I52="",J52,I52)-J52)*Simulador!$C$9</f>
        <v>120601.297837838</v>
      </c>
      <c r="U52" s="2"/>
    </row>
    <row r="54" customFormat="false" ht="15" hidden="false" customHeight="false" outlineLevel="0" collapsed="false">
      <c r="B54" s="35" t="s">
        <v>308</v>
      </c>
      <c r="L54" s="22" t="n">
        <f aca="false">SUM(L8:L52)</f>
        <v>4266318.02702703</v>
      </c>
      <c r="M54" s="22" t="n">
        <f aca="false">SUM(M8:M52)</f>
        <v>3739267.04486487</v>
      </c>
      <c r="N54" s="22" t="n">
        <f aca="false">SUM(N8:N52)</f>
        <v>5117124.45972973</v>
      </c>
      <c r="O54" s="22" t="n">
        <f aca="false">SUM(O8:O52)</f>
        <v>4820264.59351351</v>
      </c>
      <c r="P54" s="22" t="n">
        <f aca="false">SUM(P8:P52)</f>
        <v>3772634.83135135</v>
      </c>
      <c r="Q54" s="22" t="n">
        <f aca="false">SUM(Q8:Q52)</f>
        <v>3843371.04486487</v>
      </c>
      <c r="R54" s="22" t="n">
        <f aca="false">SUM(R8:R52)</f>
        <v>5221228.45972973</v>
      </c>
      <c r="S54" s="22" t="n">
        <f aca="false">SUM(S8:S52)</f>
        <v>4924368.59351351</v>
      </c>
      <c r="T54" s="22" t="n">
        <f aca="false">SUM(T8:T52)</f>
        <v>3876738.83135135</v>
      </c>
    </row>
    <row r="57" customFormat="false" ht="15" hidden="false" customHeight="false" outlineLevel="0" collapsed="false">
      <c r="B57" s="35" t="s">
        <v>234</v>
      </c>
    </row>
    <row r="58" customFormat="false" ht="35.05" hidden="false" customHeight="false" outlineLevel="0" collapsed="false">
      <c r="B58" s="34" t="s">
        <v>212</v>
      </c>
      <c r="C58" s="34" t="s">
        <v>232</v>
      </c>
      <c r="D58" s="34" t="s">
        <v>309</v>
      </c>
      <c r="E58" s="34" t="s">
        <v>310</v>
      </c>
      <c r="F58" s="34" t="s">
        <v>87</v>
      </c>
      <c r="G58" s="34" t="s">
        <v>88</v>
      </c>
      <c r="H58" s="34" t="s">
        <v>311</v>
      </c>
      <c r="I58" s="34" t="s">
        <v>312</v>
      </c>
      <c r="J58" s="34" t="s">
        <v>313</v>
      </c>
    </row>
    <row r="59" customFormat="false" ht="15" hidden="false" customHeight="false" outlineLevel="0" collapsed="false">
      <c r="B59" s="16" t="n">
        <v>2</v>
      </c>
      <c r="C59" s="16" t="n">
        <f aca="false">COUNTIF($G$8:$G$52,B59)</f>
        <v>1</v>
      </c>
      <c r="D59" s="16" t="n">
        <f aca="false">COUNTIFS($G$8:$G$52,B59,$F$8:$F$52,1)</f>
        <v>0</v>
      </c>
      <c r="E59" s="16" t="n">
        <f aca="false">COUNTIFS($G$8:$G$52,B59,$F$8:$F$52,2)</f>
        <v>0</v>
      </c>
      <c r="F59" s="16" t="n">
        <f aca="false">COUNTIFS($G$8:$G$52,B59,$F$8:$F$52,3)</f>
        <v>0</v>
      </c>
      <c r="G59" s="16" t="n">
        <f aca="false">COUNTIFS($G$8:$G$52,B59,$F$8:$F$52,4)</f>
        <v>1</v>
      </c>
      <c r="H59" s="23" t="n">
        <f aca="false">INDEX(Simulador!$E$72:$E$78,MIN(C59,6)+1)</f>
        <v>133751.222162162</v>
      </c>
      <c r="I59" s="23" t="n">
        <f aca="false">INDEX(Simulador!$F$72:$F$78,MIN(C59,6)+1)</f>
        <v>181054.018378378</v>
      </c>
      <c r="J59" s="23" t="n">
        <f aca="false">IF(Simulador!$C$16="Mensual fijo",Simulador!$C$14/Simulador!$C$7,0)</f>
        <v>0</v>
      </c>
    </row>
    <row r="60" customFormat="false" ht="15" hidden="false" customHeight="false" outlineLevel="0" collapsed="false">
      <c r="B60" s="16" t="n">
        <v>3</v>
      </c>
      <c r="C60" s="16" t="n">
        <f aca="false">COUNTIF($G$8:$G$52,B60)</f>
        <v>4</v>
      </c>
      <c r="D60" s="16" t="n">
        <f aca="false">COUNTIFS($G$8:$G$52,B60,$F$8:$F$52,1)</f>
        <v>1</v>
      </c>
      <c r="E60" s="16" t="n">
        <f aca="false">COUNTIFS($G$8:$G$52,B60,$F$8:$F$52,2)</f>
        <v>2</v>
      </c>
      <c r="F60" s="16" t="n">
        <f aca="false">COUNTIFS($G$8:$G$52,B60,$F$8:$F$52,3)</f>
        <v>0</v>
      </c>
      <c r="G60" s="16" t="n">
        <f aca="false">COUNTIFS($G$8:$G$52,B60,$F$8:$F$52,4)</f>
        <v>1</v>
      </c>
      <c r="H60" s="23" t="n">
        <f aca="false">INDEX(Simulador!$E$72:$E$78,MIN(C60,6)+1)</f>
        <v>56465.2881081081</v>
      </c>
      <c r="I60" s="23" t="n">
        <f aca="false">INDEX(Simulador!$F$72:$F$78,MIN(C60,6)+1)</f>
        <v>45263.5045945946</v>
      </c>
      <c r="J60" s="23" t="n">
        <f aca="false">IF(Simulador!$C$16="Mensual fijo",Simulador!$C$14/Simulador!$C$7,0)</f>
        <v>0</v>
      </c>
    </row>
    <row r="61" customFormat="false" ht="15" hidden="false" customHeight="false" outlineLevel="0" collapsed="false">
      <c r="B61" s="16" t="n">
        <v>4</v>
      </c>
      <c r="C61" s="16" t="n">
        <f aca="false">COUNTIF($G$8:$G$52,B61)</f>
        <v>7</v>
      </c>
      <c r="D61" s="16" t="n">
        <f aca="false">COUNTIFS($G$8:$G$52,B61,$F$8:$F$52,1)</f>
        <v>3</v>
      </c>
      <c r="E61" s="16" t="n">
        <f aca="false">COUNTIFS($G$8:$G$52,B61,$F$8:$F$52,2)</f>
        <v>2</v>
      </c>
      <c r="F61" s="16" t="n">
        <f aca="false">COUNTIFS($G$8:$G$52,B61,$F$8:$F$52,3)</f>
        <v>2</v>
      </c>
      <c r="G61" s="16" t="n">
        <f aca="false">COUNTIFS($G$8:$G$52,B61,$F$8:$F$52,4)</f>
        <v>0</v>
      </c>
      <c r="H61" s="23" t="n">
        <f aca="false">INDEX(Simulador!$E$72:$E$78,MIN(C61,6)+1)</f>
        <v>0</v>
      </c>
      <c r="I61" s="23" t="n">
        <f aca="false">INDEX(Simulador!$F$72:$F$78,MIN(C61,6)+1)</f>
        <v>0</v>
      </c>
      <c r="J61" s="23" t="n">
        <f aca="false">IF(Simulador!$C$16="Mensual fijo",Simulador!$C$14/Simulador!$C$7,0)</f>
        <v>0</v>
      </c>
    </row>
    <row r="62" customFormat="false" ht="15" hidden="false" customHeight="false" outlineLevel="0" collapsed="false">
      <c r="B62" s="16" t="n">
        <v>5</v>
      </c>
      <c r="C62" s="16" t="n">
        <f aca="false">COUNTIF($G$8:$G$52,B62)</f>
        <v>5</v>
      </c>
      <c r="D62" s="16" t="n">
        <f aca="false">COUNTIFS($G$8:$G$52,B62,$F$8:$F$52,1)</f>
        <v>0</v>
      </c>
      <c r="E62" s="16" t="n">
        <f aca="false">COUNTIFS($G$8:$G$52,B62,$F$8:$F$52,2)</f>
        <v>3</v>
      </c>
      <c r="F62" s="16" t="n">
        <f aca="false">COUNTIFS($G$8:$G$52,B62,$F$8:$F$52,3)</f>
        <v>2</v>
      </c>
      <c r="G62" s="16" t="n">
        <f aca="false">COUNTIFS($G$8:$G$52,B62,$F$8:$F$52,4)</f>
        <v>0</v>
      </c>
      <c r="H62" s="23" t="n">
        <f aca="false">INDEX(Simulador!$E$72:$E$78,MIN(C62,6)+1)</f>
        <v>40952.5381081081</v>
      </c>
      <c r="I62" s="23" t="n">
        <f aca="false">INDEX(Simulador!$F$72:$F$78,MIN(C62,6)+1)</f>
        <v>0</v>
      </c>
      <c r="J62" s="23" t="n">
        <f aca="false">IF(Simulador!$C$16="Mensual fijo",Simulador!$C$14/Simulador!$C$7,0)</f>
        <v>0</v>
      </c>
    </row>
    <row r="63" customFormat="false" ht="15" hidden="false" customHeight="false" outlineLevel="0" collapsed="false">
      <c r="B63" s="16" t="n">
        <v>6</v>
      </c>
      <c r="C63" s="16" t="n">
        <f aca="false">COUNTIF($G$8:$G$52,B63)</f>
        <v>6</v>
      </c>
      <c r="D63" s="16" t="n">
        <f aca="false">COUNTIFS($G$8:$G$52,B63,$F$8:$F$52,1)</f>
        <v>1</v>
      </c>
      <c r="E63" s="16" t="n">
        <f aca="false">COUNTIFS($G$8:$G$52,B63,$F$8:$F$52,2)</f>
        <v>3</v>
      </c>
      <c r="F63" s="16" t="n">
        <f aca="false">COUNTIFS($G$8:$G$52,B63,$F$8:$F$52,3)</f>
        <v>1</v>
      </c>
      <c r="G63" s="16" t="n">
        <f aca="false">COUNTIFS($G$8:$G$52,B63,$F$8:$F$52,4)</f>
        <v>1</v>
      </c>
      <c r="H63" s="23" t="n">
        <f aca="false">INDEX(Simulador!$E$72:$E$78,MIN(C63,6)+1)</f>
        <v>0</v>
      </c>
      <c r="I63" s="23" t="n">
        <f aca="false">INDEX(Simulador!$F$72:$F$78,MIN(C63,6)+1)</f>
        <v>0</v>
      </c>
      <c r="J63" s="23" t="n">
        <f aca="false">IF(Simulador!$C$16="Mensual fijo",Simulador!$C$14/Simulador!$C$7,0)</f>
        <v>0</v>
      </c>
    </row>
    <row r="64" customFormat="false" ht="15" hidden="false" customHeight="false" outlineLevel="0" collapsed="false">
      <c r="B64" s="16" t="n">
        <v>7</v>
      </c>
      <c r="C64" s="16" t="n">
        <f aca="false">COUNTIF($G$8:$G$52,B64)</f>
        <v>7</v>
      </c>
      <c r="D64" s="16" t="n">
        <f aca="false">COUNTIFS($G$8:$G$52,B64,$F$8:$F$52,1)</f>
        <v>0</v>
      </c>
      <c r="E64" s="16" t="n">
        <f aca="false">COUNTIFS($G$8:$G$52,B64,$F$8:$F$52,2)</f>
        <v>3</v>
      </c>
      <c r="F64" s="16" t="n">
        <f aca="false">COUNTIFS($G$8:$G$52,B64,$F$8:$F$52,3)</f>
        <v>3</v>
      </c>
      <c r="G64" s="16" t="n">
        <f aca="false">COUNTIFS($G$8:$G$52,B64,$F$8:$F$52,4)</f>
        <v>1</v>
      </c>
      <c r="H64" s="23" t="n">
        <f aca="false">INDEX(Simulador!$E$72:$E$78,MIN(C64,6)+1)</f>
        <v>0</v>
      </c>
      <c r="I64" s="23" t="n">
        <f aca="false">INDEX(Simulador!$F$72:$F$78,MIN(C64,6)+1)</f>
        <v>0</v>
      </c>
      <c r="J64" s="23" t="n">
        <f aca="false">IF(Simulador!$C$16="Mensual fijo",Simulador!$C$14/Simulador!$C$7,0)</f>
        <v>0</v>
      </c>
    </row>
    <row r="65" customFormat="false" ht="15" hidden="false" customHeight="false" outlineLevel="0" collapsed="false">
      <c r="B65" s="16" t="n">
        <v>8</v>
      </c>
      <c r="C65" s="16" t="n">
        <f aca="false">COUNTIF($G$8:$G$52,B65)</f>
        <v>7</v>
      </c>
      <c r="D65" s="16" t="n">
        <f aca="false">COUNTIFS($G$8:$G$52,B65,$F$8:$F$52,1)</f>
        <v>4</v>
      </c>
      <c r="E65" s="16" t="n">
        <f aca="false">COUNTIFS($G$8:$G$52,B65,$F$8:$F$52,2)</f>
        <v>1</v>
      </c>
      <c r="F65" s="16" t="n">
        <f aca="false">COUNTIFS($G$8:$G$52,B65,$F$8:$F$52,3)</f>
        <v>1</v>
      </c>
      <c r="G65" s="16" t="n">
        <f aca="false">COUNTIFS($G$8:$G$52,B65,$F$8:$F$52,4)</f>
        <v>1</v>
      </c>
      <c r="H65" s="23" t="n">
        <f aca="false">INDEX(Simulador!$E$72:$E$78,MIN(C65,6)+1)</f>
        <v>0</v>
      </c>
      <c r="I65" s="23" t="n">
        <f aca="false">INDEX(Simulador!$F$72:$F$78,MIN(C65,6)+1)</f>
        <v>0</v>
      </c>
      <c r="J65" s="23" t="n">
        <f aca="false">IF(Simulador!$C$16="Mensual fijo",Simulador!$C$14/Simulador!$C$7,0)</f>
        <v>0</v>
      </c>
    </row>
    <row r="66" customFormat="false" ht="15" hidden="false" customHeight="false" outlineLevel="0" collapsed="false">
      <c r="B66" s="16" t="n">
        <v>9</v>
      </c>
      <c r="C66" s="16" t="n">
        <f aca="false">COUNTIF($G$8:$G$52,B66)</f>
        <v>5</v>
      </c>
      <c r="D66" s="16" t="n">
        <f aca="false">COUNTIFS($G$8:$G$52,B66,$F$8:$F$52,1)</f>
        <v>2</v>
      </c>
      <c r="E66" s="16" t="n">
        <f aca="false">COUNTIFS($G$8:$G$52,B66,$F$8:$F$52,2)</f>
        <v>1</v>
      </c>
      <c r="F66" s="16" t="n">
        <f aca="false">COUNTIFS($G$8:$G$52,B66,$F$8:$F$52,3)</f>
        <v>1</v>
      </c>
      <c r="G66" s="16" t="n">
        <f aca="false">COUNTIFS($G$8:$G$52,B66,$F$8:$F$52,4)</f>
        <v>1</v>
      </c>
      <c r="H66" s="23" t="n">
        <f aca="false">INDEX(Simulador!$E$72:$E$78,MIN(C66,6)+1)</f>
        <v>40952.5381081081</v>
      </c>
      <c r="I66" s="23" t="n">
        <f aca="false">INDEX(Simulador!$F$72:$F$78,MIN(C66,6)+1)</f>
        <v>0</v>
      </c>
      <c r="J66" s="23" t="n">
        <f aca="false">IF(Simulador!$C$16="Mensual fijo",Simulador!$C$14/Simulador!$C$7,0)</f>
        <v>0</v>
      </c>
    </row>
    <row r="67" customFormat="false" ht="15" hidden="false" customHeight="false" outlineLevel="0" collapsed="false">
      <c r="B67" s="16" t="n">
        <v>10</v>
      </c>
      <c r="C67" s="16" t="n">
        <f aca="false">COUNTIF($G$8:$G$52,B67)</f>
        <v>3</v>
      </c>
      <c r="D67" s="16" t="n">
        <f aca="false">COUNTIFS($G$8:$G$52,B67,$F$8:$F$52,1)</f>
        <v>0</v>
      </c>
      <c r="E67" s="16" t="n">
        <f aca="false">COUNTIFS($G$8:$G$52,B67,$F$8:$F$52,2)</f>
        <v>2</v>
      </c>
      <c r="F67" s="16" t="n">
        <f aca="false">COUNTIFS($G$8:$G$52,B67,$F$8:$F$52,3)</f>
        <v>0</v>
      </c>
      <c r="G67" s="16" t="n">
        <f aca="false">COUNTIFS($G$8:$G$52,B67,$F$8:$F$52,4)</f>
        <v>1</v>
      </c>
      <c r="H67" s="23" t="n">
        <f aca="false">INDEX(Simulador!$E$72:$E$78,MIN(C67,6)+1)</f>
        <v>69757.6113513514</v>
      </c>
      <c r="I67" s="23" t="n">
        <f aca="false">INDEX(Simulador!$F$72:$F$78,MIN(C67,6)+1)</f>
        <v>90527.0091891892</v>
      </c>
      <c r="J67" s="23" t="n">
        <f aca="false">IF(Simulador!$C$16="Mensual fijo",Simulador!$C$14/Simulador!$C$7,0)</f>
        <v>0</v>
      </c>
    </row>
    <row r="68" customFormat="false" ht="15" hidden="false" customHeight="false" outlineLevel="0" collapsed="false">
      <c r="B68" s="35" t="s">
        <v>189</v>
      </c>
      <c r="C68" s="33" t="n">
        <f aca="false">SUM(C59:C67)</f>
        <v>45</v>
      </c>
      <c r="D68" s="33" t="n">
        <f aca="false">SUM(D59:D67)</f>
        <v>11</v>
      </c>
      <c r="E68" s="33" t="n">
        <f aca="false">SUM(E59:E67)</f>
        <v>17</v>
      </c>
      <c r="F68" s="33" t="n">
        <f aca="false">SUM(F59:F67)</f>
        <v>10</v>
      </c>
      <c r="G68" s="33" t="n">
        <f aca="false">SUM(G59:G67)</f>
        <v>7</v>
      </c>
      <c r="H68" s="22" t="n">
        <f aca="false">SUM(H59:H67)</f>
        <v>341879.197837838</v>
      </c>
      <c r="I68" s="22" t="n">
        <f aca="false">SUM(I59:I67)</f>
        <v>316844.532162162</v>
      </c>
      <c r="J68" s="22" t="n">
        <f aca="false">SUM(J59:J67)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7.35" hidden="false" customHeight="false" outlineLevel="0" collapsed="false">
      <c r="B1" s="1" t="s">
        <v>361</v>
      </c>
    </row>
    <row r="2" customFormat="false" ht="15" hidden="false" customHeight="false" outlineLevel="0" collapsed="false">
      <c r="B2" s="2" t="s">
        <v>362</v>
      </c>
    </row>
    <row r="4" customFormat="false" ht="15" hidden="false" customHeight="false" outlineLevel="0" collapsed="false">
      <c r="B4" s="3" t="s">
        <v>363</v>
      </c>
      <c r="C4" s="3"/>
      <c r="D4" s="3"/>
      <c r="E4" s="3"/>
      <c r="F4" s="3"/>
    </row>
    <row r="5" customFormat="false" ht="15" hidden="false" customHeight="false" outlineLevel="0" collapsed="false">
      <c r="B5" s="24" t="s">
        <v>364</v>
      </c>
      <c r="C5" s="24" t="s">
        <v>146</v>
      </c>
      <c r="D5" s="24" t="s">
        <v>365</v>
      </c>
      <c r="E5" s="24" t="s">
        <v>366</v>
      </c>
      <c r="F5" s="24" t="s">
        <v>225</v>
      </c>
    </row>
    <row r="6" customFormat="false" ht="42" hidden="false" customHeight="true" outlineLevel="0" collapsed="false">
      <c r="B6" s="14" t="s">
        <v>367</v>
      </c>
      <c r="C6" s="14" t="s">
        <v>196</v>
      </c>
      <c r="D6" s="14" t="s">
        <v>368</v>
      </c>
      <c r="E6" s="14" t="s">
        <v>369</v>
      </c>
      <c r="F6" s="14" t="s">
        <v>370</v>
      </c>
    </row>
    <row r="7" customFormat="false" ht="42" hidden="false" customHeight="true" outlineLevel="0" collapsed="false">
      <c r="B7" s="14" t="s">
        <v>111</v>
      </c>
      <c r="C7" s="14" t="s">
        <v>196</v>
      </c>
      <c r="D7" s="14" t="s">
        <v>371</v>
      </c>
      <c r="E7" s="14" t="s">
        <v>372</v>
      </c>
      <c r="F7" s="14" t="s">
        <v>373</v>
      </c>
    </row>
    <row r="8" customFormat="false" ht="42" hidden="false" customHeight="true" outlineLevel="0" collapsed="false">
      <c r="B8" s="14" t="s">
        <v>374</v>
      </c>
      <c r="C8" s="14" t="s">
        <v>375</v>
      </c>
      <c r="D8" s="14" t="s">
        <v>376</v>
      </c>
      <c r="E8" s="14" t="s">
        <v>377</v>
      </c>
      <c r="F8" s="14" t="s">
        <v>378</v>
      </c>
    </row>
    <row r="9" customFormat="false" ht="42" hidden="false" customHeight="true" outlineLevel="0" collapsed="false">
      <c r="B9" s="14" t="s">
        <v>379</v>
      </c>
      <c r="C9" s="14" t="s">
        <v>375</v>
      </c>
      <c r="D9" s="14" t="s">
        <v>380</v>
      </c>
      <c r="E9" s="14" t="s">
        <v>381</v>
      </c>
      <c r="F9" s="14" t="s">
        <v>382</v>
      </c>
    </row>
    <row r="10" customFormat="false" ht="42" hidden="false" customHeight="true" outlineLevel="0" collapsed="false">
      <c r="B10" s="14" t="s">
        <v>383</v>
      </c>
      <c r="C10" s="14" t="s">
        <v>375</v>
      </c>
      <c r="D10" s="14" t="s">
        <v>384</v>
      </c>
      <c r="E10" s="14" t="s">
        <v>385</v>
      </c>
      <c r="F10" s="14" t="s">
        <v>386</v>
      </c>
    </row>
    <row r="11" customFormat="false" ht="42" hidden="false" customHeight="true" outlineLevel="0" collapsed="false">
      <c r="B11" s="14" t="s">
        <v>115</v>
      </c>
      <c r="C11" s="14" t="s">
        <v>375</v>
      </c>
      <c r="D11" s="14" t="s">
        <v>387</v>
      </c>
      <c r="E11" s="14" t="s">
        <v>388</v>
      </c>
      <c r="F11" s="14" t="s">
        <v>389</v>
      </c>
    </row>
    <row r="12" customFormat="false" ht="42" hidden="false" customHeight="true" outlineLevel="0" collapsed="false">
      <c r="B12" s="14" t="s">
        <v>390</v>
      </c>
      <c r="C12" s="14" t="s">
        <v>375</v>
      </c>
      <c r="D12" s="14" t="s">
        <v>391</v>
      </c>
      <c r="E12" s="14" t="s">
        <v>392</v>
      </c>
      <c r="F12" s="14" t="s">
        <v>393</v>
      </c>
    </row>
    <row r="13" customFormat="false" ht="42" hidden="false" customHeight="true" outlineLevel="0" collapsed="false">
      <c r="B13" s="14" t="s">
        <v>394</v>
      </c>
      <c r="C13" s="14" t="s">
        <v>395</v>
      </c>
      <c r="D13" s="14" t="s">
        <v>396</v>
      </c>
      <c r="E13" s="14" t="s">
        <v>397</v>
      </c>
      <c r="F13" s="14" t="s">
        <v>398</v>
      </c>
    </row>
    <row r="14" customFormat="false" ht="42" hidden="false" customHeight="true" outlineLevel="0" collapsed="false">
      <c r="B14" s="14" t="s">
        <v>399</v>
      </c>
      <c r="C14" s="14" t="s">
        <v>400</v>
      </c>
      <c r="D14" s="14" t="s">
        <v>396</v>
      </c>
      <c r="E14" s="14" t="s">
        <v>401</v>
      </c>
      <c r="F14" s="14" t="s">
        <v>402</v>
      </c>
    </row>
    <row r="15" customFormat="false" ht="42" hidden="false" customHeight="true" outlineLevel="0" collapsed="false">
      <c r="B15" s="14" t="s">
        <v>403</v>
      </c>
      <c r="C15" s="14" t="s">
        <v>404</v>
      </c>
      <c r="D15" s="14" t="s">
        <v>4</v>
      </c>
      <c r="E15" s="14" t="s">
        <v>405</v>
      </c>
      <c r="F15" s="14" t="s">
        <v>406</v>
      </c>
    </row>
    <row r="17" customFormat="false" ht="15" hidden="false" customHeight="false" outlineLevel="0" collapsed="false">
      <c r="B17" s="3" t="s">
        <v>407</v>
      </c>
      <c r="C17" s="3"/>
      <c r="D17" s="3"/>
      <c r="E17" s="3"/>
      <c r="F17" s="3"/>
    </row>
    <row r="18" customFormat="false" ht="15" hidden="false" customHeight="false" outlineLevel="0" collapsed="false">
      <c r="B18" s="24" t="s">
        <v>4</v>
      </c>
      <c r="C18" s="24" t="s">
        <v>408</v>
      </c>
      <c r="D18" s="24" t="s">
        <v>409</v>
      </c>
      <c r="E18" s="24" t="s">
        <v>410</v>
      </c>
    </row>
    <row r="19" customFormat="false" ht="30" hidden="false" customHeight="true" outlineLevel="0" collapsed="false">
      <c r="B19" s="14" t="s">
        <v>411</v>
      </c>
      <c r="C19" s="14" t="s">
        <v>404</v>
      </c>
      <c r="D19" s="14" t="s">
        <v>412</v>
      </c>
      <c r="E19" s="14" t="s">
        <v>413</v>
      </c>
    </row>
    <row r="20" customFormat="false" ht="30" hidden="false" customHeight="true" outlineLevel="0" collapsed="false">
      <c r="B20" s="14" t="s">
        <v>414</v>
      </c>
      <c r="C20" s="14" t="s">
        <v>415</v>
      </c>
      <c r="D20" s="14" t="s">
        <v>412</v>
      </c>
      <c r="E20" s="14" t="s">
        <v>416</v>
      </c>
    </row>
    <row r="21" customFormat="false" ht="30" hidden="false" customHeight="true" outlineLevel="0" collapsed="false">
      <c r="B21" s="14" t="s">
        <v>417</v>
      </c>
      <c r="C21" s="14" t="s">
        <v>418</v>
      </c>
      <c r="D21" s="14" t="s">
        <v>412</v>
      </c>
      <c r="E21" s="14" t="s">
        <v>419</v>
      </c>
    </row>
    <row r="22" customFormat="false" ht="30" hidden="false" customHeight="true" outlineLevel="0" collapsed="false">
      <c r="B22" s="14" t="s">
        <v>420</v>
      </c>
      <c r="C22" s="14" t="s">
        <v>404</v>
      </c>
      <c r="D22" s="14" t="s">
        <v>421</v>
      </c>
      <c r="E22" s="14" t="s">
        <v>422</v>
      </c>
    </row>
    <row r="23" customFormat="false" ht="30" hidden="false" customHeight="true" outlineLevel="0" collapsed="false">
      <c r="B23" s="14" t="s">
        <v>423</v>
      </c>
      <c r="C23" s="14" t="s">
        <v>404</v>
      </c>
      <c r="D23" s="14" t="s">
        <v>57</v>
      </c>
      <c r="E23" s="14" t="s">
        <v>424</v>
      </c>
    </row>
    <row r="24" customFormat="false" ht="30" hidden="false" customHeight="true" outlineLevel="0" collapsed="false">
      <c r="B24" s="14" t="s">
        <v>425</v>
      </c>
      <c r="C24" s="14" t="s">
        <v>415</v>
      </c>
      <c r="D24" s="14" t="s">
        <v>412</v>
      </c>
      <c r="E24" s="14" t="s">
        <v>426</v>
      </c>
    </row>
    <row r="25" customFormat="false" ht="30" hidden="false" customHeight="true" outlineLevel="0" collapsed="false">
      <c r="B25" s="14" t="s">
        <v>9</v>
      </c>
      <c r="C25" s="14" t="s">
        <v>415</v>
      </c>
      <c r="D25" s="14" t="s">
        <v>412</v>
      </c>
      <c r="E25" s="14" t="s">
        <v>427</v>
      </c>
    </row>
    <row r="26" customFormat="false" ht="30" hidden="false" customHeight="true" outlineLevel="0" collapsed="false">
      <c r="B26" s="14" t="s">
        <v>428</v>
      </c>
      <c r="C26" s="14" t="s">
        <v>415</v>
      </c>
      <c r="D26" s="14" t="s">
        <v>412</v>
      </c>
      <c r="E26" s="14" t="s">
        <v>429</v>
      </c>
    </row>
    <row r="27" customFormat="false" ht="30" hidden="false" customHeight="true" outlineLevel="0" collapsed="false">
      <c r="B27" s="14" t="s">
        <v>430</v>
      </c>
      <c r="C27" s="14" t="s">
        <v>431</v>
      </c>
      <c r="D27" s="14" t="s">
        <v>412</v>
      </c>
      <c r="E27" s="14" t="s">
        <v>432</v>
      </c>
    </row>
    <row r="28" customFormat="false" ht="30" hidden="false" customHeight="true" outlineLevel="0" collapsed="false">
      <c r="B28" s="14" t="s">
        <v>390</v>
      </c>
      <c r="C28" s="14" t="s">
        <v>415</v>
      </c>
      <c r="D28" s="14" t="s">
        <v>412</v>
      </c>
      <c r="E28" s="14" t="s">
        <v>433</v>
      </c>
    </row>
    <row r="30" customFormat="false" ht="15" hidden="false" customHeight="false" outlineLevel="0" collapsed="false">
      <c r="B30" s="3" t="s">
        <v>434</v>
      </c>
      <c r="C30" s="3"/>
      <c r="D30" s="3"/>
      <c r="E30" s="3"/>
      <c r="F30" s="3"/>
    </row>
    <row r="31" customFormat="false" ht="66" hidden="false" customHeight="true" outlineLevel="0" collapsed="false">
      <c r="B31" s="44" t="s">
        <v>435</v>
      </c>
      <c r="C31" s="44"/>
      <c r="D31" s="44"/>
      <c r="E31" s="44"/>
      <c r="F31" s="44"/>
    </row>
    <row r="32" customFormat="false" ht="66" hidden="false" customHeight="true" outlineLevel="0" collapsed="false">
      <c r="B32" s="44" t="s">
        <v>436</v>
      </c>
      <c r="C32" s="44"/>
      <c r="D32" s="44"/>
      <c r="E32" s="44"/>
      <c r="F32" s="44"/>
    </row>
    <row r="33" customFormat="false" ht="66" hidden="false" customHeight="true" outlineLevel="0" collapsed="false">
      <c r="B33" s="44" t="s">
        <v>437</v>
      </c>
      <c r="C33" s="44"/>
      <c r="D33" s="44"/>
      <c r="E33" s="44"/>
      <c r="F33" s="44"/>
    </row>
    <row r="35" customFormat="false" ht="15" hidden="false" customHeight="false" outlineLevel="0" collapsed="false">
      <c r="B35" s="3" t="s">
        <v>438</v>
      </c>
      <c r="C35" s="3"/>
      <c r="D35" s="3"/>
      <c r="E35" s="3"/>
      <c r="F35" s="3"/>
    </row>
    <row r="36" customFormat="false" ht="15" hidden="false" customHeight="false" outlineLevel="0" collapsed="false">
      <c r="B36" s="24" t="s">
        <v>439</v>
      </c>
      <c r="C36" s="24" t="s">
        <v>440</v>
      </c>
      <c r="D36" s="24" t="s">
        <v>441</v>
      </c>
    </row>
    <row r="37" customFormat="false" ht="54" hidden="false" customHeight="true" outlineLevel="0" collapsed="false">
      <c r="B37" s="14" t="s">
        <v>442</v>
      </c>
      <c r="C37" s="14" t="s">
        <v>443</v>
      </c>
      <c r="D37" s="14" t="s">
        <v>444</v>
      </c>
    </row>
    <row r="38" customFormat="false" ht="54" hidden="false" customHeight="true" outlineLevel="0" collapsed="false">
      <c r="B38" s="14" t="s">
        <v>445</v>
      </c>
      <c r="C38" s="14" t="s">
        <v>446</v>
      </c>
      <c r="D38" s="14" t="s">
        <v>447</v>
      </c>
    </row>
    <row r="39" customFormat="false" ht="54" hidden="false" customHeight="true" outlineLevel="0" collapsed="false">
      <c r="B39" s="14" t="s">
        <v>448</v>
      </c>
      <c r="C39" s="14" t="s">
        <v>449</v>
      </c>
      <c r="D39" s="14" t="s">
        <v>450</v>
      </c>
    </row>
    <row r="40" customFormat="false" ht="54" hidden="false" customHeight="true" outlineLevel="0" collapsed="false">
      <c r="B40" s="14" t="s">
        <v>451</v>
      </c>
      <c r="C40" s="14" t="s">
        <v>452</v>
      </c>
      <c r="D40" s="14" t="s">
        <v>453</v>
      </c>
    </row>
    <row r="41" customFormat="false" ht="54" hidden="false" customHeight="true" outlineLevel="0" collapsed="false">
      <c r="B41" s="14" t="s">
        <v>454</v>
      </c>
      <c r="C41" s="14" t="s">
        <v>455</v>
      </c>
      <c r="D41" s="14" t="s">
        <v>456</v>
      </c>
    </row>
    <row r="42" customFormat="false" ht="54" hidden="false" customHeight="true" outlineLevel="0" collapsed="false">
      <c r="B42" s="14" t="s">
        <v>457</v>
      </c>
      <c r="C42" s="14" t="s">
        <v>458</v>
      </c>
      <c r="D42" s="14" t="s">
        <v>459</v>
      </c>
    </row>
  </sheetData>
  <mergeCells count="7">
    <mergeCell ref="B4:F4"/>
    <mergeCell ref="B17:F17"/>
    <mergeCell ref="B30:F30"/>
    <mergeCell ref="B31:F31"/>
    <mergeCell ref="B32:F32"/>
    <mergeCell ref="B33:F33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52"/>
    <col collapsed="false" customWidth="true" hidden="false" outlineLevel="0" max="7" min="7" style="0" width="20"/>
  </cols>
  <sheetData>
    <row r="1" customFormat="false" ht="17.35" hidden="false" customHeight="false" outlineLevel="0" collapsed="false">
      <c r="B1" s="1" t="s">
        <v>460</v>
      </c>
    </row>
    <row r="2" customFormat="false" ht="15" hidden="false" customHeight="false" outlineLevel="0" collapsed="false">
      <c r="B2" s="2" t="s">
        <v>461</v>
      </c>
    </row>
    <row r="4" customFormat="false" ht="23.85" hidden="false" customHeight="false" outlineLevel="0" collapsed="false">
      <c r="B4" s="24" t="s">
        <v>462</v>
      </c>
      <c r="C4" s="24" t="s">
        <v>463</v>
      </c>
      <c r="D4" s="24" t="s">
        <v>464</v>
      </c>
      <c r="E4" s="24" t="s">
        <v>465</v>
      </c>
      <c r="F4" s="24" t="s">
        <v>466</v>
      </c>
      <c r="G4" s="24" t="s">
        <v>7</v>
      </c>
    </row>
    <row r="5" customFormat="false" ht="15" hidden="false" customHeight="false" outlineLevel="0" collapsed="false">
      <c r="B5" s="14" t="s">
        <v>467</v>
      </c>
      <c r="C5" s="45" t="n">
        <f aca="false">Simulador!C7</f>
        <v>3700</v>
      </c>
      <c r="D5" s="46" t="n">
        <v>3700</v>
      </c>
      <c r="E5" s="14" t="str">
        <f aca="false">IF(ABS(C5-D5)&lt;0.005,"OK","DIFERENCIA")</f>
        <v>OK</v>
      </c>
      <c r="F5" s="14" t="s">
        <v>12</v>
      </c>
      <c r="G5" s="14" t="s">
        <v>11</v>
      </c>
    </row>
    <row r="6" customFormat="false" ht="15" hidden="false" customHeight="false" outlineLevel="0" collapsed="false">
      <c r="B6" s="14" t="s">
        <v>468</v>
      </c>
      <c r="C6" s="45" t="n">
        <f aca="false">Simulador!C8</f>
        <v>34944</v>
      </c>
      <c r="D6" s="46" t="n">
        <v>34944</v>
      </c>
      <c r="E6" s="14" t="str">
        <f aca="false">IF(ABS(C6-D6)&lt;0.005,"OK","DIFERENCIA")</f>
        <v>OK</v>
      </c>
      <c r="F6" s="14" t="s">
        <v>15</v>
      </c>
      <c r="G6" s="14" t="s">
        <v>11</v>
      </c>
    </row>
    <row r="7" customFormat="false" ht="15" hidden="false" customHeight="false" outlineLevel="0" collapsed="false">
      <c r="B7" s="14" t="s">
        <v>469</v>
      </c>
      <c r="C7" s="45" t="n">
        <f aca="false">Simulador!C9</f>
        <v>1456</v>
      </c>
      <c r="D7" s="46" t="n">
        <v>1456</v>
      </c>
      <c r="E7" s="14" t="str">
        <f aca="false">IF(ABS(C7-D7)&lt;0.005,"OK","DIFERENCIA")</f>
        <v>OK</v>
      </c>
      <c r="F7" s="14" t="s">
        <v>470</v>
      </c>
      <c r="G7" s="14" t="s">
        <v>11</v>
      </c>
    </row>
    <row r="8" customFormat="false" ht="15" hidden="false" customHeight="false" outlineLevel="0" collapsed="false">
      <c r="B8" s="14" t="s">
        <v>471</v>
      </c>
      <c r="C8" s="45" t="n">
        <f aca="false">Simulador!C11</f>
        <v>0</v>
      </c>
      <c r="D8" s="46" t="n">
        <v>0</v>
      </c>
      <c r="E8" s="14" t="str">
        <f aca="false">IF(ABS(C8-D8)&lt;0.005,"OK","DIFERENCIA")</f>
        <v>OK</v>
      </c>
      <c r="F8" s="14" t="s">
        <v>472</v>
      </c>
      <c r="G8" s="14" t="s">
        <v>473</v>
      </c>
    </row>
    <row r="9" customFormat="false" ht="15" hidden="false" customHeight="false" outlineLevel="0" collapsed="false">
      <c r="B9" s="14" t="s">
        <v>474</v>
      </c>
      <c r="C9" s="45" t="n">
        <f aca="false">Simulador!C12</f>
        <v>0</v>
      </c>
      <c r="D9" s="46" t="n">
        <v>0</v>
      </c>
      <c r="E9" s="14" t="str">
        <f aca="false">IF(ABS(C9-D9)&lt;0.005,"OK","DIFERENCIA")</f>
        <v>OK</v>
      </c>
      <c r="F9" s="14" t="s">
        <v>29</v>
      </c>
      <c r="G9" s="14" t="s">
        <v>473</v>
      </c>
    </row>
    <row r="10" customFormat="false" ht="15" hidden="false" customHeight="false" outlineLevel="0" collapsed="false">
      <c r="B10" s="14" t="s">
        <v>475</v>
      </c>
      <c r="C10" s="45" t="n">
        <f aca="false">Simulador!C54</f>
        <v>2702.7027027027</v>
      </c>
      <c r="D10" s="46" t="n">
        <v>2702.7027027027</v>
      </c>
      <c r="E10" s="14" t="str">
        <f aca="false">IF(ABS(C10-D10)&lt;0.005,"OK","DIFERENCIA")</f>
        <v>OK</v>
      </c>
      <c r="F10" s="14" t="s">
        <v>38</v>
      </c>
      <c r="G10" s="14" t="s">
        <v>11</v>
      </c>
    </row>
    <row r="11" customFormat="false" ht="15" hidden="false" customHeight="false" outlineLevel="0" collapsed="false">
      <c r="B11" s="14" t="s">
        <v>476</v>
      </c>
      <c r="C11" s="45" t="n">
        <f aca="false">Simulador!C39</f>
        <v>12</v>
      </c>
      <c r="D11" s="46" t="n">
        <v>12</v>
      </c>
      <c r="E11" s="14" t="str">
        <f aca="false">IF(ABS(C11-D11)&lt;0.005,"OK","DIFERENCIA")</f>
        <v>OK</v>
      </c>
      <c r="F11" s="14" t="s">
        <v>477</v>
      </c>
      <c r="G11" s="14" t="s">
        <v>478</v>
      </c>
    </row>
    <row r="12" customFormat="false" ht="15" hidden="false" customHeight="false" outlineLevel="0" collapsed="false">
      <c r="B12" s="14" t="s">
        <v>479</v>
      </c>
      <c r="C12" s="45" t="n">
        <f aca="false">Simulador!D39</f>
        <v>18</v>
      </c>
      <c r="D12" s="46" t="n">
        <v>18</v>
      </c>
      <c r="E12" s="14" t="str">
        <f aca="false">IF(ABS(C12-D12)&lt;0.005,"OK","DIFERENCIA")</f>
        <v>OK</v>
      </c>
      <c r="F12" s="14" t="s">
        <v>480</v>
      </c>
      <c r="G12" s="14" t="s">
        <v>478</v>
      </c>
    </row>
    <row r="13" customFormat="false" ht="15" hidden="false" customHeight="false" outlineLevel="0" collapsed="false">
      <c r="B13" s="14" t="s">
        <v>481</v>
      </c>
      <c r="C13" s="45" t="n">
        <f aca="false">Simulador!E39</f>
        <v>24</v>
      </c>
      <c r="D13" s="46" t="n">
        <v>24</v>
      </c>
      <c r="E13" s="14" t="str">
        <f aca="false">IF(ABS(C13-D13)&lt;0.005,"OK","DIFERENCIA")</f>
        <v>OK</v>
      </c>
      <c r="F13" s="14" t="s">
        <v>482</v>
      </c>
      <c r="G13" s="14" t="s">
        <v>478</v>
      </c>
    </row>
    <row r="14" customFormat="false" ht="15" hidden="false" customHeight="false" outlineLevel="0" collapsed="false">
      <c r="B14" s="14" t="s">
        <v>483</v>
      </c>
      <c r="C14" s="45" t="n">
        <f aca="false">Simulador!F39</f>
        <v>28</v>
      </c>
      <c r="D14" s="46" t="n">
        <v>28</v>
      </c>
      <c r="E14" s="14" t="str">
        <f aca="false">IF(ABS(C14-D14)&lt;0.005,"OK","DIFERENCIA")</f>
        <v>OK</v>
      </c>
      <c r="F14" s="14" t="s">
        <v>484</v>
      </c>
      <c r="G14" s="14" t="s">
        <v>478</v>
      </c>
    </row>
    <row r="15" customFormat="false" ht="15" hidden="false" customHeight="false" outlineLevel="0" collapsed="false">
      <c r="B15" s="14" t="s">
        <v>485</v>
      </c>
      <c r="C15" s="45" t="n">
        <f aca="false">Simulador!C43</f>
        <v>75642</v>
      </c>
      <c r="D15" s="46" t="n">
        <v>75642</v>
      </c>
      <c r="E15" s="14" t="str">
        <f aca="false">IF(ABS(C15-D15)&lt;0.005,"OK","DIFERENCIA")</f>
        <v>OK</v>
      </c>
      <c r="F15" s="14" t="s">
        <v>486</v>
      </c>
      <c r="G15" s="14" t="s">
        <v>473</v>
      </c>
    </row>
    <row r="16" customFormat="false" ht="15" hidden="false" customHeight="false" outlineLevel="0" collapsed="false">
      <c r="B16" s="14" t="s">
        <v>487</v>
      </c>
      <c r="C16" s="45" t="n">
        <f aca="false">Simulador!D43</f>
        <v>98663</v>
      </c>
      <c r="D16" s="46" t="n">
        <v>98663</v>
      </c>
      <c r="E16" s="14" t="str">
        <f aca="false">IF(ABS(C16-D16)&lt;0.005,"OK","DIFERENCIA")</f>
        <v>OK</v>
      </c>
      <c r="F16" s="14" t="s">
        <v>488</v>
      </c>
      <c r="G16" s="14" t="s">
        <v>473</v>
      </c>
    </row>
    <row r="17" customFormat="false" ht="15" hidden="false" customHeight="false" outlineLevel="0" collapsed="false">
      <c r="B17" s="14" t="s">
        <v>489</v>
      </c>
      <c r="C17" s="45" t="n">
        <f aca="false">Simulador!E43</f>
        <v>95374</v>
      </c>
      <c r="D17" s="46" t="n">
        <v>95374</v>
      </c>
      <c r="E17" s="14" t="str">
        <f aca="false">IF(ABS(C17-D17)&lt;0.005,"OK","DIFERENCIA")</f>
        <v>OK</v>
      </c>
      <c r="F17" s="14" t="s">
        <v>490</v>
      </c>
      <c r="G17" s="14" t="s">
        <v>473</v>
      </c>
    </row>
    <row r="18" customFormat="false" ht="15" hidden="false" customHeight="false" outlineLevel="0" collapsed="false">
      <c r="B18" s="14" t="s">
        <v>491</v>
      </c>
      <c r="C18" s="45" t="n">
        <f aca="false">Simulador!F43</f>
        <v>110174</v>
      </c>
      <c r="D18" s="46" t="n">
        <v>110174</v>
      </c>
      <c r="E18" s="14" t="str">
        <f aca="false">IF(ABS(C18-D18)&lt;0.005,"OK","DIFERENCIA")</f>
        <v>OK</v>
      </c>
      <c r="F18" s="14" t="s">
        <v>492</v>
      </c>
      <c r="G18" s="14" t="s">
        <v>473</v>
      </c>
    </row>
    <row r="19" customFormat="false" ht="15" hidden="false" customHeight="false" outlineLevel="0" collapsed="false">
      <c r="B19" s="14" t="s">
        <v>493</v>
      </c>
      <c r="C19" s="45" t="n">
        <f aca="false">Simulador!C44</f>
        <v>140385441</v>
      </c>
      <c r="D19" s="46" t="n">
        <v>140385441</v>
      </c>
      <c r="E19" s="14" t="str">
        <f aca="false">IF(ABS(C19-D19)&lt;0.005,"OK","DIFERENCIA")</f>
        <v>OK</v>
      </c>
      <c r="F19" s="14" t="s">
        <v>494</v>
      </c>
      <c r="G19" s="14" t="s">
        <v>11</v>
      </c>
    </row>
    <row r="20" customFormat="false" ht="15" hidden="false" customHeight="false" outlineLevel="0" collapsed="false">
      <c r="B20" s="14" t="s">
        <v>495</v>
      </c>
      <c r="C20" s="45" t="n">
        <f aca="false">Simulador!C45</f>
        <v>178363885</v>
      </c>
      <c r="D20" s="46" t="n">
        <v>178363885</v>
      </c>
      <c r="E20" s="14" t="str">
        <f aca="false">IF(ABS(C20-D20)&lt;0.005,"OK","DIFERENCIA")</f>
        <v>OK</v>
      </c>
      <c r="F20" s="14" t="s">
        <v>496</v>
      </c>
      <c r="G20" s="14" t="s">
        <v>11</v>
      </c>
    </row>
    <row r="21" customFormat="false" ht="15" hidden="false" customHeight="false" outlineLevel="0" collapsed="false">
      <c r="B21" s="14" t="s">
        <v>497</v>
      </c>
      <c r="C21" s="45" t="n">
        <f aca="false">Simulador!C46</f>
        <v>140233002</v>
      </c>
      <c r="D21" s="46" t="n">
        <v>140233002</v>
      </c>
      <c r="E21" s="14" t="str">
        <f aca="false">IF(ABS(C21-D21)&lt;0.005,"OK","DIFERENCIA")</f>
        <v>OK</v>
      </c>
      <c r="F21" s="14" t="s">
        <v>498</v>
      </c>
      <c r="G21" s="14" t="s">
        <v>11</v>
      </c>
    </row>
    <row r="22" customFormat="false" ht="15" hidden="false" customHeight="false" outlineLevel="0" collapsed="false">
      <c r="B22" s="14" t="s">
        <v>499</v>
      </c>
      <c r="C22" s="45" t="n">
        <f aca="false">Simulador!D44</f>
        <v>220853084</v>
      </c>
      <c r="D22" s="46" t="n">
        <v>220853084</v>
      </c>
      <c r="E22" s="14" t="str">
        <f aca="false">IF(ABS(C22-D22)&lt;0.005,"OK","DIFERENCIA")</f>
        <v>OK</v>
      </c>
      <c r="F22" s="14" t="s">
        <v>500</v>
      </c>
      <c r="G22" s="14" t="s">
        <v>11</v>
      </c>
    </row>
    <row r="23" customFormat="false" ht="15" hidden="false" customHeight="false" outlineLevel="0" collapsed="false">
      <c r="B23" s="14" t="s">
        <v>501</v>
      </c>
      <c r="C23" s="45" t="n">
        <f aca="false">Simulador!D45</f>
        <v>304284690</v>
      </c>
      <c r="D23" s="46" t="n">
        <v>304284690</v>
      </c>
      <c r="E23" s="14" t="str">
        <f aca="false">IF(ABS(C23-D23)&lt;0.005,"OK","DIFERENCIA")</f>
        <v>OK</v>
      </c>
      <c r="F23" s="14" t="s">
        <v>502</v>
      </c>
      <c r="G23" s="14" t="s">
        <v>11</v>
      </c>
    </row>
    <row r="24" customFormat="false" ht="15" hidden="false" customHeight="false" outlineLevel="0" collapsed="false">
      <c r="B24" s="14" t="s">
        <v>503</v>
      </c>
      <c r="C24" s="45" t="n">
        <f aca="false">Simulador!D46</f>
        <v>207703002</v>
      </c>
      <c r="D24" s="46" t="n">
        <v>207703002</v>
      </c>
      <c r="E24" s="14" t="str">
        <f aca="false">IF(ABS(C24-D24)&lt;0.005,"OK","DIFERENCIA")</f>
        <v>OK</v>
      </c>
      <c r="F24" s="14" t="s">
        <v>504</v>
      </c>
      <c r="G24" s="14" t="s">
        <v>11</v>
      </c>
    </row>
    <row r="25" customFormat="false" ht="15" hidden="false" customHeight="false" outlineLevel="0" collapsed="false">
      <c r="B25" s="14" t="s">
        <v>505</v>
      </c>
      <c r="C25" s="45" t="n">
        <f aca="false">Simulador!E44</f>
        <v>238462998</v>
      </c>
      <c r="D25" s="46" t="n">
        <v>238462998</v>
      </c>
      <c r="E25" s="14" t="str">
        <f aca="false">IF(ABS(C25-D25)&lt;0.005,"OK","DIFERENCIA")</f>
        <v>OK</v>
      </c>
      <c r="F25" s="14" t="s">
        <v>506</v>
      </c>
      <c r="G25" s="14" t="s">
        <v>11</v>
      </c>
    </row>
    <row r="26" customFormat="false" ht="15" hidden="false" customHeight="false" outlineLevel="0" collapsed="false">
      <c r="B26" s="14" t="s">
        <v>507</v>
      </c>
      <c r="C26" s="45" t="n">
        <f aca="false">Simulador!E45</f>
        <v>373649874</v>
      </c>
      <c r="D26" s="46" t="n">
        <v>373649874</v>
      </c>
      <c r="E26" s="14" t="str">
        <f aca="false">IF(ABS(C26-D26)&lt;0.005,"OK","DIFERENCIA")</f>
        <v>OK</v>
      </c>
      <c r="F26" s="14" t="s">
        <v>508</v>
      </c>
      <c r="G26" s="14" t="s">
        <v>11</v>
      </c>
    </row>
    <row r="27" customFormat="false" ht="15" hidden="false" customHeight="false" outlineLevel="0" collapsed="false">
      <c r="B27" s="14" t="s">
        <v>509</v>
      </c>
      <c r="C27" s="45" t="n">
        <f aca="false">Simulador!E46</f>
        <v>249003002</v>
      </c>
      <c r="D27" s="46" t="n">
        <v>249003002</v>
      </c>
      <c r="E27" s="14" t="str">
        <f aca="false">IF(ABS(C27-D27)&lt;0.005,"OK","DIFERENCIA")</f>
        <v>OK</v>
      </c>
      <c r="F27" s="14" t="s">
        <v>510</v>
      </c>
      <c r="G27" s="14" t="s">
        <v>11</v>
      </c>
    </row>
    <row r="28" customFormat="false" ht="15" hidden="false" customHeight="false" outlineLevel="0" collapsed="false">
      <c r="B28" s="14" t="s">
        <v>511</v>
      </c>
      <c r="C28" s="45" t="n">
        <f aca="false">Simulador!F44</f>
        <v>246462998</v>
      </c>
      <c r="D28" s="46" t="n">
        <v>246462998</v>
      </c>
      <c r="E28" s="14" t="str">
        <f aca="false">IF(ABS(C28-D28)&lt;0.005,"OK","DIFERENCIA")</f>
        <v>OK</v>
      </c>
      <c r="F28" s="14" t="s">
        <v>512</v>
      </c>
      <c r="G28" s="14" t="s">
        <v>11</v>
      </c>
    </row>
    <row r="29" customFormat="false" ht="15" hidden="false" customHeight="false" outlineLevel="0" collapsed="false">
      <c r="B29" s="14" t="s">
        <v>513</v>
      </c>
      <c r="C29" s="45" t="n">
        <f aca="false">Simulador!F45</f>
        <v>414800928</v>
      </c>
      <c r="D29" s="46" t="n">
        <v>414800928</v>
      </c>
      <c r="E29" s="14" t="str">
        <f aca="false">IF(ABS(C29-D29)&lt;0.005,"OK","DIFERENCIA")</f>
        <v>OK</v>
      </c>
      <c r="F29" s="14" t="s">
        <v>514</v>
      </c>
      <c r="G29" s="14" t="s">
        <v>11</v>
      </c>
    </row>
    <row r="30" customFormat="false" ht="15" hidden="false" customHeight="false" outlineLevel="0" collapsed="false">
      <c r="B30" s="14" t="s">
        <v>515</v>
      </c>
      <c r="C30" s="45" t="n">
        <f aca="false">Simulador!F46</f>
        <v>253060002</v>
      </c>
      <c r="D30" s="46" t="n">
        <v>253060002</v>
      </c>
      <c r="E30" s="14" t="str">
        <f aca="false">IF(ABS(C30-D30)&lt;0.005,"OK","DIFERENCIA")</f>
        <v>OK</v>
      </c>
      <c r="F30" s="14" t="s">
        <v>516</v>
      </c>
      <c r="G30" s="14" t="s">
        <v>11</v>
      </c>
    </row>
    <row r="31" customFormat="false" ht="15" hidden="false" customHeight="false" outlineLevel="0" collapsed="false">
      <c r="B31" s="14" t="s">
        <v>517</v>
      </c>
      <c r="C31" s="45" t="n">
        <f aca="false">Simulador!C21</f>
        <v>375000</v>
      </c>
      <c r="D31" s="46" t="n">
        <v>375000</v>
      </c>
      <c r="E31" s="14" t="str">
        <f aca="false">IF(ABS(C31-D31)&lt;0.005,"OK","DIFERENCIA")</f>
        <v>OK</v>
      </c>
      <c r="F31" s="14" t="s">
        <v>518</v>
      </c>
      <c r="G31" s="14" t="s">
        <v>11</v>
      </c>
    </row>
    <row r="32" customFormat="false" ht="15" hidden="false" customHeight="false" outlineLevel="0" collapsed="false">
      <c r="B32" s="14" t="s">
        <v>519</v>
      </c>
      <c r="C32" s="45" t="n">
        <f aca="false">Simulador!C50</f>
        <v>405.405405405405</v>
      </c>
      <c r="D32" s="46" t="n">
        <v>405.405405405405</v>
      </c>
      <c r="E32" s="14" t="str">
        <f aca="false">IF(ABS(C32-D32)&lt;0.005,"OK","DIFERENCIA")</f>
        <v>OK</v>
      </c>
      <c r="F32" s="14" t="s">
        <v>520</v>
      </c>
      <c r="G32" s="14" t="s">
        <v>18</v>
      </c>
    </row>
    <row r="33" customFormat="false" ht="15" hidden="false" customHeight="false" outlineLevel="0" collapsed="false">
      <c r="B33" s="14" t="s">
        <v>521</v>
      </c>
      <c r="C33" s="45" t="n">
        <f aca="false">Simulador!D50</f>
        <v>810.810810810811</v>
      </c>
      <c r="D33" s="46" t="n">
        <v>810.810810810811</v>
      </c>
      <c r="E33" s="14" t="str">
        <f aca="false">IF(ABS(C33-D33)&lt;0.005,"OK","DIFERENCIA")</f>
        <v>OK</v>
      </c>
      <c r="F33" s="14" t="s">
        <v>522</v>
      </c>
      <c r="G33" s="14" t="s">
        <v>18</v>
      </c>
    </row>
    <row r="34" customFormat="false" ht="15" hidden="false" customHeight="false" outlineLevel="0" collapsed="false">
      <c r="B34" s="14" t="s">
        <v>523</v>
      </c>
      <c r="C34" s="45" t="n">
        <f aca="false">Simulador!C62</f>
        <v>58116.7137837838</v>
      </c>
      <c r="D34" s="46" t="n">
        <v>58116.7137837838</v>
      </c>
      <c r="E34" s="14" t="str">
        <f aca="false">IF(ABS(C34-D34)&lt;0.005,"OK","DIFERENCIA")</f>
        <v>OK</v>
      </c>
      <c r="F34" s="14" t="s">
        <v>524</v>
      </c>
      <c r="G34" s="14" t="s">
        <v>465</v>
      </c>
    </row>
    <row r="35" customFormat="false" ht="15" hidden="false" customHeight="false" outlineLevel="0" collapsed="false">
      <c r="B35" s="14" t="s">
        <v>525</v>
      </c>
      <c r="C35" s="45" t="n">
        <f aca="false">Simulador!D62</f>
        <v>88600.7254054054</v>
      </c>
      <c r="D35" s="46" t="n">
        <v>88600.7254054054</v>
      </c>
      <c r="E35" s="14" t="str">
        <f aca="false">IF(ABS(C35-D35)&lt;0.005,"OK","DIFERENCIA")</f>
        <v>OK</v>
      </c>
      <c r="F35" s="14" t="s">
        <v>526</v>
      </c>
      <c r="G35" s="14" t="s">
        <v>465</v>
      </c>
    </row>
    <row r="36" customFormat="false" ht="15" hidden="false" customHeight="false" outlineLevel="0" collapsed="false">
      <c r="B36" s="14" t="s">
        <v>527</v>
      </c>
      <c r="C36" s="45" t="n">
        <f aca="false">Simulador!E62</f>
        <v>102096.161621622</v>
      </c>
      <c r="D36" s="46" t="n">
        <v>102096.161621622</v>
      </c>
      <c r="E36" s="14" t="str">
        <f aca="false">IF(ABS(C36-D36)&lt;0.005,"OK","DIFERENCIA")</f>
        <v>OK</v>
      </c>
      <c r="F36" s="14" t="s">
        <v>528</v>
      </c>
      <c r="G36" s="14" t="s">
        <v>465</v>
      </c>
    </row>
    <row r="37" customFormat="false" ht="15" hidden="false" customHeight="false" outlineLevel="0" collapsed="false">
      <c r="B37" s="14" t="s">
        <v>529</v>
      </c>
      <c r="C37" s="45" t="n">
        <f aca="false">Simulador!F62</f>
        <v>110082.323783784</v>
      </c>
      <c r="D37" s="46" t="n">
        <v>110082.323783784</v>
      </c>
      <c r="E37" s="14" t="str">
        <f aca="false">IF(ABS(C37-D37)&lt;0.005,"OK","DIFERENCIA")</f>
        <v>OK</v>
      </c>
      <c r="F37" s="14" t="s">
        <v>530</v>
      </c>
      <c r="G37" s="14" t="s">
        <v>465</v>
      </c>
    </row>
    <row r="38" customFormat="false" ht="15" hidden="false" customHeight="false" outlineLevel="0" collapsed="false">
      <c r="B38" s="14" t="s">
        <v>531</v>
      </c>
      <c r="C38" s="45" t="n">
        <f aca="false">Simulador!C64</f>
        <v>68381.1581081081</v>
      </c>
      <c r="D38" s="46" t="n">
        <v>68381.1581081081</v>
      </c>
      <c r="E38" s="14" t="str">
        <f aca="false">IF(ABS(C38-D38)&lt;0.005,"OK","DIFERENCIA")</f>
        <v>OK</v>
      </c>
      <c r="F38" s="14" t="s">
        <v>532</v>
      </c>
      <c r="G38" s="14" t="s">
        <v>465</v>
      </c>
    </row>
    <row r="39" customFormat="false" ht="15" hidden="false" customHeight="false" outlineLevel="0" collapsed="false">
      <c r="B39" s="14" t="s">
        <v>533</v>
      </c>
      <c r="C39" s="45" t="n">
        <f aca="false">Simulador!D64</f>
        <v>111149.808108108</v>
      </c>
      <c r="D39" s="46" t="n">
        <v>111149.808108108</v>
      </c>
      <c r="E39" s="14" t="str">
        <f aca="false">IF(ABS(C39-D39)&lt;0.005,"OK","DIFERENCIA")</f>
        <v>OK</v>
      </c>
      <c r="F39" s="14" t="s">
        <v>534</v>
      </c>
      <c r="G39" s="14" t="s">
        <v>465</v>
      </c>
    </row>
    <row r="40" customFormat="false" ht="15" hidden="false" customHeight="false" outlineLevel="0" collapsed="false">
      <c r="B40" s="14" t="s">
        <v>535</v>
      </c>
      <c r="C40" s="45" t="n">
        <f aca="false">Simulador!E64</f>
        <v>138633.155135135</v>
      </c>
      <c r="D40" s="46" t="n">
        <v>138633.155135135</v>
      </c>
      <c r="E40" s="14" t="str">
        <f aca="false">IF(ABS(C40-D40)&lt;0.005,"OK","DIFERENCIA")</f>
        <v>OK</v>
      </c>
      <c r="F40" s="14" t="s">
        <v>536</v>
      </c>
      <c r="G40" s="14" t="s">
        <v>465</v>
      </c>
    </row>
    <row r="41" customFormat="false" ht="15" hidden="false" customHeight="false" outlineLevel="0" collapsed="false">
      <c r="B41" s="14" t="s">
        <v>537</v>
      </c>
      <c r="C41" s="45" t="n">
        <f aca="false">Simulador!F64</f>
        <v>155579.061621622</v>
      </c>
      <c r="D41" s="46" t="n">
        <v>155579.061621622</v>
      </c>
      <c r="E41" s="14" t="str">
        <f aca="false">IF(ABS(C41-D41)&lt;0.005,"OK","DIFERENCIA")</f>
        <v>OK</v>
      </c>
      <c r="F41" s="14" t="s">
        <v>538</v>
      </c>
      <c r="G41" s="14" t="s">
        <v>465</v>
      </c>
    </row>
    <row r="42" customFormat="false" ht="15" hidden="false" customHeight="false" outlineLevel="0" collapsed="false">
      <c r="B42" s="14" t="s">
        <v>539</v>
      </c>
      <c r="C42" s="45" t="n">
        <f aca="false">Simulador!C66</f>
        <v>58075.5140540541</v>
      </c>
      <c r="D42" s="46" t="n">
        <v>58075.5140540541</v>
      </c>
      <c r="E42" s="14" t="str">
        <f aca="false">IF(ABS(C42-D42)&lt;0.005,"OK","DIFERENCIA")</f>
        <v>OK</v>
      </c>
      <c r="F42" s="14" t="s">
        <v>540</v>
      </c>
      <c r="G42" s="14" t="s">
        <v>465</v>
      </c>
    </row>
    <row r="43" customFormat="false" ht="15" hidden="false" customHeight="false" outlineLevel="0" collapsed="false">
      <c r="B43" s="14" t="s">
        <v>541</v>
      </c>
      <c r="C43" s="45" t="n">
        <f aca="false">Simulador!D66</f>
        <v>85046.6491891892</v>
      </c>
      <c r="D43" s="46" t="n">
        <v>85046.6491891892</v>
      </c>
      <c r="E43" s="14" t="str">
        <f aca="false">IF(ABS(C43-D43)&lt;0.005,"OK","DIFERENCIA")</f>
        <v>OK</v>
      </c>
      <c r="F43" s="14" t="s">
        <v>542</v>
      </c>
      <c r="G43" s="14" t="s">
        <v>465</v>
      </c>
    </row>
    <row r="44" customFormat="false" ht="15" hidden="false" customHeight="false" outlineLevel="0" collapsed="false">
      <c r="B44" s="14" t="s">
        <v>543</v>
      </c>
      <c r="C44" s="45" t="n">
        <f aca="false">Simulador!E66</f>
        <v>104944.811351351</v>
      </c>
      <c r="D44" s="46" t="n">
        <v>104944.811351351</v>
      </c>
      <c r="E44" s="14" t="str">
        <f aca="false">IF(ABS(C44-D44)&lt;0.005,"OK","DIFERENCIA")</f>
        <v>OK</v>
      </c>
      <c r="F44" s="14" t="s">
        <v>544</v>
      </c>
      <c r="G44" s="14" t="s">
        <v>465</v>
      </c>
    </row>
    <row r="45" customFormat="false" ht="15" hidden="false" customHeight="false" outlineLevel="0" collapsed="false">
      <c r="B45" s="14" t="s">
        <v>545</v>
      </c>
      <c r="C45" s="45" t="n">
        <f aca="false">Simulador!F66</f>
        <v>111865.297837838</v>
      </c>
      <c r="D45" s="46" t="n">
        <v>111865.297837838</v>
      </c>
      <c r="E45" s="14" t="str">
        <f aca="false">IF(ABS(C45-D45)&lt;0.005,"OK","DIFERENCIA")</f>
        <v>OK</v>
      </c>
      <c r="F45" s="14" t="s">
        <v>546</v>
      </c>
      <c r="G45" s="14" t="s">
        <v>465</v>
      </c>
    </row>
    <row r="46" customFormat="false" ht="15" hidden="false" customHeight="false" outlineLevel="0" collapsed="false">
      <c r="B46" s="14" t="s">
        <v>547</v>
      </c>
      <c r="C46" s="45" t="n">
        <f aca="false">Simulador!C83</f>
        <v>3130187.2972973</v>
      </c>
      <c r="D46" s="46" t="n">
        <v>3130187.2972973</v>
      </c>
      <c r="E46" s="14" t="str">
        <f aca="false">IF(ABS(C46-D46)&lt;0.005,"OK","DIFERENCIA")</f>
        <v>OK</v>
      </c>
      <c r="F46" s="14" t="s">
        <v>548</v>
      </c>
      <c r="G46" s="14" t="s">
        <v>465</v>
      </c>
    </row>
    <row r="48" customFormat="false" ht="15" hidden="false" customHeight="false" outlineLevel="0" collapsed="false">
      <c r="B48" s="2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">
        <v>550</v>
      </c>
    </row>
    <row r="2" customFormat="false" ht="15" hidden="false" customHeight="false" outlineLevel="0" collapsed="false">
      <c r="B2" s="2" t="s">
        <v>551</v>
      </c>
    </row>
    <row r="4" customFormat="false" ht="15" hidden="false" customHeight="false" outlineLevel="0" collapsed="false">
      <c r="B4" s="24" t="s">
        <v>552</v>
      </c>
      <c r="C4" s="24" t="s">
        <v>8</v>
      </c>
      <c r="D4" s="24" t="s">
        <v>225</v>
      </c>
    </row>
    <row r="5" customFormat="false" ht="27.75" hidden="false" customHeight="true" outlineLevel="0" collapsed="false">
      <c r="B5" s="14" t="s">
        <v>553</v>
      </c>
      <c r="C5" s="14" t="s">
        <v>554</v>
      </c>
      <c r="D5" s="14" t="s">
        <v>555</v>
      </c>
    </row>
    <row r="6" customFormat="false" ht="27.75" hidden="false" customHeight="true" outlineLevel="0" collapsed="false">
      <c r="B6" s="14" t="s">
        <v>556</v>
      </c>
      <c r="C6" s="14" t="s">
        <v>557</v>
      </c>
      <c r="D6" s="14"/>
    </row>
    <row r="7" customFormat="false" ht="27.75" hidden="false" customHeight="true" outlineLevel="0" collapsed="false">
      <c r="B7" s="14" t="s">
        <v>558</v>
      </c>
      <c r="C7" s="14" t="s">
        <v>559</v>
      </c>
      <c r="D7" s="14"/>
    </row>
    <row r="8" customFormat="false" ht="27.75" hidden="false" customHeight="true" outlineLevel="0" collapsed="false">
      <c r="B8" s="14" t="s">
        <v>560</v>
      </c>
      <c r="C8" s="14" t="s">
        <v>49</v>
      </c>
      <c r="D8" s="14"/>
    </row>
    <row r="9" customFormat="false" ht="27.75" hidden="false" customHeight="true" outlineLevel="0" collapsed="false">
      <c r="B9" s="14" t="s">
        <v>561</v>
      </c>
      <c r="C9" s="14" t="s">
        <v>518</v>
      </c>
      <c r="D9" s="14"/>
    </row>
    <row r="10" customFormat="false" ht="27.75" hidden="false" customHeight="true" outlineLevel="0" collapsed="false">
      <c r="B10" s="14" t="s">
        <v>562</v>
      </c>
      <c r="C10" s="14" t="s">
        <v>563</v>
      </c>
      <c r="D10" s="14" t="s">
        <v>564</v>
      </c>
    </row>
    <row r="11" customFormat="false" ht="27.75" hidden="false" customHeight="true" outlineLevel="0" collapsed="false">
      <c r="B11" s="14" t="s">
        <v>565</v>
      </c>
      <c r="C11" s="14" t="s">
        <v>566</v>
      </c>
      <c r="D11" s="14"/>
    </row>
    <row r="12" customFormat="false" ht="27.75" hidden="false" customHeight="true" outlineLevel="0" collapsed="false">
      <c r="B12" s="14" t="s">
        <v>567</v>
      </c>
      <c r="C12" s="14" t="s">
        <v>568</v>
      </c>
      <c r="D12" s="14" t="s">
        <v>569</v>
      </c>
    </row>
    <row r="13" customFormat="false" ht="27.75" hidden="false" customHeight="true" outlineLevel="0" collapsed="false">
      <c r="B13" s="14" t="s">
        <v>570</v>
      </c>
      <c r="C13" s="14" t="s">
        <v>571</v>
      </c>
      <c r="D13" s="14" t="s">
        <v>572</v>
      </c>
    </row>
    <row r="14" customFormat="false" ht="27.75" hidden="false" customHeight="true" outlineLevel="0" collapsed="false">
      <c r="B14" s="14" t="s">
        <v>573</v>
      </c>
      <c r="C14" s="14" t="s">
        <v>574</v>
      </c>
      <c r="D14" s="14" t="s">
        <v>575</v>
      </c>
    </row>
    <row r="17" customFormat="false" ht="15" hidden="false" customHeight="false" outlineLevel="0" collapsed="false">
      <c r="B17" s="24" t="s">
        <v>576</v>
      </c>
      <c r="C17" s="24" t="s">
        <v>577</v>
      </c>
      <c r="D17" s="24" t="s">
        <v>225</v>
      </c>
    </row>
    <row r="18" customFormat="false" ht="27.75" hidden="false" customHeight="true" outlineLevel="0" collapsed="false">
      <c r="B18" s="14" t="s">
        <v>578</v>
      </c>
      <c r="C18" s="14" t="s">
        <v>26</v>
      </c>
      <c r="D18" s="14" t="s">
        <v>579</v>
      </c>
    </row>
    <row r="19" customFormat="false" ht="27.75" hidden="false" customHeight="true" outlineLevel="0" collapsed="false">
      <c r="B19" s="14" t="s">
        <v>580</v>
      </c>
      <c r="C19" s="14" t="s">
        <v>26</v>
      </c>
      <c r="D19" s="14" t="s">
        <v>581</v>
      </c>
    </row>
    <row r="20" customFormat="false" ht="27.75" hidden="false" customHeight="true" outlineLevel="0" collapsed="false">
      <c r="B20" s="14" t="s">
        <v>582</v>
      </c>
      <c r="C20" s="14" t="s">
        <v>26</v>
      </c>
      <c r="D20" s="14" t="s">
        <v>583</v>
      </c>
    </row>
    <row r="21" customFormat="false" ht="27.75" hidden="false" customHeight="true" outlineLevel="0" collapsed="false">
      <c r="B21" s="14" t="s">
        <v>584</v>
      </c>
      <c r="C21" s="14" t="s">
        <v>26</v>
      </c>
      <c r="D21" s="14" t="s">
        <v>585</v>
      </c>
    </row>
    <row r="22" customFormat="false" ht="27.75" hidden="false" customHeight="true" outlineLevel="0" collapsed="false">
      <c r="B22" s="14" t="s">
        <v>586</v>
      </c>
      <c r="C22" s="14" t="s">
        <v>70</v>
      </c>
      <c r="D22" s="14" t="s">
        <v>587</v>
      </c>
    </row>
    <row r="23" customFormat="false" ht="27.75" hidden="false" customHeight="true" outlineLevel="0" collapsed="false">
      <c r="B23" s="14" t="s">
        <v>588</v>
      </c>
      <c r="C23" s="14" t="s">
        <v>26</v>
      </c>
      <c r="D23" s="14" t="s">
        <v>589</v>
      </c>
    </row>
    <row r="24" customFormat="false" ht="27.75" hidden="false" customHeight="true" outlineLevel="0" collapsed="false">
      <c r="B24" s="14" t="s">
        <v>590</v>
      </c>
      <c r="C24" s="14" t="s">
        <v>70</v>
      </c>
      <c r="D24" s="14" t="s">
        <v>591</v>
      </c>
    </row>
    <row r="25" customFormat="false" ht="27.75" hidden="false" customHeight="true" outlineLevel="0" collapsed="false">
      <c r="B25" s="14" t="s">
        <v>592</v>
      </c>
      <c r="C25" s="14" t="s">
        <v>70</v>
      </c>
      <c r="D25" s="14" t="s">
        <v>593</v>
      </c>
    </row>
    <row r="26" customFormat="false" ht="27.75" hidden="false" customHeight="true" outlineLevel="0" collapsed="false">
      <c r="B26" s="14" t="s">
        <v>594</v>
      </c>
      <c r="C26" s="14" t="s">
        <v>90</v>
      </c>
      <c r="D26" s="14" t="s">
        <v>595</v>
      </c>
    </row>
    <row r="27" customFormat="false" ht="27.75" hidden="false" customHeight="true" outlineLevel="0" collapsed="false">
      <c r="B27" s="14" t="s">
        <v>596</v>
      </c>
      <c r="C27" s="14" t="s">
        <v>61</v>
      </c>
      <c r="D27" s="14" t="s">
        <v>597</v>
      </c>
    </row>
    <row r="28" customFormat="false" ht="27.75" hidden="false" customHeight="true" outlineLevel="0" collapsed="false">
      <c r="B28" s="14" t="s">
        <v>598</v>
      </c>
      <c r="C28" s="14" t="s">
        <v>26</v>
      </c>
      <c r="D28" s="14" t="s">
        <v>599</v>
      </c>
    </row>
    <row r="29" customFormat="false" ht="27.75" hidden="false" customHeight="true" outlineLevel="0" collapsed="false">
      <c r="B29" s="14" t="s">
        <v>600</v>
      </c>
      <c r="C29" s="14" t="s">
        <v>70</v>
      </c>
      <c r="D29" s="14" t="s">
        <v>601</v>
      </c>
    </row>
    <row r="30" customFormat="false" ht="27.75" hidden="false" customHeight="true" outlineLevel="0" collapsed="false">
      <c r="B30" s="14" t="s">
        <v>602</v>
      </c>
      <c r="C30" s="14" t="s">
        <v>26</v>
      </c>
      <c r="D3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16"/>
  </cols>
  <sheetData>
    <row r="1" customFormat="false" ht="17.35" hidden="false" customHeight="false" outlineLevel="0" collapsed="false">
      <c r="B1" s="1" t="s">
        <v>603</v>
      </c>
    </row>
    <row r="2" customFormat="false" ht="15" hidden="false" customHeight="false" outlineLevel="0" collapsed="false">
      <c r="B2" s="2" t="s">
        <v>604</v>
      </c>
    </row>
    <row r="4" customFormat="false" ht="15" hidden="false" customHeight="false" outlineLevel="0" collapsed="false">
      <c r="B4" s="3" t="s">
        <v>605</v>
      </c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B5" s="24" t="s">
        <v>4</v>
      </c>
      <c r="C5" s="24" t="s">
        <v>7</v>
      </c>
      <c r="D5" s="24" t="s">
        <v>606</v>
      </c>
      <c r="E5" s="24" t="s">
        <v>607</v>
      </c>
      <c r="F5" s="24" t="s">
        <v>608</v>
      </c>
      <c r="G5" s="24" t="s">
        <v>609</v>
      </c>
      <c r="H5" s="24" t="s">
        <v>608</v>
      </c>
      <c r="I5" s="24" t="s">
        <v>610</v>
      </c>
    </row>
    <row r="6" customFormat="false" ht="27.75" hidden="false" customHeight="true" outlineLevel="0" collapsed="false">
      <c r="B6" s="14" t="s">
        <v>611</v>
      </c>
      <c r="C6" s="14" t="s">
        <v>11</v>
      </c>
      <c r="D6" s="14" t="s">
        <v>612</v>
      </c>
      <c r="E6" s="14" t="s">
        <v>613</v>
      </c>
      <c r="F6" s="47" t="n">
        <v>730502.166891892</v>
      </c>
      <c r="G6" s="14" t="s">
        <v>614</v>
      </c>
      <c r="H6" s="47" t="n">
        <v>352651.546891892</v>
      </c>
      <c r="I6" s="47" t="n">
        <v>377850.62</v>
      </c>
    </row>
    <row r="7" customFormat="false" ht="27.75" hidden="false" customHeight="true" outlineLevel="0" collapsed="false">
      <c r="B7" s="14" t="s">
        <v>615</v>
      </c>
      <c r="C7" s="14" t="s">
        <v>70</v>
      </c>
      <c r="D7" s="14" t="s">
        <v>86</v>
      </c>
      <c r="E7" s="14" t="s">
        <v>86</v>
      </c>
      <c r="F7" s="47" t="n">
        <v>730502.166891892</v>
      </c>
      <c r="G7" s="14" t="s">
        <v>87</v>
      </c>
      <c r="H7" s="47" t="n">
        <v>406712.033108109</v>
      </c>
      <c r="I7" s="47" t="n">
        <v>323790.133783784</v>
      </c>
    </row>
    <row r="8" customFormat="false" ht="27.75" hidden="false" customHeight="true" outlineLevel="0" collapsed="false">
      <c r="B8" s="14" t="s">
        <v>9</v>
      </c>
      <c r="C8" s="14" t="s">
        <v>11</v>
      </c>
      <c r="D8" s="14" t="s">
        <v>616</v>
      </c>
      <c r="E8" s="14" t="s">
        <v>617</v>
      </c>
      <c r="F8" s="47" t="n">
        <v>875151.969901722</v>
      </c>
      <c r="G8" s="14" t="s">
        <v>618</v>
      </c>
      <c r="H8" s="47" t="n">
        <v>553707.963213213</v>
      </c>
      <c r="I8" s="47" t="n">
        <v>321444.006688509</v>
      </c>
    </row>
    <row r="9" customFormat="false" ht="27.75" hidden="false" customHeight="true" outlineLevel="0" collapsed="false">
      <c r="B9" s="14" t="s">
        <v>619</v>
      </c>
      <c r="C9" s="14" t="s">
        <v>620</v>
      </c>
      <c r="D9" s="14" t="s">
        <v>621</v>
      </c>
      <c r="E9" s="14" t="s">
        <v>621</v>
      </c>
      <c r="F9" s="47" t="n">
        <v>730502.166891892</v>
      </c>
      <c r="G9" s="14" t="s">
        <v>622</v>
      </c>
      <c r="H9" s="47" t="n">
        <v>491041.513243244</v>
      </c>
      <c r="I9" s="47" t="n">
        <v>239460.653648649</v>
      </c>
    </row>
    <row r="10" customFormat="false" ht="27.75" hidden="false" customHeight="true" outlineLevel="0" collapsed="false">
      <c r="B10" s="14" t="s">
        <v>623</v>
      </c>
      <c r="C10" s="14" t="s">
        <v>70</v>
      </c>
      <c r="D10" s="14" t="s">
        <v>86</v>
      </c>
      <c r="E10" s="14" t="s">
        <v>86</v>
      </c>
      <c r="F10" s="47" t="n">
        <v>730502.166891892</v>
      </c>
      <c r="G10" s="14" t="s">
        <v>624</v>
      </c>
      <c r="H10" s="47" t="n">
        <v>548394.195270272</v>
      </c>
      <c r="I10" s="47" t="n">
        <v>182107.971621621</v>
      </c>
    </row>
    <row r="11" customFormat="false" ht="27.75" hidden="false" customHeight="true" outlineLevel="0" collapsed="false">
      <c r="B11" s="14" t="s">
        <v>625</v>
      </c>
      <c r="C11" s="14" t="s">
        <v>626</v>
      </c>
      <c r="D11" s="14" t="s">
        <v>627</v>
      </c>
      <c r="E11" s="14" t="s">
        <v>627</v>
      </c>
      <c r="F11" s="47" t="n">
        <v>730502.166891892</v>
      </c>
      <c r="G11" s="14" t="s">
        <v>628</v>
      </c>
      <c r="H11" s="47" t="n">
        <v>552142.166891892</v>
      </c>
      <c r="I11" s="47" t="n">
        <v>178360</v>
      </c>
    </row>
    <row r="12" customFormat="false" ht="27.75" hidden="false" customHeight="true" outlineLevel="0" collapsed="false">
      <c r="B12" s="14" t="s">
        <v>629</v>
      </c>
      <c r="C12" s="14" t="s">
        <v>630</v>
      </c>
      <c r="D12" s="14" t="s">
        <v>631</v>
      </c>
      <c r="E12" s="14" t="s">
        <v>631</v>
      </c>
      <c r="F12" s="47" t="n">
        <v>730502.166891892</v>
      </c>
      <c r="G12" s="14" t="s">
        <v>632</v>
      </c>
      <c r="H12" s="47" t="n">
        <v>555782.166891892</v>
      </c>
      <c r="I12" s="47" t="n">
        <v>174720</v>
      </c>
    </row>
    <row r="13" customFormat="false" ht="27.75" hidden="false" customHeight="true" outlineLevel="0" collapsed="false">
      <c r="B13" s="14" t="s">
        <v>633</v>
      </c>
      <c r="C13" s="14" t="s">
        <v>634</v>
      </c>
      <c r="D13" s="14" t="s">
        <v>635</v>
      </c>
      <c r="E13" s="14" t="s">
        <v>635</v>
      </c>
      <c r="F13" s="47" t="n">
        <v>730502.166891892</v>
      </c>
      <c r="G13" s="14" t="s">
        <v>636</v>
      </c>
      <c r="H13" s="47" t="n">
        <v>566706.988513514</v>
      </c>
      <c r="I13" s="47" t="n">
        <v>163795.178378379</v>
      </c>
    </row>
    <row r="14" customFormat="false" ht="27.75" hidden="false" customHeight="true" outlineLevel="0" collapsed="false">
      <c r="B14" s="14" t="s">
        <v>428</v>
      </c>
      <c r="C14" s="14" t="s">
        <v>11</v>
      </c>
      <c r="D14" s="14" t="s">
        <v>637</v>
      </c>
      <c r="E14" s="14" t="s">
        <v>638</v>
      </c>
      <c r="F14" s="47" t="n">
        <v>809126.166891892</v>
      </c>
      <c r="G14" s="14" t="s">
        <v>639</v>
      </c>
      <c r="H14" s="47" t="n">
        <v>651878.166891893</v>
      </c>
      <c r="I14" s="47" t="n">
        <v>157247.999999999</v>
      </c>
    </row>
    <row r="15" customFormat="false" ht="27.75" hidden="false" customHeight="true" outlineLevel="0" collapsed="false">
      <c r="B15" s="14" t="s">
        <v>640</v>
      </c>
      <c r="C15" s="14" t="s">
        <v>70</v>
      </c>
      <c r="D15" s="14" t="s">
        <v>641</v>
      </c>
      <c r="E15" s="14" t="s">
        <v>642</v>
      </c>
      <c r="F15" s="47" t="n">
        <v>784872.195945947</v>
      </c>
      <c r="G15" s="14" t="s">
        <v>643</v>
      </c>
      <c r="H15" s="47" t="n">
        <v>676132.137837838</v>
      </c>
      <c r="I15" s="47" t="n">
        <v>108740.058108108</v>
      </c>
    </row>
    <row r="16" customFormat="false" ht="27.75" hidden="false" customHeight="true" outlineLevel="0" collapsed="false">
      <c r="B16" s="14" t="s">
        <v>644</v>
      </c>
      <c r="C16" s="14" t="s">
        <v>26</v>
      </c>
      <c r="D16" s="14" t="s">
        <v>645</v>
      </c>
      <c r="E16" s="14" t="s">
        <v>646</v>
      </c>
      <c r="F16" s="47" t="n">
        <v>730502.166891892</v>
      </c>
      <c r="G16" s="14" t="s">
        <v>647</v>
      </c>
      <c r="H16" s="47" t="n">
        <v>654559.640101353</v>
      </c>
      <c r="I16" s="47" t="n">
        <v>75942.5267905397</v>
      </c>
    </row>
    <row r="17" customFormat="false" ht="27.75" hidden="false" customHeight="true" outlineLevel="0" collapsed="false">
      <c r="B17" s="14" t="s">
        <v>648</v>
      </c>
      <c r="C17" s="14" t="s">
        <v>26</v>
      </c>
      <c r="D17" s="14" t="s">
        <v>649</v>
      </c>
      <c r="E17" s="14" t="s">
        <v>649</v>
      </c>
      <c r="F17" s="47" t="n">
        <v>730502.166891892</v>
      </c>
      <c r="G17" s="14" t="s">
        <v>650</v>
      </c>
      <c r="H17" s="47" t="n">
        <v>708204.869594594</v>
      </c>
      <c r="I17" s="47" t="n">
        <v>22297.2972972984</v>
      </c>
    </row>
    <row r="18" customFormat="false" ht="27.75" hidden="false" customHeight="true" outlineLevel="0" collapsed="false">
      <c r="B18" s="14" t="s">
        <v>390</v>
      </c>
      <c r="C18" s="14" t="s">
        <v>26</v>
      </c>
      <c r="D18" s="14" t="s">
        <v>651</v>
      </c>
      <c r="E18" s="14" t="s">
        <v>652</v>
      </c>
      <c r="F18" s="47" t="n">
        <v>744015.680405405</v>
      </c>
      <c r="G18" s="14" t="s">
        <v>653</v>
      </c>
      <c r="H18" s="47" t="n">
        <v>730502.166891892</v>
      </c>
      <c r="I18" s="47" t="n">
        <v>13513.5135135129</v>
      </c>
    </row>
    <row r="20" customFormat="false" ht="15" hidden="false" customHeight="false" outlineLevel="0" collapsed="false">
      <c r="B20" s="3" t="s">
        <v>654</v>
      </c>
      <c r="C20" s="3"/>
      <c r="D20" s="3"/>
      <c r="E20" s="3"/>
      <c r="F20" s="3"/>
      <c r="G20" s="3"/>
      <c r="H20" s="3"/>
      <c r="I20" s="3"/>
    </row>
    <row r="21" customFormat="false" ht="15" hidden="false" customHeight="false" outlineLevel="0" collapsed="false">
      <c r="B21" s="24" t="s">
        <v>4</v>
      </c>
      <c r="C21" s="24" t="s">
        <v>7</v>
      </c>
      <c r="D21" s="24" t="s">
        <v>606</v>
      </c>
      <c r="E21" s="24" t="s">
        <v>607</v>
      </c>
      <c r="F21" s="24" t="s">
        <v>608</v>
      </c>
      <c r="G21" s="24" t="s">
        <v>609</v>
      </c>
      <c r="H21" s="24" t="s">
        <v>608</v>
      </c>
      <c r="I21" s="24" t="s">
        <v>610</v>
      </c>
    </row>
    <row r="22" customFormat="false" ht="27.75" hidden="false" customHeight="true" outlineLevel="0" collapsed="false">
      <c r="B22" s="14" t="s">
        <v>623</v>
      </c>
      <c r="C22" s="14" t="s">
        <v>70</v>
      </c>
      <c r="D22" s="14" t="s">
        <v>86</v>
      </c>
      <c r="E22" s="14" t="s">
        <v>86</v>
      </c>
      <c r="F22" s="47" t="n">
        <v>-118526.236486487</v>
      </c>
      <c r="G22" s="14" t="s">
        <v>624</v>
      </c>
      <c r="H22" s="47" t="n">
        <v>-776891.306756758</v>
      </c>
      <c r="I22" s="47" t="n">
        <v>658365.070270272</v>
      </c>
    </row>
    <row r="23" customFormat="false" ht="27.75" hidden="false" customHeight="true" outlineLevel="0" collapsed="false">
      <c r="B23" s="14" t="s">
        <v>615</v>
      </c>
      <c r="C23" s="14" t="s">
        <v>70</v>
      </c>
      <c r="D23" s="14" t="s">
        <v>86</v>
      </c>
      <c r="E23" s="14" t="s">
        <v>86</v>
      </c>
      <c r="F23" s="47" t="n">
        <v>-118526.236486487</v>
      </c>
      <c r="G23" s="14" t="s">
        <v>87</v>
      </c>
      <c r="H23" s="47" t="n">
        <v>-733973.177027028</v>
      </c>
      <c r="I23" s="47" t="n">
        <v>615446.940540541</v>
      </c>
    </row>
    <row r="24" customFormat="false" ht="27.75" hidden="false" customHeight="true" outlineLevel="0" collapsed="false">
      <c r="B24" s="14" t="s">
        <v>9</v>
      </c>
      <c r="C24" s="14" t="s">
        <v>11</v>
      </c>
      <c r="D24" s="14" t="s">
        <v>616</v>
      </c>
      <c r="E24" s="14" t="s">
        <v>617</v>
      </c>
      <c r="F24" s="47" t="n">
        <v>103307.966830467</v>
      </c>
      <c r="G24" s="14" t="s">
        <v>618</v>
      </c>
      <c r="H24" s="47" t="n">
        <v>-389656.929429429</v>
      </c>
      <c r="I24" s="47" t="n">
        <v>492964.896259896</v>
      </c>
    </row>
    <row r="25" customFormat="false" ht="27.75" hidden="false" customHeight="true" outlineLevel="0" collapsed="false">
      <c r="B25" s="14" t="s">
        <v>611</v>
      </c>
      <c r="C25" s="14" t="s">
        <v>11</v>
      </c>
      <c r="D25" s="14" t="s">
        <v>612</v>
      </c>
      <c r="E25" s="14" t="s">
        <v>613</v>
      </c>
      <c r="F25" s="47" t="n">
        <v>-118526.236486487</v>
      </c>
      <c r="G25" s="14" t="s">
        <v>614</v>
      </c>
      <c r="H25" s="47" t="n">
        <v>-390647.822972973</v>
      </c>
      <c r="I25" s="47" t="n">
        <v>272121.586486486</v>
      </c>
    </row>
    <row r="26" customFormat="false" ht="27.75" hidden="false" customHeight="true" outlineLevel="0" collapsed="false">
      <c r="B26" s="14" t="s">
        <v>625</v>
      </c>
      <c r="C26" s="14" t="s">
        <v>626</v>
      </c>
      <c r="D26" s="14" t="s">
        <v>627</v>
      </c>
      <c r="E26" s="14" t="s">
        <v>627</v>
      </c>
      <c r="F26" s="47" t="n">
        <v>-118526.236486487</v>
      </c>
      <c r="G26" s="14" t="s">
        <v>628</v>
      </c>
      <c r="H26" s="47" t="n">
        <v>-296886.236486487</v>
      </c>
      <c r="I26" s="47" t="n">
        <v>178360</v>
      </c>
    </row>
    <row r="27" customFormat="false" ht="27.75" hidden="false" customHeight="true" outlineLevel="0" collapsed="false">
      <c r="B27" s="14" t="s">
        <v>629</v>
      </c>
      <c r="C27" s="14" t="s">
        <v>630</v>
      </c>
      <c r="D27" s="14" t="s">
        <v>631</v>
      </c>
      <c r="E27" s="14" t="s">
        <v>631</v>
      </c>
      <c r="F27" s="47" t="n">
        <v>-118526.236486487</v>
      </c>
      <c r="G27" s="14" t="s">
        <v>632</v>
      </c>
      <c r="H27" s="47" t="n">
        <v>-293246.236486487</v>
      </c>
      <c r="I27" s="47" t="n">
        <v>174720</v>
      </c>
    </row>
    <row r="28" customFormat="false" ht="27.75" hidden="false" customHeight="true" outlineLevel="0" collapsed="false">
      <c r="B28" s="14" t="s">
        <v>428</v>
      </c>
      <c r="C28" s="14" t="s">
        <v>11</v>
      </c>
      <c r="D28" s="14" t="s">
        <v>637</v>
      </c>
      <c r="E28" s="14" t="s">
        <v>638</v>
      </c>
      <c r="F28" s="47" t="n">
        <v>-39902.2364864857</v>
      </c>
      <c r="G28" s="14" t="s">
        <v>639</v>
      </c>
      <c r="H28" s="47" t="n">
        <v>-197150.236486484</v>
      </c>
      <c r="I28" s="47" t="n">
        <v>157247.999999998</v>
      </c>
    </row>
    <row r="29" customFormat="false" ht="27.75" hidden="false" customHeight="true" outlineLevel="0" collapsed="false">
      <c r="B29" s="14" t="s">
        <v>619</v>
      </c>
      <c r="C29" s="14" t="s">
        <v>620</v>
      </c>
      <c r="D29" s="14" t="s">
        <v>621</v>
      </c>
      <c r="E29" s="14" t="s">
        <v>621</v>
      </c>
      <c r="F29" s="47" t="n">
        <v>-118526.236486487</v>
      </c>
      <c r="G29" s="14" t="s">
        <v>622</v>
      </c>
      <c r="H29" s="47" t="n">
        <v>-241383.850810811</v>
      </c>
      <c r="I29" s="47" t="n">
        <v>122857.614324324</v>
      </c>
    </row>
    <row r="30" customFormat="false" ht="27.75" hidden="false" customHeight="true" outlineLevel="0" collapsed="false">
      <c r="B30" s="14" t="s">
        <v>644</v>
      </c>
      <c r="C30" s="14" t="s">
        <v>26</v>
      </c>
      <c r="D30" s="14" t="s">
        <v>645</v>
      </c>
      <c r="E30" s="14" t="s">
        <v>646</v>
      </c>
      <c r="F30" s="47" t="n">
        <v>-118526.236486487</v>
      </c>
      <c r="G30" s="14" t="s">
        <v>647</v>
      </c>
      <c r="H30" s="47" t="n">
        <v>-236920.183445945</v>
      </c>
      <c r="I30" s="47" t="n">
        <v>118393.946959458</v>
      </c>
    </row>
    <row r="31" customFormat="false" ht="27.75" hidden="false" customHeight="true" outlineLevel="0" collapsed="false">
      <c r="B31" s="14" t="s">
        <v>648</v>
      </c>
      <c r="C31" s="14" t="s">
        <v>26</v>
      </c>
      <c r="D31" s="14" t="s">
        <v>649</v>
      </c>
      <c r="E31" s="14" t="s">
        <v>649</v>
      </c>
      <c r="F31" s="47" t="n">
        <v>-118526.236486487</v>
      </c>
      <c r="G31" s="14" t="s">
        <v>650</v>
      </c>
      <c r="H31" s="47" t="n">
        <v>-140823.533783785</v>
      </c>
      <c r="I31" s="47" t="n">
        <v>22297.2972972984</v>
      </c>
    </row>
    <row r="32" customFormat="false" ht="27.75" hidden="false" customHeight="true" outlineLevel="0" collapsed="false">
      <c r="B32" s="14" t="s">
        <v>390</v>
      </c>
      <c r="C32" s="14" t="s">
        <v>26</v>
      </c>
      <c r="D32" s="14" t="s">
        <v>651</v>
      </c>
      <c r="E32" s="14" t="s">
        <v>652</v>
      </c>
      <c r="F32" s="47" t="n">
        <v>-105012.722972973</v>
      </c>
      <c r="G32" s="14" t="s">
        <v>653</v>
      </c>
      <c r="H32" s="47" t="n">
        <v>-118526.236486487</v>
      </c>
      <c r="I32" s="47" t="n">
        <v>13513.5135135134</v>
      </c>
    </row>
    <row r="34" customFormat="false" ht="15" hidden="false" customHeight="false" outlineLevel="0" collapsed="false">
      <c r="B34" s="3" t="s">
        <v>655</v>
      </c>
      <c r="C34" s="3"/>
      <c r="D34" s="3"/>
      <c r="E34" s="3"/>
      <c r="F34" s="3"/>
      <c r="G34" s="3"/>
      <c r="H34" s="3"/>
      <c r="I34" s="3"/>
    </row>
    <row r="35" customFormat="false" ht="15" hidden="false" customHeight="false" outlineLevel="0" collapsed="false">
      <c r="B35" s="24" t="s">
        <v>4</v>
      </c>
      <c r="C35" s="24" t="s">
        <v>7</v>
      </c>
      <c r="D35" s="24" t="s">
        <v>606</v>
      </c>
      <c r="E35" s="24" t="s">
        <v>607</v>
      </c>
      <c r="F35" s="24" t="s">
        <v>608</v>
      </c>
      <c r="G35" s="24" t="s">
        <v>609</v>
      </c>
      <c r="H35" s="24" t="s">
        <v>608</v>
      </c>
      <c r="I35" s="24" t="s">
        <v>610</v>
      </c>
    </row>
    <row r="36" customFormat="false" ht="27.75" hidden="false" customHeight="true" outlineLevel="0" collapsed="false">
      <c r="B36" s="14" t="s">
        <v>615</v>
      </c>
      <c r="C36" s="14" t="s">
        <v>70</v>
      </c>
      <c r="D36" s="14" t="s">
        <v>86</v>
      </c>
      <c r="E36" s="14" t="s">
        <v>86</v>
      </c>
      <c r="F36" s="47" t="n">
        <v>695386.472972974</v>
      </c>
      <c r="G36" s="14" t="s">
        <v>87</v>
      </c>
      <c r="H36" s="47" t="n">
        <v>266068.905405406</v>
      </c>
      <c r="I36" s="47" t="n">
        <v>429317.567567568</v>
      </c>
    </row>
    <row r="37" customFormat="false" ht="27.75" hidden="false" customHeight="true" outlineLevel="0" collapsed="false">
      <c r="B37" s="14" t="s">
        <v>9</v>
      </c>
      <c r="C37" s="14" t="s">
        <v>11</v>
      </c>
      <c r="D37" s="14" t="s">
        <v>616</v>
      </c>
      <c r="E37" s="14" t="s">
        <v>617</v>
      </c>
      <c r="F37" s="47" t="n">
        <v>843228.611793613</v>
      </c>
      <c r="G37" s="14" t="s">
        <v>618</v>
      </c>
      <c r="H37" s="47" t="n">
        <v>514690.525525526</v>
      </c>
      <c r="I37" s="47" t="n">
        <v>328538.086268087</v>
      </c>
    </row>
    <row r="38" customFormat="false" ht="27.75" hidden="false" customHeight="true" outlineLevel="0" collapsed="false">
      <c r="B38" s="14" t="s">
        <v>623</v>
      </c>
      <c r="C38" s="14" t="s">
        <v>70</v>
      </c>
      <c r="D38" s="14" t="s">
        <v>86</v>
      </c>
      <c r="E38" s="14" t="s">
        <v>86</v>
      </c>
      <c r="F38" s="47" t="n">
        <v>695386.472972974</v>
      </c>
      <c r="G38" s="14" t="s">
        <v>624</v>
      </c>
      <c r="H38" s="47" t="n">
        <v>391236.202702703</v>
      </c>
      <c r="I38" s="47" t="n">
        <v>304150.270270271</v>
      </c>
    </row>
    <row r="39" customFormat="false" ht="27.75" hidden="false" customHeight="true" outlineLevel="0" collapsed="false">
      <c r="B39" s="14" t="s">
        <v>611</v>
      </c>
      <c r="C39" s="14" t="s">
        <v>11</v>
      </c>
      <c r="D39" s="14" t="s">
        <v>612</v>
      </c>
      <c r="E39" s="14" t="s">
        <v>613</v>
      </c>
      <c r="F39" s="47" t="n">
        <v>695386.472972974</v>
      </c>
      <c r="G39" s="14" t="s">
        <v>614</v>
      </c>
      <c r="H39" s="47" t="n">
        <v>427789.217567568</v>
      </c>
      <c r="I39" s="47" t="n">
        <v>267597.255405406</v>
      </c>
    </row>
    <row r="40" customFormat="false" ht="27.75" hidden="false" customHeight="true" outlineLevel="0" collapsed="false">
      <c r="B40" s="14" t="s">
        <v>640</v>
      </c>
      <c r="C40" s="14" t="s">
        <v>70</v>
      </c>
      <c r="D40" s="14" t="s">
        <v>641</v>
      </c>
      <c r="E40" s="14" t="s">
        <v>642</v>
      </c>
      <c r="F40" s="47" t="n">
        <v>786562.14864865</v>
      </c>
      <c r="G40" s="14" t="s">
        <v>643</v>
      </c>
      <c r="H40" s="47" t="n">
        <v>604210.797297299</v>
      </c>
      <c r="I40" s="47" t="n">
        <v>182351.351351351</v>
      </c>
    </row>
    <row r="41" customFormat="false" ht="27.75" hidden="false" customHeight="true" outlineLevel="0" collapsed="false">
      <c r="B41" s="14" t="s">
        <v>625</v>
      </c>
      <c r="C41" s="14" t="s">
        <v>626</v>
      </c>
      <c r="D41" s="14" t="s">
        <v>627</v>
      </c>
      <c r="E41" s="14" t="s">
        <v>627</v>
      </c>
      <c r="F41" s="47" t="n">
        <v>695386.472972974</v>
      </c>
      <c r="G41" s="14" t="s">
        <v>628</v>
      </c>
      <c r="H41" s="47" t="n">
        <v>517026.472972974</v>
      </c>
      <c r="I41" s="47" t="n">
        <v>178360</v>
      </c>
    </row>
    <row r="42" customFormat="false" ht="27.75" hidden="false" customHeight="true" outlineLevel="0" collapsed="false">
      <c r="B42" s="14" t="s">
        <v>629</v>
      </c>
      <c r="C42" s="14" t="s">
        <v>630</v>
      </c>
      <c r="D42" s="14" t="s">
        <v>631</v>
      </c>
      <c r="E42" s="14" t="s">
        <v>631</v>
      </c>
      <c r="F42" s="47" t="n">
        <v>695386.472972974</v>
      </c>
      <c r="G42" s="14" t="s">
        <v>632</v>
      </c>
      <c r="H42" s="47" t="n">
        <v>520666.472972974</v>
      </c>
      <c r="I42" s="47" t="n">
        <v>174720</v>
      </c>
    </row>
    <row r="43" customFormat="false" ht="27.75" hidden="false" customHeight="true" outlineLevel="0" collapsed="false">
      <c r="B43" s="14" t="s">
        <v>428</v>
      </c>
      <c r="C43" s="14" t="s">
        <v>11</v>
      </c>
      <c r="D43" s="14" t="s">
        <v>637</v>
      </c>
      <c r="E43" s="14" t="s">
        <v>638</v>
      </c>
      <c r="F43" s="47" t="n">
        <v>774010.472972974</v>
      </c>
      <c r="G43" s="14" t="s">
        <v>639</v>
      </c>
      <c r="H43" s="47" t="n">
        <v>616762.472972974</v>
      </c>
      <c r="I43" s="47" t="n">
        <v>157248.000000001</v>
      </c>
    </row>
    <row r="44" customFormat="false" ht="27.75" hidden="false" customHeight="true" outlineLevel="0" collapsed="false">
      <c r="B44" s="14" t="s">
        <v>644</v>
      </c>
      <c r="C44" s="14" t="s">
        <v>26</v>
      </c>
      <c r="D44" s="14" t="s">
        <v>645</v>
      </c>
      <c r="E44" s="14" t="s">
        <v>646</v>
      </c>
      <c r="F44" s="47" t="n">
        <v>695386.472972974</v>
      </c>
      <c r="G44" s="14" t="s">
        <v>647</v>
      </c>
      <c r="H44" s="47" t="n">
        <v>617688.161486487</v>
      </c>
      <c r="I44" s="47" t="n">
        <v>77698.3114864868</v>
      </c>
    </row>
    <row r="45" customFormat="false" ht="27.75" hidden="false" customHeight="true" outlineLevel="0" collapsed="false">
      <c r="B45" s="14" t="s">
        <v>619</v>
      </c>
      <c r="C45" s="14" t="s">
        <v>620</v>
      </c>
      <c r="D45" s="14" t="s">
        <v>621</v>
      </c>
      <c r="E45" s="14" t="s">
        <v>621</v>
      </c>
      <c r="F45" s="47" t="n">
        <v>695386.472972974</v>
      </c>
      <c r="G45" s="14" t="s">
        <v>622</v>
      </c>
      <c r="H45" s="47" t="n">
        <v>635871.605405406</v>
      </c>
      <c r="I45" s="47" t="n">
        <v>59514.8675675681</v>
      </c>
    </row>
    <row r="46" customFormat="false" ht="27.75" hidden="false" customHeight="true" outlineLevel="0" collapsed="false">
      <c r="B46" s="14" t="s">
        <v>656</v>
      </c>
      <c r="C46" s="14" t="s">
        <v>70</v>
      </c>
      <c r="D46" s="14" t="s">
        <v>657</v>
      </c>
      <c r="E46" s="14" t="s">
        <v>657</v>
      </c>
      <c r="F46" s="47" t="n">
        <v>695386.472972974</v>
      </c>
      <c r="G46" s="14" t="s">
        <v>658</v>
      </c>
      <c r="H46" s="47" t="n">
        <v>672341.875675676</v>
      </c>
      <c r="I46" s="47" t="n">
        <v>23044.5972972978</v>
      </c>
    </row>
    <row r="47" customFormat="false" ht="27.75" hidden="false" customHeight="true" outlineLevel="0" collapsed="false">
      <c r="B47" s="14" t="s">
        <v>648</v>
      </c>
      <c r="C47" s="14" t="s">
        <v>26</v>
      </c>
      <c r="D47" s="14" t="s">
        <v>649</v>
      </c>
      <c r="E47" s="14" t="s">
        <v>649</v>
      </c>
      <c r="F47" s="47" t="n">
        <v>695386.472972974</v>
      </c>
      <c r="G47" s="14" t="s">
        <v>650</v>
      </c>
      <c r="H47" s="47" t="n">
        <v>673089.175675676</v>
      </c>
      <c r="I47" s="47" t="n">
        <v>22297.2972972984</v>
      </c>
    </row>
    <row r="48" customFormat="false" ht="27.75" hidden="false" customHeight="true" outlineLevel="0" collapsed="false">
      <c r="B48" s="14" t="s">
        <v>390</v>
      </c>
      <c r="C48" s="14" t="s">
        <v>26</v>
      </c>
      <c r="D48" s="14" t="s">
        <v>651</v>
      </c>
      <c r="E48" s="14" t="s">
        <v>652</v>
      </c>
      <c r="F48" s="47" t="n">
        <v>708899.986486486</v>
      </c>
      <c r="G48" s="14" t="s">
        <v>653</v>
      </c>
      <c r="H48" s="47" t="n">
        <v>695386.472972974</v>
      </c>
      <c r="I48" s="47" t="n">
        <v>13513.513513512</v>
      </c>
    </row>
    <row r="50" customFormat="false" ht="15" hidden="false" customHeight="false" outlineLevel="0" collapsed="false">
      <c r="B50" s="3" t="s">
        <v>659</v>
      </c>
      <c r="C50" s="3"/>
      <c r="D50" s="3"/>
      <c r="E50" s="3"/>
      <c r="F50" s="3"/>
      <c r="G50" s="3"/>
      <c r="H50" s="3"/>
      <c r="I50" s="3"/>
    </row>
    <row r="51" customFormat="false" ht="15" hidden="false" customHeight="false" outlineLevel="0" collapsed="false">
      <c r="B51" s="24" t="s">
        <v>4</v>
      </c>
      <c r="C51" s="24" t="s">
        <v>7</v>
      </c>
      <c r="D51" s="24" t="s">
        <v>606</v>
      </c>
      <c r="E51" s="24" t="s">
        <v>607</v>
      </c>
      <c r="F51" s="24" t="s">
        <v>608</v>
      </c>
      <c r="G51" s="24" t="s">
        <v>609</v>
      </c>
      <c r="H51" s="24" t="s">
        <v>608</v>
      </c>
      <c r="I51" s="24" t="s">
        <v>610</v>
      </c>
    </row>
    <row r="52" customFormat="false" ht="27.75" hidden="false" customHeight="true" outlineLevel="0" collapsed="false">
      <c r="B52" s="14" t="s">
        <v>9</v>
      </c>
      <c r="C52" s="14" t="s">
        <v>11</v>
      </c>
      <c r="D52" s="14" t="s">
        <v>616</v>
      </c>
      <c r="E52" s="14" t="s">
        <v>617</v>
      </c>
      <c r="F52" s="47" t="n">
        <v>531651.406265358</v>
      </c>
      <c r="G52" s="14" t="s">
        <v>618</v>
      </c>
      <c r="H52" s="47" t="n">
        <v>133873.940990991</v>
      </c>
      <c r="I52" s="47" t="n">
        <v>397777.465274367</v>
      </c>
    </row>
    <row r="53" customFormat="false" ht="27.75" hidden="false" customHeight="true" outlineLevel="0" collapsed="false">
      <c r="B53" s="14" t="s">
        <v>611</v>
      </c>
      <c r="C53" s="14" t="s">
        <v>11</v>
      </c>
      <c r="D53" s="14" t="s">
        <v>612</v>
      </c>
      <c r="E53" s="14" t="s">
        <v>613</v>
      </c>
      <c r="F53" s="47" t="n">
        <v>730502.166891892</v>
      </c>
      <c r="G53" s="14" t="s">
        <v>614</v>
      </c>
      <c r="H53" s="47" t="n">
        <v>352651.546891892</v>
      </c>
      <c r="I53" s="47" t="n">
        <v>377850.62</v>
      </c>
    </row>
    <row r="54" customFormat="false" ht="27.75" hidden="false" customHeight="true" outlineLevel="0" collapsed="false">
      <c r="B54" s="14" t="s">
        <v>615</v>
      </c>
      <c r="C54" s="14" t="s">
        <v>70</v>
      </c>
      <c r="D54" s="14" t="s">
        <v>86</v>
      </c>
      <c r="E54" s="14" t="s">
        <v>86</v>
      </c>
      <c r="F54" s="47" t="n">
        <v>352651.546891892</v>
      </c>
      <c r="G54" s="14" t="s">
        <v>87</v>
      </c>
      <c r="H54" s="47" t="n">
        <v>26481.6950000003</v>
      </c>
      <c r="I54" s="47" t="n">
        <v>326169.851891892</v>
      </c>
    </row>
    <row r="55" customFormat="false" ht="27.75" hidden="false" customHeight="true" outlineLevel="0" collapsed="false">
      <c r="B55" s="14" t="s">
        <v>619</v>
      </c>
      <c r="C55" s="14" t="s">
        <v>620</v>
      </c>
      <c r="D55" s="14" t="s">
        <v>621</v>
      </c>
      <c r="E55" s="14" t="s">
        <v>621</v>
      </c>
      <c r="F55" s="47" t="n">
        <v>352651.546891892</v>
      </c>
      <c r="G55" s="14" t="s">
        <v>622</v>
      </c>
      <c r="H55" s="47" t="n">
        <v>118000.420135136</v>
      </c>
      <c r="I55" s="47" t="n">
        <v>234651.126756757</v>
      </c>
    </row>
    <row r="56" customFormat="false" ht="27.75" hidden="false" customHeight="true" outlineLevel="0" collapsed="false">
      <c r="B56" s="14" t="s">
        <v>623</v>
      </c>
      <c r="C56" s="14" t="s">
        <v>70</v>
      </c>
      <c r="D56" s="14" t="s">
        <v>86</v>
      </c>
      <c r="E56" s="14" t="s">
        <v>86</v>
      </c>
      <c r="F56" s="47" t="n">
        <v>352651.546891892</v>
      </c>
      <c r="G56" s="14" t="s">
        <v>624</v>
      </c>
      <c r="H56" s="47" t="n">
        <v>167082.776081082</v>
      </c>
      <c r="I56" s="47" t="n">
        <v>185568.77081081</v>
      </c>
    </row>
    <row r="57" customFormat="false" ht="27.75" hidden="false" customHeight="true" outlineLevel="0" collapsed="false">
      <c r="B57" s="14" t="s">
        <v>625</v>
      </c>
      <c r="C57" s="14" t="s">
        <v>626</v>
      </c>
      <c r="D57" s="14" t="s">
        <v>627</v>
      </c>
      <c r="E57" s="14" t="s">
        <v>627</v>
      </c>
      <c r="F57" s="47" t="n">
        <v>352651.546891892</v>
      </c>
      <c r="G57" s="14" t="s">
        <v>628</v>
      </c>
      <c r="H57" s="47" t="n">
        <v>174291.546891892</v>
      </c>
      <c r="I57" s="47" t="n">
        <v>178360</v>
      </c>
    </row>
    <row r="58" customFormat="false" ht="27.75" hidden="false" customHeight="true" outlineLevel="0" collapsed="false">
      <c r="B58" s="14" t="s">
        <v>629</v>
      </c>
      <c r="C58" s="14" t="s">
        <v>630</v>
      </c>
      <c r="D58" s="14" t="s">
        <v>631</v>
      </c>
      <c r="E58" s="14" t="s">
        <v>631</v>
      </c>
      <c r="F58" s="47" t="n">
        <v>352651.546891892</v>
      </c>
      <c r="G58" s="14" t="s">
        <v>632</v>
      </c>
      <c r="H58" s="47" t="n">
        <v>177931.546891892</v>
      </c>
      <c r="I58" s="47" t="n">
        <v>174720</v>
      </c>
    </row>
    <row r="59" customFormat="false" ht="27.75" hidden="false" customHeight="true" outlineLevel="0" collapsed="false">
      <c r="B59" s="14" t="s">
        <v>633</v>
      </c>
      <c r="C59" s="14" t="s">
        <v>634</v>
      </c>
      <c r="D59" s="14" t="s">
        <v>635</v>
      </c>
      <c r="E59" s="14" t="s">
        <v>635</v>
      </c>
      <c r="F59" s="47" t="n">
        <v>352651.546891892</v>
      </c>
      <c r="G59" s="14" t="s">
        <v>636</v>
      </c>
      <c r="H59" s="47" t="n">
        <v>188856.368513514</v>
      </c>
      <c r="I59" s="47" t="n">
        <v>163795.178378379</v>
      </c>
    </row>
    <row r="60" customFormat="false" ht="27.75" hidden="false" customHeight="true" outlineLevel="0" collapsed="false">
      <c r="B60" s="14" t="s">
        <v>428</v>
      </c>
      <c r="C60" s="14" t="s">
        <v>11</v>
      </c>
      <c r="D60" s="14" t="s">
        <v>637</v>
      </c>
      <c r="E60" s="14" t="s">
        <v>638</v>
      </c>
      <c r="F60" s="47" t="n">
        <v>431275.546891893</v>
      </c>
      <c r="G60" s="14" t="s">
        <v>639</v>
      </c>
      <c r="H60" s="47" t="n">
        <v>274027.546891894</v>
      </c>
      <c r="I60" s="47" t="n">
        <v>157247.999999999</v>
      </c>
    </row>
    <row r="61" customFormat="false" ht="27.75" hidden="false" customHeight="true" outlineLevel="0" collapsed="false">
      <c r="B61" s="14" t="s">
        <v>660</v>
      </c>
      <c r="C61" s="14" t="s">
        <v>661</v>
      </c>
      <c r="D61" s="14" t="s">
        <v>662</v>
      </c>
      <c r="E61" s="14" t="s">
        <v>663</v>
      </c>
      <c r="F61" s="47" t="n">
        <v>434556.623108109</v>
      </c>
      <c r="G61" s="14" t="s">
        <v>664</v>
      </c>
      <c r="H61" s="47" t="n">
        <v>352651.546891892</v>
      </c>
      <c r="I61" s="47" t="n">
        <v>81905.0762162162</v>
      </c>
    </row>
    <row r="62" customFormat="false" ht="27.75" hidden="false" customHeight="true" outlineLevel="0" collapsed="false">
      <c r="B62" s="14" t="s">
        <v>644</v>
      </c>
      <c r="C62" s="14" t="s">
        <v>26</v>
      </c>
      <c r="D62" s="14" t="s">
        <v>645</v>
      </c>
      <c r="E62" s="14" t="s">
        <v>646</v>
      </c>
      <c r="F62" s="47" t="n">
        <v>352651.546891892</v>
      </c>
      <c r="G62" s="14" t="s">
        <v>647</v>
      </c>
      <c r="H62" s="47" t="n">
        <v>271422.568425677</v>
      </c>
      <c r="I62" s="47" t="n">
        <v>81228.9784662151</v>
      </c>
    </row>
    <row r="63" customFormat="false" ht="27.75" hidden="false" customHeight="true" outlineLevel="0" collapsed="false">
      <c r="B63" s="14" t="s">
        <v>640</v>
      </c>
      <c r="C63" s="14" t="s">
        <v>70</v>
      </c>
      <c r="D63" s="14" t="s">
        <v>641</v>
      </c>
      <c r="E63" s="14" t="s">
        <v>642</v>
      </c>
      <c r="F63" s="47" t="n">
        <v>363525.552702703</v>
      </c>
      <c r="G63" s="14" t="s">
        <v>643</v>
      </c>
      <c r="H63" s="47" t="n">
        <v>309155.523648649</v>
      </c>
      <c r="I63" s="47" t="n">
        <v>54370.0290540541</v>
      </c>
    </row>
    <row r="64" customFormat="false" ht="27.75" hidden="false" customHeight="true" outlineLevel="0" collapsed="false">
      <c r="B64" s="14" t="s">
        <v>648</v>
      </c>
      <c r="C64" s="14" t="s">
        <v>26</v>
      </c>
      <c r="D64" s="14" t="s">
        <v>649</v>
      </c>
      <c r="E64" s="14" t="s">
        <v>649</v>
      </c>
      <c r="F64" s="47" t="n">
        <v>352651.546891892</v>
      </c>
      <c r="G64" s="14" t="s">
        <v>650</v>
      </c>
      <c r="H64" s="47" t="n">
        <v>330354.249594594</v>
      </c>
      <c r="I64" s="47" t="n">
        <v>22297.2972972984</v>
      </c>
    </row>
    <row r="65" customFormat="false" ht="27.75" hidden="false" customHeight="true" outlineLevel="0" collapsed="false">
      <c r="B65" s="14" t="s">
        <v>390</v>
      </c>
      <c r="C65" s="14" t="s">
        <v>26</v>
      </c>
      <c r="D65" s="14" t="s">
        <v>651</v>
      </c>
      <c r="E65" s="14" t="s">
        <v>653</v>
      </c>
      <c r="F65" s="47" t="n">
        <v>352651.546891892</v>
      </c>
      <c r="G65" s="14" t="s">
        <v>652</v>
      </c>
      <c r="H65" s="47" t="n">
        <v>333732.627972973</v>
      </c>
      <c r="I65" s="47" t="n">
        <v>18918.9189189193</v>
      </c>
    </row>
    <row r="67" customFormat="false" ht="15" hidden="false" customHeight="false" outlineLevel="0" collapsed="false">
      <c r="B67" s="3" t="s">
        <v>665</v>
      </c>
      <c r="C67" s="3"/>
      <c r="D67" s="3"/>
      <c r="E67" s="3"/>
      <c r="F67" s="3"/>
      <c r="G67" s="3"/>
      <c r="H67" s="3"/>
      <c r="I67" s="3"/>
    </row>
    <row r="68" customFormat="false" ht="15" hidden="false" customHeight="false" outlineLevel="0" collapsed="false">
      <c r="B68" s="24" t="s">
        <v>4</v>
      </c>
      <c r="C68" s="24" t="s">
        <v>7</v>
      </c>
      <c r="D68" s="24" t="s">
        <v>606</v>
      </c>
      <c r="E68" s="24" t="s">
        <v>607</v>
      </c>
      <c r="F68" s="24" t="s">
        <v>608</v>
      </c>
      <c r="G68" s="24" t="s">
        <v>609</v>
      </c>
      <c r="H68" s="24" t="s">
        <v>608</v>
      </c>
      <c r="I68" s="24" t="s">
        <v>610</v>
      </c>
    </row>
    <row r="69" customFormat="false" ht="27.75" hidden="false" customHeight="true" outlineLevel="0" collapsed="false">
      <c r="B69" s="14" t="s">
        <v>623</v>
      </c>
      <c r="C69" s="14" t="s">
        <v>70</v>
      </c>
      <c r="D69" s="14" t="s">
        <v>86</v>
      </c>
      <c r="E69" s="14" t="s">
        <v>86</v>
      </c>
      <c r="F69" s="47" t="n">
        <v>-390647.822972973</v>
      </c>
      <c r="G69" s="14" t="s">
        <v>624</v>
      </c>
      <c r="H69" s="47" t="n">
        <v>-1049012.89324325</v>
      </c>
      <c r="I69" s="47" t="n">
        <v>658365.070270273</v>
      </c>
    </row>
    <row r="70" customFormat="false" ht="27.75" hidden="false" customHeight="true" outlineLevel="0" collapsed="false">
      <c r="B70" s="14" t="s">
        <v>615</v>
      </c>
      <c r="C70" s="14" t="s">
        <v>70</v>
      </c>
      <c r="D70" s="14" t="s">
        <v>86</v>
      </c>
      <c r="E70" s="14" t="s">
        <v>86</v>
      </c>
      <c r="F70" s="47" t="n">
        <v>-390647.822972973</v>
      </c>
      <c r="G70" s="14" t="s">
        <v>87</v>
      </c>
      <c r="H70" s="47" t="n">
        <v>-1006094.76351351</v>
      </c>
      <c r="I70" s="47" t="n">
        <v>615446.940540541</v>
      </c>
    </row>
    <row r="71" customFormat="false" ht="27.75" hidden="false" customHeight="true" outlineLevel="0" collapsed="false">
      <c r="B71" s="14" t="s">
        <v>9</v>
      </c>
      <c r="C71" s="14" t="s">
        <v>11</v>
      </c>
      <c r="D71" s="14" t="s">
        <v>616</v>
      </c>
      <c r="E71" s="14" t="s">
        <v>617</v>
      </c>
      <c r="F71" s="47" t="n">
        <v>-144075.293611793</v>
      </c>
      <c r="G71" s="14" t="s">
        <v>618</v>
      </c>
      <c r="H71" s="47" t="n">
        <v>-692014.247747747</v>
      </c>
      <c r="I71" s="47" t="n">
        <v>547938.954135953</v>
      </c>
    </row>
    <row r="72" customFormat="false" ht="27.75" hidden="false" customHeight="true" outlineLevel="0" collapsed="false">
      <c r="B72" s="14" t="s">
        <v>611</v>
      </c>
      <c r="C72" s="14" t="s">
        <v>11</v>
      </c>
      <c r="D72" s="14" t="s">
        <v>612</v>
      </c>
      <c r="E72" s="14" t="s">
        <v>613</v>
      </c>
      <c r="F72" s="47" t="n">
        <v>-118526.236486487</v>
      </c>
      <c r="G72" s="14" t="s">
        <v>614</v>
      </c>
      <c r="H72" s="47" t="n">
        <v>-390647.822972973</v>
      </c>
      <c r="I72" s="47" t="n">
        <v>272121.586486486</v>
      </c>
    </row>
    <row r="73" customFormat="false" ht="27.75" hidden="false" customHeight="true" outlineLevel="0" collapsed="false">
      <c r="B73" s="14" t="s">
        <v>625</v>
      </c>
      <c r="C73" s="14" t="s">
        <v>626</v>
      </c>
      <c r="D73" s="14" t="s">
        <v>627</v>
      </c>
      <c r="E73" s="14" t="s">
        <v>627</v>
      </c>
      <c r="F73" s="47" t="n">
        <v>-390647.822972973</v>
      </c>
      <c r="G73" s="14" t="s">
        <v>628</v>
      </c>
      <c r="H73" s="47" t="n">
        <v>-569007.822972973</v>
      </c>
      <c r="I73" s="47" t="n">
        <v>178360</v>
      </c>
    </row>
    <row r="74" customFormat="false" ht="27.75" hidden="false" customHeight="true" outlineLevel="0" collapsed="false">
      <c r="B74" s="14" t="s">
        <v>629</v>
      </c>
      <c r="C74" s="14" t="s">
        <v>630</v>
      </c>
      <c r="D74" s="14" t="s">
        <v>631</v>
      </c>
      <c r="E74" s="14" t="s">
        <v>631</v>
      </c>
      <c r="F74" s="47" t="n">
        <v>-390647.822972973</v>
      </c>
      <c r="G74" s="14" t="s">
        <v>632</v>
      </c>
      <c r="H74" s="47" t="n">
        <v>-565367.822972973</v>
      </c>
      <c r="I74" s="47" t="n">
        <v>174720</v>
      </c>
    </row>
    <row r="75" customFormat="false" ht="27.75" hidden="false" customHeight="true" outlineLevel="0" collapsed="false">
      <c r="B75" s="14" t="s">
        <v>428</v>
      </c>
      <c r="C75" s="14" t="s">
        <v>11</v>
      </c>
      <c r="D75" s="14" t="s">
        <v>637</v>
      </c>
      <c r="E75" s="14" t="s">
        <v>638</v>
      </c>
      <c r="F75" s="47" t="n">
        <v>-312023.822972972</v>
      </c>
      <c r="G75" s="14" t="s">
        <v>639</v>
      </c>
      <c r="H75" s="47" t="n">
        <v>-469271.82297297</v>
      </c>
      <c r="I75" s="47" t="n">
        <v>157247.999999998</v>
      </c>
    </row>
    <row r="76" customFormat="false" ht="27.75" hidden="false" customHeight="true" outlineLevel="0" collapsed="false">
      <c r="B76" s="14" t="s">
        <v>644</v>
      </c>
      <c r="C76" s="14" t="s">
        <v>26</v>
      </c>
      <c r="D76" s="14" t="s">
        <v>645</v>
      </c>
      <c r="E76" s="14" t="s">
        <v>646</v>
      </c>
      <c r="F76" s="47" t="n">
        <v>-390647.822972973</v>
      </c>
      <c r="G76" s="14" t="s">
        <v>647</v>
      </c>
      <c r="H76" s="47" t="n">
        <v>-509041.769932431</v>
      </c>
      <c r="I76" s="47" t="n">
        <v>118393.946959458</v>
      </c>
    </row>
    <row r="77" customFormat="false" ht="27.75" hidden="false" customHeight="true" outlineLevel="0" collapsed="false">
      <c r="B77" s="14" t="s">
        <v>619</v>
      </c>
      <c r="C77" s="14" t="s">
        <v>620</v>
      </c>
      <c r="D77" s="14" t="s">
        <v>621</v>
      </c>
      <c r="E77" s="14" t="s">
        <v>621</v>
      </c>
      <c r="F77" s="47" t="n">
        <v>-390647.822972973</v>
      </c>
      <c r="G77" s="14" t="s">
        <v>622</v>
      </c>
      <c r="H77" s="47" t="n">
        <v>-505918.904324324</v>
      </c>
      <c r="I77" s="47" t="n">
        <v>115271.081351352</v>
      </c>
    </row>
    <row r="78" customFormat="false" ht="27.75" hidden="false" customHeight="true" outlineLevel="0" collapsed="false">
      <c r="B78" s="14" t="s">
        <v>660</v>
      </c>
      <c r="C78" s="14" t="s">
        <v>661</v>
      </c>
      <c r="D78" s="14" t="s">
        <v>662</v>
      </c>
      <c r="E78" s="14" t="s">
        <v>663</v>
      </c>
      <c r="F78" s="47" t="n">
        <v>-308742.746756757</v>
      </c>
      <c r="G78" s="14" t="s">
        <v>664</v>
      </c>
      <c r="H78" s="47" t="n">
        <v>-390647.822972973</v>
      </c>
      <c r="I78" s="47" t="n">
        <v>81905.0762162162</v>
      </c>
    </row>
    <row r="79" customFormat="false" ht="27.75" hidden="false" customHeight="true" outlineLevel="0" collapsed="false">
      <c r="B79" s="14" t="s">
        <v>648</v>
      </c>
      <c r="C79" s="14" t="s">
        <v>26</v>
      </c>
      <c r="D79" s="14" t="s">
        <v>649</v>
      </c>
      <c r="E79" s="14" t="s">
        <v>649</v>
      </c>
      <c r="F79" s="47" t="n">
        <v>-390647.822972973</v>
      </c>
      <c r="G79" s="14" t="s">
        <v>650</v>
      </c>
      <c r="H79" s="47" t="n">
        <v>-412945.120270271</v>
      </c>
      <c r="I79" s="47" t="n">
        <v>22297.2972972984</v>
      </c>
    </row>
    <row r="80" customFormat="false" ht="27.75" hidden="false" customHeight="true" outlineLevel="0" collapsed="false">
      <c r="B80" s="14" t="s">
        <v>390</v>
      </c>
      <c r="C80" s="14" t="s">
        <v>26</v>
      </c>
      <c r="D80" s="14" t="s">
        <v>651</v>
      </c>
      <c r="E80" s="14" t="s">
        <v>653</v>
      </c>
      <c r="F80" s="47" t="n">
        <v>-390647.822972973</v>
      </c>
      <c r="G80" s="14" t="s">
        <v>652</v>
      </c>
      <c r="H80" s="47" t="n">
        <v>-409566.741891892</v>
      </c>
      <c r="I80" s="47" t="n">
        <v>18918.9189189193</v>
      </c>
    </row>
    <row r="82" customFormat="false" ht="15" hidden="false" customHeight="false" outlineLevel="0" collapsed="false">
      <c r="B82" s="3" t="s">
        <v>666</v>
      </c>
      <c r="C82" s="3"/>
      <c r="D82" s="3"/>
      <c r="E82" s="3"/>
      <c r="F82" s="3"/>
      <c r="G82" s="3"/>
      <c r="H82" s="3"/>
      <c r="I82" s="3"/>
    </row>
    <row r="83" customFormat="false" ht="15" hidden="false" customHeight="false" outlineLevel="0" collapsed="false">
      <c r="B83" s="24" t="s">
        <v>4</v>
      </c>
      <c r="C83" s="24" t="s">
        <v>7</v>
      </c>
      <c r="D83" s="24" t="s">
        <v>606</v>
      </c>
      <c r="E83" s="24" t="s">
        <v>607</v>
      </c>
      <c r="F83" s="24" t="s">
        <v>608</v>
      </c>
      <c r="G83" s="24" t="s">
        <v>609</v>
      </c>
      <c r="H83" s="24" t="s">
        <v>608</v>
      </c>
      <c r="I83" s="24" t="s">
        <v>610</v>
      </c>
    </row>
    <row r="84" customFormat="false" ht="27.75" hidden="false" customHeight="true" outlineLevel="0" collapsed="false">
      <c r="B84" s="14" t="s">
        <v>615</v>
      </c>
      <c r="C84" s="14" t="s">
        <v>70</v>
      </c>
      <c r="D84" s="14" t="s">
        <v>86</v>
      </c>
      <c r="E84" s="14" t="s">
        <v>86</v>
      </c>
      <c r="F84" s="47" t="n">
        <v>427789.217567568</v>
      </c>
      <c r="G84" s="14" t="s">
        <v>87</v>
      </c>
      <c r="H84" s="47" t="n">
        <v>-8413.48513513524</v>
      </c>
      <c r="I84" s="47" t="n">
        <v>436202.702702703</v>
      </c>
    </row>
    <row r="85" customFormat="false" ht="27.75" hidden="false" customHeight="true" outlineLevel="0" collapsed="false">
      <c r="B85" s="14" t="s">
        <v>9</v>
      </c>
      <c r="C85" s="14" t="s">
        <v>11</v>
      </c>
      <c r="D85" s="14" t="s">
        <v>616</v>
      </c>
      <c r="E85" s="14" t="s">
        <v>617</v>
      </c>
      <c r="F85" s="47" t="n">
        <v>599958.37960688</v>
      </c>
      <c r="G85" s="14" t="s">
        <v>618</v>
      </c>
      <c r="H85" s="47" t="n">
        <v>217360.241741743</v>
      </c>
      <c r="I85" s="47" t="n">
        <v>382598.137865137</v>
      </c>
    </row>
    <row r="86" customFormat="false" ht="27.75" hidden="false" customHeight="true" outlineLevel="0" collapsed="false">
      <c r="B86" s="14" t="s">
        <v>623</v>
      </c>
      <c r="C86" s="14" t="s">
        <v>70</v>
      </c>
      <c r="D86" s="14" t="s">
        <v>86</v>
      </c>
      <c r="E86" s="14" t="s">
        <v>86</v>
      </c>
      <c r="F86" s="47" t="n">
        <v>427789.217567568</v>
      </c>
      <c r="G86" s="14" t="s">
        <v>624</v>
      </c>
      <c r="H86" s="47" t="n">
        <v>123238.406756757</v>
      </c>
      <c r="I86" s="47" t="n">
        <v>304550.810810811</v>
      </c>
    </row>
    <row r="87" customFormat="false" ht="27.75" hidden="false" customHeight="true" outlineLevel="0" collapsed="false">
      <c r="B87" s="14" t="s">
        <v>611</v>
      </c>
      <c r="C87" s="14" t="s">
        <v>11</v>
      </c>
      <c r="D87" s="14" t="s">
        <v>612</v>
      </c>
      <c r="E87" s="14" t="s">
        <v>613</v>
      </c>
      <c r="F87" s="47" t="n">
        <v>695386.472972974</v>
      </c>
      <c r="G87" s="14" t="s">
        <v>614</v>
      </c>
      <c r="H87" s="47" t="n">
        <v>427789.217567568</v>
      </c>
      <c r="I87" s="47" t="n">
        <v>267597.255405406</v>
      </c>
    </row>
    <row r="88" customFormat="false" ht="27.75" hidden="false" customHeight="true" outlineLevel="0" collapsed="false">
      <c r="B88" s="14" t="s">
        <v>625</v>
      </c>
      <c r="C88" s="14" t="s">
        <v>626</v>
      </c>
      <c r="D88" s="14" t="s">
        <v>627</v>
      </c>
      <c r="E88" s="14" t="s">
        <v>627</v>
      </c>
      <c r="F88" s="47" t="n">
        <v>427789.217567568</v>
      </c>
      <c r="G88" s="14" t="s">
        <v>628</v>
      </c>
      <c r="H88" s="47" t="n">
        <v>249429.217567569</v>
      </c>
      <c r="I88" s="47" t="n">
        <v>178360</v>
      </c>
    </row>
    <row r="89" customFormat="false" ht="27.75" hidden="false" customHeight="true" outlineLevel="0" collapsed="false">
      <c r="B89" s="14" t="s">
        <v>629</v>
      </c>
      <c r="C89" s="14" t="s">
        <v>630</v>
      </c>
      <c r="D89" s="14" t="s">
        <v>631</v>
      </c>
      <c r="E89" s="14" t="s">
        <v>631</v>
      </c>
      <c r="F89" s="47" t="n">
        <v>427789.217567568</v>
      </c>
      <c r="G89" s="14" t="s">
        <v>632</v>
      </c>
      <c r="H89" s="47" t="n">
        <v>253069.217567569</v>
      </c>
      <c r="I89" s="47" t="n">
        <v>174720</v>
      </c>
    </row>
    <row r="90" customFormat="false" ht="27.75" hidden="false" customHeight="true" outlineLevel="0" collapsed="false">
      <c r="B90" s="14" t="s">
        <v>428</v>
      </c>
      <c r="C90" s="14" t="s">
        <v>11</v>
      </c>
      <c r="D90" s="14" t="s">
        <v>637</v>
      </c>
      <c r="E90" s="14" t="s">
        <v>638</v>
      </c>
      <c r="F90" s="47" t="n">
        <v>506413.217567568</v>
      </c>
      <c r="G90" s="14" t="s">
        <v>639</v>
      </c>
      <c r="H90" s="47" t="n">
        <v>349165.217567568</v>
      </c>
      <c r="I90" s="47" t="n">
        <v>157248</v>
      </c>
    </row>
    <row r="91" customFormat="false" ht="27.75" hidden="false" customHeight="true" outlineLevel="0" collapsed="false">
      <c r="B91" s="14" t="s">
        <v>619</v>
      </c>
      <c r="C91" s="14" t="s">
        <v>620</v>
      </c>
      <c r="D91" s="14" t="s">
        <v>621</v>
      </c>
      <c r="E91" s="14" t="s">
        <v>621</v>
      </c>
      <c r="F91" s="47" t="n">
        <v>427789.217567568</v>
      </c>
      <c r="G91" s="14" t="s">
        <v>622</v>
      </c>
      <c r="H91" s="47" t="n">
        <v>291149.494594595</v>
      </c>
      <c r="I91" s="47" t="n">
        <v>136639.722972973</v>
      </c>
    </row>
    <row r="92" customFormat="false" ht="27.75" hidden="false" customHeight="true" outlineLevel="0" collapsed="false">
      <c r="B92" s="14" t="s">
        <v>640</v>
      </c>
      <c r="C92" s="14" t="s">
        <v>70</v>
      </c>
      <c r="D92" s="14" t="s">
        <v>641</v>
      </c>
      <c r="E92" s="14" t="s">
        <v>642</v>
      </c>
      <c r="F92" s="47" t="n">
        <v>446024.352702704</v>
      </c>
      <c r="G92" s="14" t="s">
        <v>643</v>
      </c>
      <c r="H92" s="47" t="n">
        <v>354848.67702703</v>
      </c>
      <c r="I92" s="47" t="n">
        <v>91175.6756756748</v>
      </c>
    </row>
    <row r="93" customFormat="false" ht="27.75" hidden="false" customHeight="true" outlineLevel="0" collapsed="false">
      <c r="B93" s="14" t="s">
        <v>644</v>
      </c>
      <c r="C93" s="14" t="s">
        <v>26</v>
      </c>
      <c r="D93" s="14" t="s">
        <v>645</v>
      </c>
      <c r="E93" s="14" t="s">
        <v>646</v>
      </c>
      <c r="F93" s="47" t="n">
        <v>427789.217567568</v>
      </c>
      <c r="G93" s="14" t="s">
        <v>647</v>
      </c>
      <c r="H93" s="47" t="n">
        <v>348026.919459459</v>
      </c>
      <c r="I93" s="47" t="n">
        <v>79762.2981081088</v>
      </c>
    </row>
    <row r="94" customFormat="false" ht="27.75" hidden="false" customHeight="true" outlineLevel="0" collapsed="false">
      <c r="B94" s="14" t="s">
        <v>648</v>
      </c>
      <c r="C94" s="14" t="s">
        <v>26</v>
      </c>
      <c r="D94" s="14" t="s">
        <v>649</v>
      </c>
      <c r="E94" s="14" t="s">
        <v>649</v>
      </c>
      <c r="F94" s="47" t="n">
        <v>427789.217567568</v>
      </c>
      <c r="G94" s="14" t="s">
        <v>650</v>
      </c>
      <c r="H94" s="47" t="n">
        <v>405491.92027027</v>
      </c>
      <c r="I94" s="47" t="n">
        <v>22297.2972972984</v>
      </c>
    </row>
    <row r="95" customFormat="false" ht="27.75" hidden="false" customHeight="true" outlineLevel="0" collapsed="false">
      <c r="B95" s="14" t="s">
        <v>390</v>
      </c>
      <c r="C95" s="14" t="s">
        <v>26</v>
      </c>
      <c r="D95" s="14" t="s">
        <v>651</v>
      </c>
      <c r="E95" s="14" t="s">
        <v>653</v>
      </c>
      <c r="F95" s="47" t="n">
        <v>427789.217567568</v>
      </c>
      <c r="G95" s="14" t="s">
        <v>652</v>
      </c>
      <c r="H95" s="47" t="n">
        <v>408870.298648648</v>
      </c>
      <c r="I95" s="47" t="n">
        <v>18918.9189189202</v>
      </c>
    </row>
    <row r="96" customFormat="false" ht="27.75" hidden="false" customHeight="true" outlineLevel="0" collapsed="false">
      <c r="B96" s="14" t="s">
        <v>656</v>
      </c>
      <c r="C96" s="14" t="s">
        <v>70</v>
      </c>
      <c r="D96" s="14" t="s">
        <v>657</v>
      </c>
      <c r="E96" s="14" t="s">
        <v>657</v>
      </c>
      <c r="F96" s="47" t="n">
        <v>427789.217567568</v>
      </c>
      <c r="G96" s="14" t="s">
        <v>658</v>
      </c>
      <c r="H96" s="47" t="n">
        <v>423180.298108108</v>
      </c>
      <c r="I96" s="47" t="n">
        <v>4608.91945945984</v>
      </c>
    </row>
  </sheetData>
  <mergeCells count="6">
    <mergeCell ref="B4:I4"/>
    <mergeCell ref="B20:I20"/>
    <mergeCell ref="B34:I34"/>
    <mergeCell ref="B50:I50"/>
    <mergeCell ref="B67:I67"/>
    <mergeCell ref="B82:I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8" min="5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B1" s="1" t="s">
        <v>667</v>
      </c>
    </row>
    <row r="2" customFormat="false" ht="15" hidden="false" customHeight="false" outlineLevel="0" collapsed="false">
      <c r="B2" s="2" t="s">
        <v>668</v>
      </c>
    </row>
    <row r="4" customFormat="false" ht="23.85" hidden="false" customHeight="false" outlineLevel="0" collapsed="false">
      <c r="B4" s="24" t="s">
        <v>669</v>
      </c>
      <c r="C4" s="24" t="s">
        <v>670</v>
      </c>
      <c r="D4" s="24" t="s">
        <v>671</v>
      </c>
      <c r="E4" s="24" t="s">
        <v>672</v>
      </c>
      <c r="F4" s="24" t="s">
        <v>673</v>
      </c>
      <c r="G4" s="24" t="s">
        <v>674</v>
      </c>
      <c r="H4" s="24" t="s">
        <v>675</v>
      </c>
    </row>
    <row r="5" customFormat="false" ht="30" hidden="false" customHeight="true" outlineLevel="0" collapsed="false">
      <c r="B5" s="14" t="s">
        <v>676</v>
      </c>
      <c r="C5" s="14" t="s">
        <v>86</v>
      </c>
      <c r="D5" s="14" t="s">
        <v>87</v>
      </c>
      <c r="E5" s="14" t="s">
        <v>677</v>
      </c>
      <c r="F5" s="47" t="n">
        <v>-323790.133783784</v>
      </c>
      <c r="G5" s="47" t="n">
        <v>-326169.851891892</v>
      </c>
      <c r="H5" s="14" t="s">
        <v>678</v>
      </c>
    </row>
    <row r="6" customFormat="false" ht="30" hidden="false" customHeight="true" outlineLevel="0" collapsed="false">
      <c r="B6" s="14" t="s">
        <v>676</v>
      </c>
      <c r="C6" s="14" t="s">
        <v>86</v>
      </c>
      <c r="D6" s="14" t="s">
        <v>87</v>
      </c>
      <c r="E6" s="14" t="s">
        <v>156</v>
      </c>
      <c r="F6" s="47" t="n">
        <v>-429317.567567568</v>
      </c>
      <c r="G6" s="47" t="n">
        <v>-436202.702702703</v>
      </c>
      <c r="H6" s="14" t="s">
        <v>678</v>
      </c>
    </row>
    <row r="7" customFormat="false" ht="30" hidden="false" customHeight="true" outlineLevel="0" collapsed="false">
      <c r="B7" s="14" t="s">
        <v>676</v>
      </c>
      <c r="C7" s="14" t="s">
        <v>86</v>
      </c>
      <c r="D7" s="14" t="s">
        <v>624</v>
      </c>
      <c r="E7" s="14" t="s">
        <v>677</v>
      </c>
      <c r="F7" s="47" t="n">
        <v>-182107.971621621</v>
      </c>
      <c r="G7" s="47" t="n">
        <v>-185568.77081081</v>
      </c>
      <c r="H7" s="14" t="s">
        <v>678</v>
      </c>
    </row>
    <row r="8" customFormat="false" ht="30" hidden="false" customHeight="true" outlineLevel="0" collapsed="false">
      <c r="B8" s="14" t="s">
        <v>676</v>
      </c>
      <c r="C8" s="14" t="s">
        <v>86</v>
      </c>
      <c r="D8" s="14" t="s">
        <v>624</v>
      </c>
      <c r="E8" s="14" t="s">
        <v>156</v>
      </c>
      <c r="F8" s="47" t="n">
        <v>-304150.270270271</v>
      </c>
      <c r="G8" s="47" t="n">
        <v>-304550.810810811</v>
      </c>
      <c r="H8" s="14" t="s">
        <v>678</v>
      </c>
    </row>
    <row r="9" customFormat="false" ht="30" hidden="false" customHeight="true" outlineLevel="0" collapsed="false">
      <c r="B9" s="14" t="s">
        <v>679</v>
      </c>
      <c r="C9" s="14" t="s">
        <v>631</v>
      </c>
      <c r="D9" s="14" t="s">
        <v>632</v>
      </c>
      <c r="E9" s="14" t="s">
        <v>680</v>
      </c>
      <c r="F9" s="47" t="n">
        <v>-174720</v>
      </c>
      <c r="G9" s="47" t="n">
        <v>-174720</v>
      </c>
      <c r="H9" s="14" t="s">
        <v>681</v>
      </c>
    </row>
    <row r="10" customFormat="false" ht="30" hidden="false" customHeight="true" outlineLevel="0" collapsed="false">
      <c r="B10" s="14" t="s">
        <v>682</v>
      </c>
      <c r="C10" s="14" t="s">
        <v>412</v>
      </c>
      <c r="D10" s="14" t="s">
        <v>683</v>
      </c>
      <c r="E10" s="14" t="s">
        <v>677</v>
      </c>
      <c r="F10" s="47" t="n">
        <v>-163795.178378379</v>
      </c>
      <c r="G10" s="47" t="n">
        <v>-163795.178378379</v>
      </c>
      <c r="H10" s="14" t="s">
        <v>684</v>
      </c>
    </row>
    <row r="11" customFormat="false" ht="30" hidden="false" customHeight="true" outlineLevel="0" collapsed="false">
      <c r="B11" s="14" t="s">
        <v>685</v>
      </c>
      <c r="C11" s="14" t="s">
        <v>686</v>
      </c>
      <c r="D11" s="14" t="s">
        <v>571</v>
      </c>
      <c r="E11" s="14" t="s">
        <v>687</v>
      </c>
      <c r="F11" s="47" t="n">
        <v>441153.14054054</v>
      </c>
      <c r="G11" s="47" t="n">
        <v>441153.14054054</v>
      </c>
      <c r="H11" s="14" t="s">
        <v>688</v>
      </c>
    </row>
    <row r="12" customFormat="false" ht="30" hidden="false" customHeight="true" outlineLevel="0" collapsed="false">
      <c r="B12" s="14" t="s">
        <v>689</v>
      </c>
      <c r="C12" s="14" t="s">
        <v>690</v>
      </c>
      <c r="D12" s="14" t="s">
        <v>691</v>
      </c>
      <c r="E12" s="14" t="s">
        <v>687</v>
      </c>
      <c r="F12" s="47" t="n">
        <v>326113.902027028</v>
      </c>
      <c r="G12" s="47" t="n">
        <v>188581.438513514</v>
      </c>
      <c r="H12" s="14" t="s">
        <v>684</v>
      </c>
    </row>
    <row r="13" customFormat="false" ht="30" hidden="false" customHeight="true" outlineLevel="0" collapsed="false">
      <c r="B13" s="14" t="s">
        <v>692</v>
      </c>
      <c r="C13" s="14" t="s">
        <v>693</v>
      </c>
      <c r="D13" s="14" t="s">
        <v>694</v>
      </c>
      <c r="E13" s="14" t="s">
        <v>695</v>
      </c>
      <c r="F13" s="47" t="n">
        <v>0</v>
      </c>
      <c r="G13" s="47" t="n">
        <v>81905.0762162162</v>
      </c>
      <c r="H13" s="14" t="s">
        <v>684</v>
      </c>
    </row>
    <row r="14" customFormat="false" ht="30" hidden="false" customHeight="true" outlineLevel="0" collapsed="false">
      <c r="B14" s="14" t="s">
        <v>656</v>
      </c>
      <c r="C14" s="14" t="s">
        <v>696</v>
      </c>
      <c r="D14" s="14" t="s">
        <v>697</v>
      </c>
      <c r="E14" s="14" t="s">
        <v>156</v>
      </c>
      <c r="F14" s="47" t="n">
        <v>-23044.5972972978</v>
      </c>
      <c r="G14" s="47" t="n">
        <v>-4608.91945945984</v>
      </c>
      <c r="H14" s="14" t="s">
        <v>156</v>
      </c>
    </row>
    <row r="15" customFormat="false" ht="30" hidden="false" customHeight="true" outlineLevel="0" collapsed="false">
      <c r="B15" s="14" t="s">
        <v>390</v>
      </c>
      <c r="C15" s="14" t="s">
        <v>698</v>
      </c>
      <c r="D15" s="14" t="s">
        <v>652</v>
      </c>
      <c r="E15" s="14" t="s">
        <v>680</v>
      </c>
      <c r="F15" s="47" t="n">
        <v>13513.5135135129</v>
      </c>
      <c r="G15" s="47" t="n">
        <v>-18918.9189189193</v>
      </c>
      <c r="H15" s="14" t="s">
        <v>699</v>
      </c>
    </row>
    <row r="16" customFormat="false" ht="30" hidden="false" customHeight="true" outlineLevel="0" collapsed="false">
      <c r="B16" s="14" t="s">
        <v>700</v>
      </c>
      <c r="C16" s="14" t="s">
        <v>701</v>
      </c>
      <c r="D16" s="14" t="s">
        <v>702</v>
      </c>
      <c r="E16" s="14" t="s">
        <v>677</v>
      </c>
      <c r="F16" s="47" t="n">
        <v>-75942.5267905397</v>
      </c>
      <c r="G16" s="47" t="n">
        <v>-81228.9784662151</v>
      </c>
      <c r="H16" s="14" t="s">
        <v>699</v>
      </c>
    </row>
    <row r="17" customFormat="false" ht="30" hidden="false" customHeight="true" outlineLevel="0" collapsed="false">
      <c r="B17" s="14" t="s">
        <v>700</v>
      </c>
      <c r="C17" s="14" t="s">
        <v>701</v>
      </c>
      <c r="D17" s="14" t="s">
        <v>702</v>
      </c>
      <c r="E17" s="14" t="s">
        <v>156</v>
      </c>
      <c r="F17" s="47" t="n">
        <v>-77698.3114864868</v>
      </c>
      <c r="G17" s="47" t="n">
        <v>-79762.2981081088</v>
      </c>
      <c r="H17" s="14" t="s">
        <v>699</v>
      </c>
    </row>
    <row r="18" customFormat="false" ht="30" hidden="false" customHeight="true" outlineLevel="0" collapsed="false">
      <c r="B18" s="14" t="s">
        <v>648</v>
      </c>
      <c r="C18" s="14" t="s">
        <v>703</v>
      </c>
      <c r="D18" s="14" t="s">
        <v>704</v>
      </c>
      <c r="E18" s="14" t="s">
        <v>680</v>
      </c>
      <c r="F18" s="47" t="n">
        <v>-22297.2972972984</v>
      </c>
      <c r="G18" s="47" t="n">
        <v>-22297.2972972984</v>
      </c>
      <c r="H18" s="14" t="s">
        <v>705</v>
      </c>
    </row>
    <row r="19" customFormat="false" ht="30" hidden="false" customHeight="true" outlineLevel="0" collapsed="false">
      <c r="B19" s="14" t="s">
        <v>706</v>
      </c>
      <c r="C19" s="14" t="s">
        <v>707</v>
      </c>
      <c r="D19" s="14" t="s">
        <v>708</v>
      </c>
      <c r="E19" s="14" t="s">
        <v>709</v>
      </c>
      <c r="F19" s="47" t="n">
        <v>-160751.351351351</v>
      </c>
      <c r="G19" s="47" t="n">
        <v>-226317.522972973</v>
      </c>
      <c r="H19" s="14" t="s">
        <v>710</v>
      </c>
    </row>
    <row r="20" customFormat="false" ht="30" hidden="false" customHeight="true" outlineLevel="0" collapsed="false">
      <c r="B20" s="14" t="s">
        <v>711</v>
      </c>
      <c r="C20" s="14" t="s">
        <v>712</v>
      </c>
      <c r="D20" s="14" t="s">
        <v>713</v>
      </c>
      <c r="E20" s="14" t="s">
        <v>684</v>
      </c>
      <c r="F20" s="47" t="n">
        <v>-2813.2</v>
      </c>
      <c r="G20" s="47"/>
      <c r="H20" s="14" t="s">
        <v>714</v>
      </c>
    </row>
    <row r="21" customFormat="false" ht="30" hidden="false" customHeight="true" outlineLevel="0" collapsed="false">
      <c r="B21" s="14" t="s">
        <v>715</v>
      </c>
      <c r="C21" s="14" t="s">
        <v>716</v>
      </c>
      <c r="D21" s="14" t="s">
        <v>717</v>
      </c>
      <c r="E21" s="14" t="s">
        <v>684</v>
      </c>
      <c r="F21" s="47"/>
      <c r="G21" s="47"/>
      <c r="H21" s="14" t="s">
        <v>718</v>
      </c>
    </row>
    <row r="22" customFormat="false" ht="30" hidden="false" customHeight="true" outlineLevel="0" collapsed="false">
      <c r="B22" s="14" t="s">
        <v>719</v>
      </c>
      <c r="C22" s="14" t="s">
        <v>720</v>
      </c>
      <c r="D22" s="14" t="s">
        <v>721</v>
      </c>
      <c r="E22" s="14" t="s">
        <v>156</v>
      </c>
      <c r="F22" s="47"/>
      <c r="G22" s="47"/>
      <c r="H22" s="14" t="s">
        <v>722</v>
      </c>
    </row>
    <row r="23" customFormat="false" ht="30" hidden="false" customHeight="true" outlineLevel="0" collapsed="false">
      <c r="B23" s="14" t="s">
        <v>723</v>
      </c>
      <c r="C23" s="14" t="s">
        <v>621</v>
      </c>
      <c r="D23" s="14" t="s">
        <v>724</v>
      </c>
      <c r="E23" s="14" t="s">
        <v>677</v>
      </c>
      <c r="F23" s="47" t="n">
        <v>-239460.653648649</v>
      </c>
      <c r="G23" s="47" t="n">
        <v>-234651.126756757</v>
      </c>
      <c r="H23" s="14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2026-10-12T15:26:41Z</dcterms:created>
  <dc:creator>openpyxl</dc:creator>
  <dc:description/>
  <dc:language>en-US</dc:language>
  <cp:lastModifiedBy/>
  <dcterms:modified xsi:type="dcterms:W3CDTF">2026-10-12T15:26:41Z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