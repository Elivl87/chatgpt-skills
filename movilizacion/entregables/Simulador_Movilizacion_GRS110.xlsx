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Método" sheetId="2" state="visible" r:id="rId4"/>
    <sheet name="Real 2024" sheetId="3" state="visible" r:id="rId5"/>
    <sheet name="Real 2025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  <sheet name="Verificación Excel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<sst xmlns="http://schemas.openxmlformats.org/spreadsheetml/2006/main" count="1611" uniqueCount="836">
  <si>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</si>
  <si>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</si>
  <si>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</si>
  <si>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</si>
  <si>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1b. HORAS EXCEDIDAS, BLOQUEOS, BONO WO Y COSTO DEL POZO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</si>
  <si>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</si>
  <si>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</si>
  <si>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</si>
  <si>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</si>
  <si>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</si>
  <si>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</si>
  <si>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</si>
  <si>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Premisa SierraCol</t>
  </si>
  <si>
    <t xml:space="preserve">Tarifas.xlsx · E3 (fija para el ejercicio)</t>
  </si>
  <si>
    <t xml:space="preserve">¿Se cobran equipos y señalizadores por hora por encima del tiempo estipulado? (Cot. 1255 p. 5)</t>
  </si>
  <si>
    <t xml:space="preserve">Sí</t>
  </si>
  <si>
    <t xml:space="preserve">Tarifa del taladro (24 h)</t>
  </si>
  <si>
    <t xml:space="preserve">USD/día</t>
  </si>
  <si>
    <t xml:space="preserve">Medido</t>
  </si>
  <si>
    <t xml:space="preserve">Tarifas.xlsx · E5</t>
  </si>
  <si>
    <t xml:space="preserve">Señalizadores por hora excedida: 20 × 54.375 COP (Cot. 1255 p. 5)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</si>
  <si>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</si>
  <si>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</si>
  <si>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</si>
  <si>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</si>
  <si>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Meses bloqueados en la campaña (no se puede mover; contrato vigente)</t>
  </si>
  <si>
    <t xml:space="preserve">Oferta que se muestra en la fila 88 (solo detalle)</t>
  </si>
  <si>
    <t xml:space="preserve">Petro Star tarifa normal</t>
  </si>
  <si>
    <t xml:space="preserve">Selección</t>
  </si>
  <si>
    <t xml:space="preserve">Lista: las 3 ofertas (Lump Sum con y sin descuento)</t>
  </si>
  <si>
    <t xml:space="preserve">Bono del Work Order por mover más rápido (% sobre la tarifa) · tabla WO por horas pendiente</t>
  </si>
  <si>
    <t xml:space="preserve">Adicionales sobre tarifa base (Petro Star normal y Ecotransur)</t>
  </si>
  <si>
    <t xml:space="preserve">%</t>
  </si>
  <si>
    <t xml:space="preserve">Tarifas.xlsx · E7. Se cancela con el WO; ver Pendientes</t>
  </si>
  <si>
    <t xml:space="preserve">Costo de un pozo en LCI, solo perforación (USD) · SierraCol: 500–600 k</t>
  </si>
  <si>
    <t xml:space="preserve">Adicionales sobre Lump Sum</t>
  </si>
  <si>
    <t xml:space="preserve">Tarifas.xlsx · E8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</si>
  <si>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</si>
  <si>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</si>
  <si>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</si>
  <si>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</si>
  <si>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</si>
  <si>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</si>
  <si>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</si>
  <si>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</si>
  <si>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</si>
  <si>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</si>
  <si>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</si>
  <si>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</si>
  <si>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</si>
  <si>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</si>
  <si>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</si>
  <si>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</si>
  <si>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</si>
  <si>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</si>
  <si>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</si>
  <si>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</si>
  <si>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</si>
  <si>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</si>
  <si>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</si>
  <si>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</si>
  <si>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</si>
  <si>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</si>
  <si>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</si>
  <si>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Decisión de modelo</t>
  </si>
  <si>
    <t xml:space="preserve">Aplica a toda movilización: misma loc. 1 turno, demás rangos 2 turnos</t>
  </si>
  <si>
    <t xml:space="preserve">Reducción de la frecuencia por tiempo no productivo (NPT)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</si>
  <si>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</si>
  <si>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</si>
  <si>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</si>
  <si>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</si>
  <si>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</si>
  <si>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</si>
  <si>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</si>
  <si>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</si>
  <si>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Confirmado por SierraCol: 0,1–5 km</t>
  </si>
  <si>
    <t xml:space="preserve">Total de pozos (movilizaciones)</t>
  </si>
  <si>
    <t xml:space="preserve">Máximo 60 en la tabla de detalle</t>
  </si>
  <si>
    <t xml:space="preserve">Frecuencia mensual</t>
  </si>
  <si>
    <t xml:space="preserve">Constante</t>
  </si>
  <si>
    <t xml:space="preserve">Esperado: 5 a 6 movs/mes (SierraCol). Perfil 2024 / Perfil 2025 = meses reales de los logs</t>
  </si>
  <si>
    <t xml:space="preserve">Movilizaciones por mes si la frecuencia es constante</t>
  </si>
  <si>
    <t xml:space="preserve">Rango esperado 5–6; ver Sensibilidad (4 a 8)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</si>
  <si>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</si>
  <si>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</si>
  <si>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</si>
  <si>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</si>
  <si>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</si>
  <si>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</si>
  <si>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</si>
  <si>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</si>
  <si>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</si>
  <si>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</si>
  <si>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</si>
  <si>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</si>
  <si>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</si>
  <si>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</si>
  <si>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</si>
  <si>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Tiempo estipulado por el transportador (h): por encima se cobran equipos y señalizadores por hora</t>
  </si>
  <si>
    <t xml:space="preserve">Medido · Ecotransur = supuesto</t>
  </si>
  <si>
    <t xml:space="preserve">Cot. 1255 p. 1–2 'Tiempo total' y p. 5 (Ecotransur no declara tiempos)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</si>
  <si>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</si>
  <si>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</si>
  <si>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</si>
  <si>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</si>
  <si>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</si>
  <si>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</si>
  <si>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</si>
  <si>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</si>
  <si>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</si>
  <si>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</si>
  <si>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</si>
  <si>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</si>
  <si>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</si>
  <si>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</si>
  <si>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</si>
  <si>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</si>
  <si>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</si>
  <si>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</si>
  <si>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</si>
  <si>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</si>
  <si>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</si>
  <si>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</si>
  <si>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</si>
  <si>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</si>
  <si>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</si>
  <si>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</si>
  <si>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</si>
  <si>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</si>
  <si>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</si>
  <si>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</si>
  <si>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</si>
  <si>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</si>
  <si>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</si>
  <si>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</si>
  <si>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</si>
  <si>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Equipos de la flota mínima por hora excedida (COP/h)</t>
  </si>
  <si>
    <t xml:space="preserve">Estimado</t>
  </si>
  <si>
    <t xml:space="preserve">Flota mínima Cot. 1255 p. 1–2 a tarifa por hora p. 5 (Ecotransur: mismas tarifas, supuesto)</t>
  </si>
  <si>
    <t xml:space="preserve">Cobro por horas excedidas (equipos + señalizadores), por movilización</t>
  </si>
  <si>
    <t xml:space="preserve">Cero con las horas del Excel; aparece si las horas superan el tiempo estipulado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</si>
  <si>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</si>
  <si>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</si>
  <si>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</si>
  <si>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</si>
  <si>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</si>
  <si>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</si>
  <si>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</si>
  <si>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</si>
  <si>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</si>
  <si>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</si>
  <si>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</si>
  <si>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</si>
  <si>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COSTO DE LA CAMPAÑA CON EL PERFIL ELEGIDO (ilustrativo; el resultado es la frontera, sección 6)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</si>
  <si>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</si>
  <si>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</si>
  <si>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</si>
  <si>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</si>
  <si>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</si>
  <si>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</si>
  <si>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</si>
  <si>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Control</t>
  </si>
  <si>
    <t xml:space="preserve">Ahorro por pozo (USD)</t>
  </si>
  <si>
    <t xml:space="preserve">Ahorro como % del costo de un pozo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</si>
  <si>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</si>
  <si>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</si>
  <si>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</si>
  <si>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</si>
  <si>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elegida en C10 (detalle)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</si>
  <si>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</si>
  <si>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</si>
  <si>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</si>
  <si>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</si>
  <si>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</si>
  <si>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</si>
  <si>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</si>
  <si>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</si>
  <si>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</si>
  <si>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</si>
  <si>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</si>
  <si>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</si>
  <si>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</si>
  <si>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</si>
  <si>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</si>
  <si>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</si>
  <si>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</si>
  <si>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</si>
  <si>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</si>
  <si>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</si>
  <si>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</si>
  <si>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</si>
  <si>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campaña se alarga; un mes que queda sin movilizaciones dentro de la campaña paga el cargo fijo de 0 movilizaciones (contrato vigente).</t>
  </si>
  <si>
    <t xml:space="preserve">Mes de campaña</t>
  </si>
  <si>
    <t xml:space="preserve">Movs/mes del perfil (movs)</t>
  </si>
  <si>
    <t xml:space="preserve">Capacidad con NPT (movs)</t>
  </si>
  <si>
    <t xml:space="preserve">Capacidad acumulada (movs)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</si>
  <si>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</si>
  <si>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</si>
  <si>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</si>
  <si>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</si>
  <si>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</si>
  <si>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</si>
  <si>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</si>
  <si>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</si>
  <si>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</si>
  <si>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</si>
  <si>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</si>
  <si>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</si>
  <si>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</si>
  <si>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</si>
  <si>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</si>
  <si>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</si>
  <si>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</si>
  <si>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</si>
  <si>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</si>
  <si>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Nota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</si>
  <si>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</si>
  <si>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</si>
  <si>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</si>
  <si>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</si>
  <si>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Bono por mover más rápido</t>
  </si>
  <si>
    <t xml:space="preserve">Escalón por banda de horas</t>
  </si>
  <si>
    <t xml:space="preserve">Bandas de horas de la tabla WO (pendiente)</t>
  </si>
  <si>
    <t xml:space="preserve">Las tarifas del Excel son 'más de X horas' (banda lenta). Mover más rápido sube la tarifa del WO: el WO puede costar más que en el caso base.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</si>
  <si>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</si>
  <si>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</si>
  <si>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</si>
  <si>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</si>
  <si>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</si>
  <si>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</si>
  <si>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</si>
  <si>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</si>
  <si>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</si>
  <si>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</si>
  <si>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</si>
  <si>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</si>
  <si>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</si>
  <si>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</si>
  <si>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</si>
  <si>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</si>
  <si>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</si>
  <si>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</si>
  <si>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</si>
  <si>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Mes bloqueado (no se puede mover)</t>
  </si>
  <si>
    <t xml:space="preserve">Fijo mensual</t>
  </si>
  <si>
    <t xml:space="preserve">Mes con 0 movilizaciones y contrato vigente</t>
  </si>
  <si>
    <t xml:space="preserve">Petro Star 160.751 · Ecotransur 226.318 USD por mes. Con el WO, 0.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</si>
  <si>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</si>
  <si>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</si>
  <si>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</si>
  <si>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</si>
  <si>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estipulado</t>
  </si>
  <si>
    <t xml:space="preserve">Acantilado</t>
  </si>
  <si>
    <t xml:space="preserve">Tiempo total 12/24/36/36 h</t>
  </si>
  <si>
    <t xml:space="preserve">Se paga el taladro por hora (1.456 USD) y además equipos y señalizadores por hora (~1.357 USD; Cot. 1255 p. 5). Con el WO, 0.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</si>
  <si>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</si>
  <si>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</si>
  <si>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</si>
  <si>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</si>
  <si>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</si>
  <si>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</si>
  <si>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</si>
  <si>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</si>
  <si>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</si>
  <si>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</si>
  <si>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</si>
  <si>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</si>
  <si>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</si>
  <si>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</si>
  <si>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</si>
  <si>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</si>
  <si>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</si>
  <si>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</si>
  <si>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</si>
  <si>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</si>
  <si>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</si>
  <si>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</si>
  <si>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</si>
  <si>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</si>
  <si>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</si>
  <si>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</si>
  <si>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</si>
  <si>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</si>
  <si>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</si>
  <si>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</si>
  <si>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</si>
  <si>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</si>
  <si>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</si>
  <si>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</si>
  <si>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</si>
  <si>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</si>
  <si>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</si>
  <si>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</si>
  <si>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</si>
  <si>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</si>
  <si>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</si>
  <si>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</si>
  <si>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</si>
  <si>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</si>
  <si>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</si>
  <si>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</si>
  <si>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</si>
  <si>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</si>
  <si>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</si>
  <si>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</si>
  <si>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</si>
  <si>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</si>
  <si>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</si>
  <si>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</si>
  <si>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</si>
  <si>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</si>
  <si>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</si>
  <si>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</si>
  <si>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</si>
  <si>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</si>
  <si>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</si>
  <si>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</si>
  <si>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</si>
  <si>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Costo con horas Excel (USD)</t>
  </si>
  <si>
    <t xml:space="preserve">Ahorro con horas Excel (USD)</t>
  </si>
  <si>
    <t xml:space="preserve">Costo con horas reales (USD)</t>
  </si>
  <si>
    <t xml:space="preserve">Ahorro con horas reales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</si>
  <si>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</si>
  <si>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</si>
  <si>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</si>
  <si>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</si>
  <si>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</si>
  <si>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</si>
  <si>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</si>
  <si>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</si>
  <si>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</si>
  <si>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</si>
  <si>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</si>
  <si>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</si>
  <si>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</si>
  <si>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Work Order (USD)</t>
  </si>
  <si>
    <t xml:space="preserve">PS normal, horas Excel (USD)</t>
  </si>
  <si>
    <t xml:space="preserve">LS sin desc., horas Excel (USD)</t>
  </si>
  <si>
    <t xml:space="preserve">LS con desc. (ref.), horas Excel (USD)</t>
  </si>
  <si>
    <t xml:space="preserve">Ecotransur, horas Excel (USD)</t>
  </si>
  <si>
    <t xml:space="preserve">PS normal, horas reales (USD)</t>
  </si>
  <si>
    <t xml:space="preserve">LS sin desc., horas reales (USD)</t>
  </si>
  <si>
    <t xml:space="preserve">LS con desc. (ref.), horas reales (USD)</t>
  </si>
  <si>
    <t xml:space="preserve">Ecotransur, horas reales (USD)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</si>
  <si>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</si>
  <si>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</si>
  <si>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</si>
  <si>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</si>
  <si>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</si>
  <si>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</si>
  <si>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</si>
  <si>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</si>
  <si>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</si>
  <si>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</si>
  <si>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</si>
  <si>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</si>
  <si>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</si>
  <si>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</si>
  <si>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</si>
  <si>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</si>
  <si>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</si>
  <si>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</si>
  <si>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</si>
  <si>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</si>
  <si>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</si>
  <si>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</si>
  <si>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</si>
  <si>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</si>
  <si>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</si>
  <si>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</si>
  <si>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</si>
  <si>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</si>
  <si>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</si>
  <si>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</si>
  <si>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</si>
  <si>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</si>
  <si>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</si>
  <si>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</si>
  <si>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</si>
  <si>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</si>
  <si>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</si>
  <si>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</si>
  <si>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</si>
  <si>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</si>
  <si>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</si>
  <si>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</si>
  <si>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</si>
  <si>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</si>
  <si>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</si>
  <si>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</si>
  <si>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</si>
  <si>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</si>
  <si>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</si>
  <si>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</si>
  <si>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</si>
  <si>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</si>
  <si>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</si>
  <si>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</si>
  <si>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</si>
  <si>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</si>
  <si>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</si>
  <si>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</si>
  <si>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</si>
  <si>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</si>
  <si>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</si>
  <si>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</si>
  <si>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</si>
  <si>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</si>
  <si>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</si>
  <si>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</si>
  <si>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</si>
  <si>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</si>
  <si>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</si>
  <si>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</si>
  <si>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</si>
  <si>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</si>
  <si>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</si>
  <si>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</si>
  <si>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</si>
  <si>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</si>
  <si>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</si>
  <si>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</si>
  <si>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</si>
  <si>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</si>
  <si>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</si>
  <si>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</si>
  <si>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</si>
  <si>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</si>
  <si>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</si>
  <si>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</si>
  <si>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</si>
  <si>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</si>
  <si>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</si>
  <si>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Columnas M–P usan las horas del Excel; Q–T, las horas reales del log. Ahorro positivo = el tercerizado cuesta menos.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</si>
  <si>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</si>
  <si>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</si>
  <si>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</si>
  <si>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</si>
  <si>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</si>
  <si>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</si>
  <si>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</si>
  <si>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</si>
  <si>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</si>
  <si>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</si>
  <si>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</si>
  <si>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</si>
  <si>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</si>
  <si>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</si>
  <si>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</si>
  <si>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</si>
  <si>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</si>
  <si>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</si>
  <si>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</si>
  <si>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</si>
  <si>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</si>
  <si>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</si>
  <si>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</si>
  <si>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</si>
  <si>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</si>
  <si>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</si>
  <si>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</si>
  <si>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</si>
  <si>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</si>
  <si>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</si>
  <si>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</si>
  <si>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</si>
  <si>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</si>
  <si>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</si>
  <si>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</si>
  <si>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</si>
  <si>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</si>
  <si>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</si>
  <si>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</si>
  <si>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</si>
  <si>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</si>
  <si>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</si>
  <si>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</si>
  <si>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</si>
  <si>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</si>
  <si>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Reconciliación: de dónde sale cada parámetro</t>
  </si>
  <si>
    <t xml:space="preserve">Valor en simulador = enlace vivo (verde). Valor en fuente = copiado del archivo original. Control = OK si coinciden; el control solo es válido con los valores por defecto del simulador.</t>
  </si>
  <si>
    <t xml:space="preserve">Parámetro</t>
  </si>
  <si>
    <t xml:space="preserve">Valor en simulador</t>
  </si>
  <si>
    <t xml:space="preserve">Valor en fuente</t>
  </si>
  <si>
    <t xml:space="preserve">Fuente (archivo · celda o página)</t>
  </si>
  <si>
    <t xml:space="preserve">TRM (COP/USD)</t>
  </si>
  <si>
    <t xml:space="preserve">Tarifas.xlsx · E3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</si>
  <si>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</si>
  <si>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</si>
  <si>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</si>
  <si>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</si>
  <si>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</si>
  <si>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</si>
  <si>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</si>
  <si>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</si>
  <si>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</si>
  <si>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</si>
  <si>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</si>
  <si>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</si>
  <si>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</si>
  <si>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</si>
  <si>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</si>
  <si>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</si>
  <si>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</si>
  <si>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</si>
  <si>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</si>
  <si>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</si>
  <si>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</si>
  <si>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</si>
  <si>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</si>
  <si>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</si>
  <si>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</si>
  <si>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</si>
  <si>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</si>
  <si>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</si>
  <si>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</si>
  <si>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</si>
  <si>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</si>
  <si>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</si>
  <si>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</si>
  <si>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</si>
  <si>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</si>
  <si>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</si>
  <si>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</si>
  <si>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</si>
  <si>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</si>
  <si>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</si>
  <si>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</si>
  <si>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</si>
  <si>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</si>
  <si>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</si>
  <si>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</si>
  <si>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</si>
  <si>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</si>
  <si>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</si>
  <si>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</si>
  <si>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</si>
  <si>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</si>
  <si>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</si>
  <si>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</si>
  <si>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</si>
  <si>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</si>
  <si>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</si>
  <si>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</si>
  <si>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</si>
  <si>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</si>
  <si>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</si>
  <si>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</si>
  <si>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</si>
  <si>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</si>
  <si>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</si>
  <si>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</si>
  <si>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</si>
  <si>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</si>
  <si>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</si>
  <si>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</si>
  <si>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</si>
  <si>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</si>
  <si>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</si>
  <si>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</si>
  <si>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</si>
  <si>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</si>
  <si>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</si>
  <si>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</si>
  <si>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</si>
  <si>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</si>
  <si>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</si>
  <si>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</si>
  <si>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</si>
  <si>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</si>
  <si>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</si>
  <si>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</si>
  <si>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</si>
  <si>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</si>
  <si>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</si>
  <si>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</si>
  <si>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</si>
  <si>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</si>
  <si>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</si>
  <si>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</si>
  <si>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</si>
  <si>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</si>
  <si>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</si>
  <si>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</si>
  <si>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</si>
  <si>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</si>
  <si>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</si>
  <si>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</si>
  <si>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</si>
  <si>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</si>
  <si>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</si>
  <si>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</si>
  <si>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</si>
  <si>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</si>
  <si>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</si>
  <si>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</si>
  <si>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</si>
  <si>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</si>
  <si>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</si>
  <si>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</si>
  <si>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</si>
  <si>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</si>
  <si>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</si>
  <si>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</si>
  <si>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</si>
  <si>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</si>
  <si>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Confirmado por SierraCol.</t>
  </si>
  <si>
    <t xml:space="preserve">Frecuencia esperada 5–6 movs/mes</t>
  </si>
  <si>
    <t xml:space="preserve">Sensibilidad de 4 a 8 movs/mes.</t>
  </si>
  <si>
    <t xml:space="preserve">TRM 3.700</t>
  </si>
  <si>
    <t xml:space="preserve">Fija para el ejercicio.</t>
  </si>
  <si>
    <t xml:space="preserve">Tiempo estipulado de Ecotransur = el de Petro Star (12/24/36/36 h) y mismas tarifas por hora</t>
  </si>
  <si>
    <t xml:space="preserve">Supuesto</t>
  </si>
  <si>
    <t xml:space="preserve">Su carta no declara tiempos ni tarifas horarias.</t>
  </si>
  <si>
    <t xml:space="preserve">Bono del WO por mover más rápido = 0 %</t>
  </si>
  <si>
    <t xml:space="preserve">Pendiente</t>
  </si>
  <si>
    <t xml:space="preserve">Falta la tabla del WO por horas.</t>
  </si>
  <si>
    <t xml:space="preserve">Meses bloqueados = 0</t>
  </si>
  <si>
    <t xml:space="preserve">Riesgo operativo</t>
  </si>
  <si>
    <t xml:space="preserve">Cada mes bloqueado paga el cargo fijo de 0 movilizaciones.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</si>
  <si>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</si>
  <si>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</si>
  <si>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</si>
  <si>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</si>
  <si>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</si>
  <si>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</si>
  <si>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</si>
  <si>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</si>
  <si>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</si>
  <si>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</si>
  <si>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Fin de campaña = fin del contrato (no se cobra)</t>
  </si>
  <si>
    <t xml:space="preserve">Solo los bloqueos con contrato vigente pagan cargo fijo.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</si>
  <si>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</si>
  <si>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</si>
  <si>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</si>
  <si>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de qué depende que haya o no ahorro</t>
  </si>
  <si>
    <t xml:space="preserve">Ahorro = costo WO − costo tercerizado (USD); positivo = el tercerizado cuesta menos. Campaña 15 misma loc. + 20 en 0,1–5 km, TRM 3.700. Valores calculados con tools/sensibilidad.py (mismo motor que el simulador); no se recalculan al editar.</t>
  </si>
  <si>
    <t xml:space="preserve">1. FRECUENCIA: AHORRO DE LA CAMPAÑA SEGÚN MOVILIZACIONES POR MES (esperado 5–6)</t>
  </si>
  <si>
    <t xml:space="preserve">Movs/mes</t>
  </si>
  <si>
    <t xml:space="preserve">PS normal · horas Excel</t>
  </si>
  <si>
    <t xml:space="preserve">Lump Sum · horas Excel</t>
  </si>
  <si>
    <t xml:space="preserve">Ecotransur · horas Excel</t>
  </si>
  <si>
    <t xml:space="preserve">PS normal · horas cotizadas</t>
  </si>
  <si>
    <t xml:space="preserve">Lump Sum · horas cotizadas</t>
  </si>
  <si>
    <t xml:space="preserve">Ecotransur · horas cotizadas</t>
  </si>
  <si>
    <t xml:space="preserve">4</t>
  </si>
  <si>
    <t xml:space="preserve">4,5</t>
  </si>
  <si>
    <t xml:space="preserve">5</t>
  </si>
  <si>
    <t xml:space="preserve">5,5</t>
  </si>
  <si>
    <t xml:space="preserve">6</t>
  </si>
  <si>
    <t xml:space="preserve">6,5</t>
  </si>
  <si>
    <t xml:space="preserve">7</t>
  </si>
  <si>
    <t xml:space="preserve">8</t>
  </si>
  <si>
    <t xml:space="preserve">Horas cotizadas = 12/24/36/36 h (Cot. 1255). Con frecuencias no enteras se alternan meses (p. ej. 5,5 = meses de 6 y de 5). El último mes de la campaña puede quedar corto y pagar cargo fijo: por eso la curva tiene dientes.</t>
  </si>
  <si>
    <t xml:space="preserve">2. PUNTOS DE QUIEBRE: CUÁNTO AGUANTA EL AHORRO ANTES DE DESAPARECER</t>
  </si>
  <si>
    <t xml:space="preserve">Oferta</t>
  </si>
  <si>
    <t xml:space="preserve">Ahorro campaña (USD)</t>
  </si>
  <si>
    <t xml:space="preserve">% del costo de un pozo (550 k)</t>
  </si>
  <si>
    <t xml:space="preserve">Horas extra de taladro por movilización que lo anulan</t>
  </si>
  <si>
    <t xml:space="preserve">Horas sobre el tiempo estipulado que lo anulan (taladro + equipos)</t>
  </si>
  <si>
    <t xml:space="preserve">Días de taladro de demora en toda la campaña que lo anulan</t>
  </si>
  <si>
    <t xml:space="preserve">Meses bloqueados que lo anulan</t>
  </si>
  <si>
    <t xml:space="preserve">Petro Star normal</t>
  </si>
  <si>
    <t xml:space="preserve">Hora excedida en el tercerizado: taladro 1.456 + equipos y señalizadores 1.357 = 2.813 USD/h (Cot. 1255 p. 5). En el Work Order cuesta 0. Un mes bloqueado: Petro Star 160.751 · Ecotransur 226.318 USD.</t>
  </si>
  <si>
    <t xml:space="preserve">3. LO QUE PASÓ CON LAS HORAS REALES (logs): campañas 2024 y 2025 repetidas con cada modelo</t>
  </si>
  <si>
    <t xml:space="preserve">Año</t>
  </si>
  <si>
    <t xml:space="preserve">Ahorro con horas Excel</t>
  </si>
  <si>
    <t xml:space="preserve">Ahorro con horas reales (solo taladro)</t>
  </si>
  <si>
    <t xml:space="preserve">Ahorro con horas reales + equipos por hora excedida</t>
  </si>
  <si>
    <t xml:space="preserve">Movilizaciones que exceden el tiempo estipulado</t>
  </si>
  <si>
    <t xml:space="preserve">Horas excedidas</t>
  </si>
  <si>
    <t xml:space="preserve">Equipos y señalizadores (USD)</t>
  </si>
  <si>
    <t xml:space="preserve">Taladro en esas horas (USD)</t>
  </si>
  <si>
    <t xml:space="preserve">2024</t>
  </si>
  <si>
    <t xml:space="preserve">Lump Sum</t>
  </si>
  <si>
    <t xml:space="preserve">2025</t>
  </si>
  <si>
    <t xml:space="preserve">Horas reales: el taladro se paga por las horas reales (más o menos que el Excel). Las horas por encima de 12/24/36/36 h se cobran además en equipos y señalizadores (Cot. 1255 p. 5; Ecotransur con las mismas tarifas, supuesto).</t>
  </si>
  <si>
    <t xml:space="preserve">4. TORNADO · Petro Star tarifa normal · 5 movs/mes · ahorro base 199.754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</si>
  <si>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</si>
  <si>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</si>
  <si>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</si>
  <si>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</si>
  <si>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</si>
  <si>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Premisa (5–6)</t>
  </si>
  <si>
    <t xml:space="preserve">5/mes</t>
  </si>
  <si>
    <t xml:space="preserve">6/mes</t>
  </si>
  <si>
    <t xml:space="preserve">Horas por encima del tiempo estipulado (taladro + equipos)</t>
  </si>
  <si>
    <t xml:space="preserve">Medido (logs)</t>
  </si>
  <si>
    <t xml:space="preserve">0 h</t>
  </si>
  <si>
    <t xml:space="preserve">+2 h sobre 12/24/36/36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</si>
  <si>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</si>
  <si>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</si>
  <si>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</si>
  <si>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</t>
  </si>
  <si>
    <t xml:space="preserve">se cobra</t>
  </si>
  <si>
    <t xml:space="preserve">Sobretiempo en cada movilización (solo taladro)</t>
  </si>
  <si>
    <t xml:space="preserve">+3,5 h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</si>
  <si>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</si>
  <si>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</si>
  <si>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</si>
  <si>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</si>
  <si>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Horas de taladro por movilización</t>
  </si>
  <si>
    <t xml:space="preserve">Dato Excel vs cotización</t>
  </si>
  <si>
    <t xml:space="preserve">Excel 12/18/24/28</t>
  </si>
  <si>
    <t xml:space="preserve">Petro Star 12/24/36/36</t>
  </si>
  <si>
    <t xml:space="preserve">Meses bloqueados (contrato vigente)</t>
  </si>
  <si>
    <t xml:space="preserve">0</t>
  </si>
  <si>
    <t xml:space="preserve">1 mes</t>
  </si>
  <si>
    <t xml:space="preserve">34.944 USD/día</t>
  </si>
  <si>
    <t xml:space="preserve">−10 %</t>
  </si>
  <si>
    <t xml:space="preserve">+10 %</t>
  </si>
  <si>
    <t xml:space="preserve">Bono del Work Order por mover más rápido</t>
  </si>
  <si>
    <t xml:space="preserve">Pendiente (tabla WO)</t>
  </si>
  <si>
    <t xml:space="preserve">+5 % al WO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</si>
  <si>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</si>
  <si>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</si>
  <si>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</si>
  <si>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</si>
  <si>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</si>
  <si>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</si>
  <si>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</si>
  <si>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por movilización</t>
  </si>
  <si>
    <t xml:space="preserve">60 M COP fijo por mes</t>
  </si>
  <si>
    <t xml:space="preserve">4. TORNADO · Petro Star Lump Sum (sin descuento) · 5 movs/mes · ahorro base -405.194 USD</t>
  </si>
  <si>
    <t xml:space="preserve">4. TORNADO · Ecotransur · 5 movs/mes · ahorro base 558.122 USD</t>
  </si>
  <si>
    <t xml:space="preserve">4. TORNADO · Petro Star tarifa normal · 6 movs/mes · ahorro base 572.947 USD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</si>
  <si>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</si>
  <si>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</si>
  <si>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</si>
  <si>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</si>
  <si>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4. TORNADO · Petro Star Lump Sum (sin descuento) · 6 movs/mes · ahorro base -159.479 USD</t>
  </si>
  <si>
    <t xml:space="preserve">4. TORNADO · Ecotransur · 6 movs/mes · ahorro base 635.872 USD</t>
  </si>
  <si>
    <t xml:space="preserve">Ecotransur 6ª+ en misma localización</t>
  </si>
  <si>
    <t xml:space="preserve">equipos 0–5 km</t>
  </si>
  <si>
    <t xml:space="preserve">tarifa plena</t>
  </si>
  <si>
    <t xml:space="preserve">Pendientes por confirmar: valor de trabajo y lo que está en juego</t>
  </si>
  <si>
    <t xml:space="preserve">En juego = cambio del ahorro del tercerizado (USD) si el valor de trabajo cambia por la alternativa. Negativo = el tercerizado pierde ventaja. Campaña 15 + 20 en 0,1–5 km; columnas con 5 y 6 movs/mes. Valores fijos de tools/sensibilidad.py.</t>
  </si>
  <si>
    <t xml:space="preserve">Valor de trabajo</t>
  </si>
  <si>
    <t xml:space="preserve">Alternativa</t>
  </si>
  <si>
    <t xml:space="preserve">Oferta afectada</t>
  </si>
  <si>
    <t xml:space="preserve">En juego con 5 movs/mes (USD)</t>
  </si>
  <si>
    <t xml:space="preserve">En juego con 6 movs/mes (USD)</t>
  </si>
  <si>
    <t xml:space="preserve">Quién confirma</t>
  </si>
  <si>
    <t xml:space="preserve">Tabla del Work Order por horas (bono por mover más rápido)</t>
  </si>
  <si>
    <t xml:space="preserve">Tarifa 'más de X horas' (la más baja)</t>
  </si>
  <si>
    <t xml:space="preserve">Tarifas de bandas más rápidas</t>
  </si>
  <si>
    <t xml:space="preserve">Todas (favorece al tercerizado)</t>
  </si>
  <si>
    <t xml:space="preserve">SierraCol (contrato WO). Valor mostrado: +5 % al WO</t>
  </si>
  <si>
    <t xml:space="preserve">Horas que se pagan al taladro</t>
  </si>
  <si>
    <t xml:space="preserve">Todas (igual)</t>
  </si>
  <si>
    <t xml:space="preserve">SierraCol / Petro Star</t>
  </si>
  <si>
    <t xml:space="preserve">Mes bloqueado (no se puede mover; contrato vigente)</t>
  </si>
  <si>
    <t xml:space="preserve">0 meses</t>
  </si>
  <si>
    <t xml:space="preserve">Petro Star (ambas)</t>
  </si>
  <si>
    <t xml:space="preserve">Operaciones / contrato (¿cláusula de suspensión?)</t>
  </si>
  <si>
    <t xml:space="preserve">Operaciones / contrato</t>
  </si>
  <si>
    <t xml:space="preserve">Hora por encima del tiempo estipulado (por hora y movilización)</t>
  </si>
  <si>
    <t xml:space="preserve">Sin exceso</t>
  </si>
  <si>
    <t xml:space="preserve">1 hora</t>
  </si>
  <si>
    <t xml:space="preserve">Todas</t>
  </si>
  <si>
    <t xml:space="preserve">Cot. 1255 p. 5 y condición 7 · Ecotransur: mismas tarifas (supuesto)</t>
  </si>
  <si>
    <t xml:space="preserve">Tiempo perdido en perforación (NPT) que baja la frecuencia</t>
  </si>
  <si>
    <t xml:space="preserve">SierraCol (plan de pozos)</t>
  </si>
  <si>
    <t xml:space="preserve">Lump Sum: valores del Excel vs Cot. 1255</t>
  </si>
  <si>
    <t xml:space="preserve">Excel (F)</t>
  </si>
  <si>
    <t xml:space="preserve">Compras (SCM)</t>
  </si>
  <si>
    <t xml:space="preserve">Lump Sum con descuento desde la 6ª (solo referencia)</t>
  </si>
  <si>
    <t xml:space="preserve">Sin descuento</t>
  </si>
  <si>
    <t xml:space="preserve">50 % desde la 6ª</t>
  </si>
  <si>
    <t xml:space="preserve">Petro Star</t>
  </si>
  <si>
    <t xml:space="preserve">Petro Star: ¿cobra cargo fijo con 5 movs?</t>
  </si>
  <si>
    <t xml:space="preserve">Sí (tabla p. 4)</t>
  </si>
  <si>
    <t xml:space="preserve">No (mínimo 5 cumplido)</t>
  </si>
  <si>
    <t xml:space="preserve">Equipos 0–5 km</t>
  </si>
  <si>
    <t xml:space="preserve">Tarifa plena</t>
  </si>
  <si>
    <t xml:space="preserve">Ecotransur 6ª+: ¿cobra además el personal operativo usado (señaleras, supervisión)?</t>
  </si>
  <si>
    <t xml:space="preserve">No (solo equipos)</t>
  </si>
  <si>
    <t xml:space="preserve">Ecotransur (carta p. 4)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</si>
  <si>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</si>
  <si>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</si>
  <si>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</si>
  <si>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</si>
  <si>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</si>
  <si>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 (8 personas-turno)</t>
  </si>
  <si>
    <t xml:space="preserve">No se carga</t>
  </si>
  <si>
    <t xml:space="preserve">SierraCol (contrato WO)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</si>
  <si>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</si>
  <si>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</si>
  <si>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</si>
  <si>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</si>
  <si>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A/B, tiempos estipulados)</t>
  </si>
  <si>
    <t xml:space="preserve">Ítems 1.3/1.9/1.15/1.21 del Excel</t>
  </si>
  <si>
    <t xml:space="preserve">Ítem según horas reales</t>
  </si>
  <si>
    <t xml:space="preserve">Ecotransur (enviar formato)</t>
  </si>
  <si>
    <t xml:space="preserve">Riesgos no cuantificados: coordinación taladro–transportador, HSE y daños (pólizas), disponibilidad, salida del contrato, pago en COP</t>
  </si>
  <si>
    <t xml:space="preserve">Sin valorar</t>
  </si>
  <si>
    <t xml:space="preserve">—</t>
  </si>
  <si>
    <t xml:space="preserve">Contratos / HSE</t>
  </si>
  <si>
    <t xml:space="preserve">Verificación línea por línea de Tarifas.xlsx (Zona 1 y tarifas WO)</t>
  </si>
  <si>
    <t xml:space="preserve">Cada línea se recalculó desde sus componentes. 'Suma global' = tarifa + taladro + Truck Manager + adicionales. Control = OK si la suma reproduce la celda amarilla.</t>
  </si>
  <si>
    <t xml:space="preserve">Rango</t>
  </si>
  <si>
    <t xml:space="preserve">Celda de tarifa</t>
  </si>
  <si>
    <t xml:space="preserve">Tarifa (USD)</t>
  </si>
  <si>
    <t xml:space="preserve">Taladro (USD)</t>
  </si>
  <si>
    <t xml:space="preserve">Truck Manager (USD)</t>
  </si>
  <si>
    <t xml:space="preserve">Suma global (USD)</t>
  </si>
  <si>
    <t xml:space="preserve">WO + señalizadoras (USD)</t>
  </si>
  <si>
    <t xml:space="preserve">Misma loc. (&lt;0,2 km)</t>
  </si>
  <si>
    <t xml:space="preserve">E25 = 140.385.441 COP / E3</t>
  </si>
  <si>
    <t xml:space="preserve">OK</t>
  </si>
  <si>
    <t xml:space="preserve">Sin descuento en el Excel (Zona 1 es tarifa plena)</t>
  </si>
  <si>
    <t xml:space="preserve">Petro Star Lump Sum</t>
  </si>
  <si>
    <t xml:space="preserve">F25 = 178.363.885 COP / E3</t>
  </si>
  <si>
    <t xml:space="preserve">Sin descuento en el Excel (Zona 1 es tarifa plena); ≠ Cot. 1255 (ver Pendientes)</t>
  </si>
  <si>
    <t xml:space="preserve">G25 = 140.233.002 COP / E3</t>
  </si>
  <si>
    <t xml:space="preserve">E51 = 220.853.084 COP / E3</t>
  </si>
  <si>
    <t xml:space="preserve">F51 = 304.284.690 COP / E3</t>
  </si>
  <si>
    <t xml:space="preserve">G51 = 207.703.002 COP / E3</t>
  </si>
  <si>
    <t xml:space="preserve">E77 = 238.462.998 COP / E3</t>
  </si>
  <si>
    <t xml:space="preserve">F77 = 373.649.874 COP / E3</t>
  </si>
  <si>
    <t xml:space="preserve">G77 = 249.003.002 COP / E3</t>
  </si>
  <si>
    <t xml:space="preserve">E103 = 246.462.998 COP / E3</t>
  </si>
  <si>
    <t xml:space="preserve">F103 = 414.800.928 COP / E3</t>
  </si>
  <si>
    <t xml:space="preserve">G103 = 253.060.002 COP / E3</t>
  </si>
  <si>
    <t xml:space="preserve">SEÑALIZADORAS Y DESCUENTOS: DÓNDE SE APLICAN</t>
  </si>
  <si>
    <t xml:space="preserve">Cómo está aplicado</t>
  </si>
  <si>
    <t xml:space="preserve">Ofertas: 20 incluidas (10 por turno). WO: 12 (6 por turno). Faltan 4 por turno = 8 personas en plantilla. Recargo al WO: 4 × 375.000 COP × 1 turno = 405,41 USD (misma loc., 12 h) y × 2 turnos = 810,81 USD (demás rangos). Tarifas.xlsx K8:L11 y Simulador fila 50. No se cobran del lado tercerizado. Observación: el rango de más de 10 km dura 28 h (&gt; 24 h): estrictamente serían 3 turnos (+405 USD por movilización).</t>
  </si>
  <si>
    <t xml:space="preserve">Descuento Petro Star normal</t>
  </si>
  <si>
    <t xml:space="preserve">50 % de la tarifa desde la 6ª movilización del mes (Cot. 1255 p. 2). Solo sobre la tarifa del transportador; el taladro y el Truck Manager se pagan completos. Simulador fila 56/63.</t>
  </si>
  <si>
    <t xml:space="preserve">Evaluación principal sin descuento (SierraCol). La columna 'con descuento' es solo referencia.</t>
  </si>
  <si>
    <t xml:space="preserve">Desde la 5ª no cobra cargo fijo; desde la 6ª cobra solo equipos (123,18 / 139,005 / 167,055 M COP). Simulador filas 60/67.</t>
  </si>
  <si>
    <t xml:space="preserve">Cargo fijo mensual</t>
  </si>
  <si>
    <t xml:space="preserve">Petro Star: tabla p. 4 de 0 a 5 movilizaciones (con 5 todavía cobra). Ecotransur: 80/60/40/20 % de 1 a 4. Simulador filas 72–78.</t>
  </si>
  <si>
    <t xml:space="preserve">Si una movilización supera el tiempo estipulado (12/24/36/36 h), se paga el taladro por esas horas y además equipos de la flota mínima y señalizadores por hora (Cot. 1255 p. 5). Simulador filas 41, 68, 69 y panel 1b.</t>
  </si>
  <si>
    <t xml:space="preserve">Bono del Work Order</t>
  </si>
  <si>
    <t xml:space="preserve">Las tarifas WO del Excel son los ítems 'más de X horas' (la banda más lenta). Si el contratista mueve más rápido, el WO paga una tarifa mayor (bono). Sin la tabla WO por horas se deja como % editable (Simulador N10) en 0.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</si>
</sst>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"/>
    <numFmt numFmtId="169" formatCode="0.0%;\(0.0%\);\-"/>
    <numFmt numFmtId="170" formatCode="#,##0.0;\(#,##0.0\);\-"/>
    <numFmt numFmtId="171" formatCode="0.0"/>
    <numFmt numFmtId="172" formatCode="dd\-mmm\-yy"/>
    <numFmt numFmtId="173" formatCode="0.00"/>
    <numFmt numFmtId="174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  <c r="K5" s="3" t="s">
        <v>4</v>
      </c>
      <c r="L5" s="3"/>
      <c r="M5" s="3"/>
      <c r="N5" s="3"/>
    </row>
    <row r="6" customFormat="false" ht="15" hidden="false" customHeight="false" outlineLevel="0" collapsed="false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/>
      <c r="H6" s="4"/>
      <c r="I6" s="4"/>
      <c r="K6" s="4" t="s">
        <v>5</v>
      </c>
      <c r="L6" s="4"/>
      <c r="M6" s="4"/>
      <c r="N6" s="4" t="s">
        <v>6</v>
      </c>
    </row>
    <row r="7" customFormat="false" ht="30" hidden="false" customHeight="true" outlineLevel="0" collapsed="false">
      <c r="B7" s="5" t="s">
        <v>10</v>
      </c>
      <c r="C7" s="6" t="n">
        <v>3700</v>
      </c>
      <c r="D7" s="5" t="s">
        <v>11</v>
      </c>
      <c r="E7" s="5" t="s">
        <v>12</v>
      </c>
      <c r="F7" s="5" t="s">
        <v>13</v>
      </c>
      <c r="G7" s="5"/>
      <c r="H7" s="5"/>
      <c r="I7" s="5"/>
      <c r="K7" s="7" t="s">
        <v>14</v>
      </c>
      <c r="L7" s="7"/>
      <c r="M7" s="7"/>
      <c r="N7" s="8" t="s">
        <v>15</v>
      </c>
    </row>
    <row r="8" customFormat="false" ht="30" hidden="false" customHeight="true" outlineLevel="0" collapsed="false">
      <c r="B8" s="5" t="s">
        <v>16</v>
      </c>
      <c r="C8" s="9" t="n">
        <v>34944</v>
      </c>
      <c r="D8" s="5" t="s">
        <v>17</v>
      </c>
      <c r="E8" s="5" t="s">
        <v>18</v>
      </c>
      <c r="F8" s="5" t="s">
        <v>19</v>
      </c>
      <c r="G8" s="5"/>
      <c r="H8" s="5"/>
      <c r="I8" s="5"/>
      <c r="K8" s="7" t="s">
        <v>20</v>
      </c>
      <c r="L8" s="7"/>
      <c r="M8" s="7"/>
      <c r="N8" s="10" t="n">
        <v>1087500</v>
      </c>
    </row>
    <row r="9" customFormat="false" ht="30" hidden="false" customHeight="true" outlineLevel="0" collapsed="false">
      <c r="B9" s="5" t="s">
        <v>21</v>
      </c>
      <c r="C9" s="11" t="n">
        <f aca="false">C8/24</f>
        <v>1456</v>
      </c>
      <c r="D9" s="5" t="s">
        <v>22</v>
      </c>
      <c r="E9" s="5" t="s">
        <v>23</v>
      </c>
      <c r="F9" s="5" t="s">
        <v>24</v>
      </c>
      <c r="G9" s="5"/>
      <c r="H9" s="5"/>
      <c r="I9" s="5"/>
      <c r="K9" s="7" t="s">
        <v>25</v>
      </c>
      <c r="L9" s="7"/>
      <c r="M9" s="7"/>
      <c r="N9" s="12" t="n">
        <v>0</v>
      </c>
    </row>
    <row r="10" customFormat="false" ht="30" hidden="false" customHeight="true" outlineLevel="0" collapsed="false">
      <c r="B10" s="5" t="s">
        <v>26</v>
      </c>
      <c r="C10" s="13" t="s">
        <v>27</v>
      </c>
      <c r="D10" s="5"/>
      <c r="E10" s="5" t="s">
        <v>28</v>
      </c>
      <c r="F10" s="5" t="s">
        <v>29</v>
      </c>
      <c r="G10" s="5"/>
      <c r="H10" s="5"/>
      <c r="I10" s="5"/>
      <c r="K10" s="7" t="s">
        <v>30</v>
      </c>
      <c r="L10" s="7"/>
      <c r="M10" s="7"/>
      <c r="N10" s="14" t="n">
        <v>0</v>
      </c>
    </row>
    <row r="11" customFormat="false" ht="30" hidden="false" customHeight="true" outlineLevel="0" collapsed="false">
      <c r="B11" s="5" t="s">
        <v>31</v>
      </c>
      <c r="C11" s="14" t="n">
        <v>0</v>
      </c>
      <c r="D11" s="5" t="s">
        <v>32</v>
      </c>
      <c r="E11" s="5" t="s">
        <v>12</v>
      </c>
      <c r="F11" s="5" t="s">
        <v>33</v>
      </c>
      <c r="G11" s="5"/>
      <c r="H11" s="5"/>
      <c r="I11" s="5"/>
      <c r="K11" s="7" t="s">
        <v>34</v>
      </c>
      <c r="L11" s="7"/>
      <c r="M11" s="7"/>
      <c r="N11" s="15" t="n">
        <v>550000</v>
      </c>
    </row>
    <row r="12" customFormat="false" ht="15" hidden="false" customHeight="false" outlineLevel="0" collapsed="false">
      <c r="B12" s="5" t="s">
        <v>35</v>
      </c>
      <c r="C12" s="14" t="n">
        <v>0</v>
      </c>
      <c r="D12" s="5" t="s">
        <v>32</v>
      </c>
      <c r="E12" s="5" t="s">
        <v>12</v>
      </c>
      <c r="F12" s="5" t="s">
        <v>36</v>
      </c>
      <c r="G12" s="5"/>
      <c r="H12" s="5"/>
      <c r="I12" s="5"/>
    </row>
    <row r="13" customFormat="false" ht="15" hidden="false" customHeight="false" outlineLevel="0" collapsed="false">
      <c r="B13" s="5" t="s">
        <v>37</v>
      </c>
      <c r="C13" s="14" t="n">
        <v>0</v>
      </c>
      <c r="D13" s="5" t="s">
        <v>32</v>
      </c>
      <c r="E13" s="5" t="s">
        <v>12</v>
      </c>
      <c r="F13" s="5" t="s">
        <v>38</v>
      </c>
      <c r="G13" s="5"/>
      <c r="H13" s="5"/>
      <c r="I13" s="5"/>
    </row>
    <row r="14" customFormat="false" ht="15" hidden="false" customHeight="false" outlineLevel="0" collapsed="false">
      <c r="B14" s="5" t="s">
        <v>39</v>
      </c>
      <c r="C14" s="6" t="n">
        <v>60000000</v>
      </c>
      <c r="D14" s="5" t="s">
        <v>40</v>
      </c>
      <c r="E14" s="5" t="s">
        <v>18</v>
      </c>
      <c r="F14" s="5" t="s">
        <v>41</v>
      </c>
      <c r="G14" s="5"/>
      <c r="H14" s="5"/>
      <c r="I14" s="5"/>
    </row>
    <row r="15" customFormat="false" ht="15" hidden="false" customHeight="false" outlineLevel="0" collapsed="false">
      <c r="B15" s="5" t="s">
        <v>42</v>
      </c>
      <c r="C15" s="16" t="n">
        <v>6</v>
      </c>
      <c r="D15" s="5" t="s">
        <v>43</v>
      </c>
      <c r="E15" s="5" t="s">
        <v>44</v>
      </c>
      <c r="F15" s="5" t="s">
        <v>45</v>
      </c>
      <c r="G15" s="5"/>
      <c r="H15" s="5"/>
      <c r="I15" s="5"/>
    </row>
    <row r="16" customFormat="false" ht="15" hidden="false" customHeight="false" outlineLevel="0" collapsed="false">
      <c r="B16" s="5" t="s">
        <v>46</v>
      </c>
      <c r="C16" s="8" t="s">
        <v>47</v>
      </c>
      <c r="D16" s="5"/>
      <c r="E16" s="5" t="s">
        <v>12</v>
      </c>
      <c r="F16" s="5" t="s">
        <v>48</v>
      </c>
      <c r="G16" s="5"/>
      <c r="H16" s="5"/>
      <c r="I16" s="5"/>
    </row>
    <row r="17" customFormat="false" ht="15" hidden="false" customHeight="false" outlineLevel="0" collapsed="false">
      <c r="B17" s="5" t="s">
        <v>49</v>
      </c>
      <c r="C17" s="17" t="n">
        <v>0.5</v>
      </c>
      <c r="D17" s="5" t="s">
        <v>32</v>
      </c>
      <c r="E17" s="5" t="s">
        <v>18</v>
      </c>
      <c r="F17" s="5" t="s">
        <v>50</v>
      </c>
      <c r="G17" s="5"/>
      <c r="H17" s="5"/>
      <c r="I17" s="5"/>
    </row>
    <row r="18" customFormat="false" ht="15" hidden="false" customHeight="false" outlineLevel="0" collapsed="false">
      <c r="B18" s="5" t="s">
        <v>51</v>
      </c>
      <c r="C18" s="14" t="n">
        <v>0.5</v>
      </c>
      <c r="D18" s="5" t="s">
        <v>32</v>
      </c>
      <c r="E18" s="5" t="s">
        <v>52</v>
      </c>
      <c r="F18" s="5" t="s">
        <v>53</v>
      </c>
      <c r="G18" s="5"/>
      <c r="H18" s="5"/>
      <c r="I18" s="5"/>
    </row>
    <row r="19" customFormat="false" ht="15" hidden="false" customHeight="false" outlineLevel="0" collapsed="false">
      <c r="B19" s="5" t="s">
        <v>54</v>
      </c>
      <c r="C19" s="16" t="n">
        <v>6</v>
      </c>
      <c r="D19" s="5" t="s">
        <v>55</v>
      </c>
      <c r="E19" s="5" t="s">
        <v>18</v>
      </c>
      <c r="F19" s="5" t="s">
        <v>56</v>
      </c>
      <c r="G19" s="5"/>
      <c r="H19" s="5"/>
      <c r="I19" s="5"/>
    </row>
    <row r="20" customFormat="false" ht="15" hidden="false" customHeight="false" outlineLevel="0" collapsed="false">
      <c r="B20" s="5" t="s">
        <v>57</v>
      </c>
      <c r="C20" s="16" t="n">
        <v>4</v>
      </c>
      <c r="D20" s="5" t="s">
        <v>58</v>
      </c>
      <c r="E20" s="5" t="s">
        <v>12</v>
      </c>
      <c r="F20" s="5" t="s">
        <v>59</v>
      </c>
      <c r="G20" s="5"/>
      <c r="H20" s="5"/>
      <c r="I20" s="5"/>
    </row>
    <row r="21" customFormat="false" ht="15" hidden="false" customHeight="false" outlineLevel="0" collapsed="false">
      <c r="B21" s="5" t="s">
        <v>60</v>
      </c>
      <c r="C21" s="6" t="n">
        <v>375000</v>
      </c>
      <c r="D21" s="5" t="s">
        <v>61</v>
      </c>
      <c r="E21" s="5" t="s">
        <v>18</v>
      </c>
      <c r="F21" s="5" t="s">
        <v>62</v>
      </c>
      <c r="G21" s="5"/>
      <c r="H21" s="5"/>
      <c r="I21" s="5"/>
    </row>
    <row r="22" customFormat="false" ht="15" hidden="false" customHeight="false" outlineLevel="0" collapsed="false">
      <c r="B22" s="5" t="s">
        <v>63</v>
      </c>
      <c r="C22" s="13" t="s">
        <v>15</v>
      </c>
      <c r="D22" s="5"/>
      <c r="E22" s="5" t="s">
        <v>64</v>
      </c>
      <c r="F22" s="5" t="s">
        <v>65</v>
      </c>
      <c r="G22" s="5"/>
      <c r="H22" s="5"/>
      <c r="I22" s="5"/>
    </row>
    <row r="23" customFormat="false" ht="15" hidden="false" customHeight="false" outlineLevel="0" collapsed="false">
      <c r="B23" s="5" t="s">
        <v>66</v>
      </c>
      <c r="C23" s="14" t="n">
        <v>0</v>
      </c>
      <c r="D23" s="5" t="s">
        <v>32</v>
      </c>
      <c r="E23" s="5" t="s">
        <v>67</v>
      </c>
      <c r="F23" s="5" t="s">
        <v>68</v>
      </c>
      <c r="G23" s="5"/>
      <c r="H23" s="5"/>
      <c r="I23" s="5"/>
    </row>
    <row r="25" customFormat="false" ht="15" hidden="false" customHeight="false" outlineLevel="0" collapsed="false">
      <c r="B25" s="3" t="s">
        <v>69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5</v>
      </c>
      <c r="C26" s="4" t="s">
        <v>6</v>
      </c>
      <c r="D26" s="4" t="s">
        <v>7</v>
      </c>
      <c r="E26" s="4" t="s">
        <v>8</v>
      </c>
      <c r="F26" s="4" t="s">
        <v>9</v>
      </c>
      <c r="G26" s="4"/>
      <c r="H26" s="4"/>
      <c r="I26" s="4"/>
    </row>
    <row r="27" customFormat="false" ht="15" hidden="false" customHeight="false" outlineLevel="0" collapsed="false">
      <c r="B27" s="5" t="s">
        <v>70</v>
      </c>
      <c r="C27" s="16" t="n">
        <v>15</v>
      </c>
      <c r="D27" s="5" t="s">
        <v>71</v>
      </c>
      <c r="E27" s="5" t="s">
        <v>12</v>
      </c>
      <c r="F27" s="5" t="s">
        <v>72</v>
      </c>
      <c r="G27" s="5"/>
      <c r="H27" s="5"/>
      <c r="I27" s="5"/>
    </row>
    <row r="28" customFormat="false" ht="15" hidden="false" customHeight="false" outlineLevel="0" collapsed="false">
      <c r="B28" s="5" t="s">
        <v>73</v>
      </c>
      <c r="C28" s="16" t="n">
        <v>20</v>
      </c>
      <c r="D28" s="5" t="s">
        <v>71</v>
      </c>
      <c r="E28" s="5" t="s">
        <v>12</v>
      </c>
      <c r="F28" s="5" t="s">
        <v>72</v>
      </c>
      <c r="G28" s="5"/>
      <c r="H28" s="5"/>
      <c r="I28" s="5"/>
    </row>
    <row r="29" customFormat="false" ht="25.5" hidden="false" customHeight="true" outlineLevel="0" collapsed="false">
      <c r="B29" s="7" t="s">
        <v>74</v>
      </c>
      <c r="C29" s="12" t="n">
        <v>2</v>
      </c>
      <c r="D29" s="5" t="str">
        <f aca="false">INDEX({"Misma localización","0,1–5 km","5–10 km","Más de 10 km"},C29)</f>
        <v>0,1–5 km</v>
      </c>
      <c r="E29" s="5" t="s">
        <v>12</v>
      </c>
      <c r="F29" s="5" t="s">
        <v>75</v>
      </c>
      <c r="G29" s="5"/>
      <c r="H29" s="5"/>
      <c r="I29" s="5"/>
    </row>
    <row r="30" customFormat="false" ht="15" hidden="false" customHeight="false" outlineLevel="0" collapsed="false">
      <c r="B30" s="5" t="s">
        <v>76</v>
      </c>
      <c r="C30" s="18" t="n">
        <f aca="false">C27+C28</f>
        <v>35</v>
      </c>
      <c r="D30" s="5" t="s">
        <v>71</v>
      </c>
      <c r="E30" s="5" t="s">
        <v>23</v>
      </c>
      <c r="F30" s="5" t="s">
        <v>77</v>
      </c>
      <c r="G30" s="5"/>
      <c r="H30" s="5"/>
      <c r="I30" s="5"/>
    </row>
    <row r="31" customFormat="false" ht="15" hidden="false" customHeight="false" outlineLevel="0" collapsed="false">
      <c r="B31" s="5" t="s">
        <v>78</v>
      </c>
      <c r="C31" s="8" t="s">
        <v>79</v>
      </c>
      <c r="D31" s="5"/>
      <c r="E31" s="5" t="s">
        <v>12</v>
      </c>
      <c r="F31" s="5" t="s">
        <v>80</v>
      </c>
      <c r="G31" s="5"/>
      <c r="H31" s="5"/>
      <c r="I31" s="5"/>
    </row>
    <row r="32" customFormat="false" ht="15" hidden="false" customHeight="false" outlineLevel="0" collapsed="false">
      <c r="B32" s="5" t="s">
        <v>81</v>
      </c>
      <c r="C32" s="19" t="n">
        <v>5</v>
      </c>
      <c r="D32" s="5" t="s">
        <v>43</v>
      </c>
      <c r="E32" s="5" t="s">
        <v>12</v>
      </c>
      <c r="F32" s="5" t="s">
        <v>82</v>
      </c>
      <c r="G32" s="5"/>
      <c r="H32" s="5"/>
      <c r="I32" s="5"/>
    </row>
    <row r="33" customFormat="false" ht="15" hidden="false" customHeight="false" outlineLevel="0" collapsed="false">
      <c r="B33" s="5" t="s">
        <v>83</v>
      </c>
      <c r="C33" s="16" t="n">
        <v>7</v>
      </c>
      <c r="D33" s="16" t="n">
        <v>8</v>
      </c>
      <c r="E33" s="16" t="n">
        <v>7</v>
      </c>
      <c r="F33" s="16" t="n">
        <v>7</v>
      </c>
      <c r="G33" s="16" t="n">
        <v>7</v>
      </c>
      <c r="H33" s="16" t="n">
        <v>9</v>
      </c>
      <c r="I33" s="16" t="n">
        <v>7</v>
      </c>
      <c r="J33" s="16" t="n">
        <v>3</v>
      </c>
      <c r="K33" s="16" t="n">
        <v>6</v>
      </c>
      <c r="L33" s="16" t="n">
        <v>6</v>
      </c>
      <c r="M33" s="16" t="n">
        <v>3</v>
      </c>
    </row>
    <row r="34" customFormat="false" ht="15" hidden="false" customHeight="false" outlineLevel="0" collapsed="false">
      <c r="B34" s="5" t="s">
        <v>84</v>
      </c>
      <c r="C34" s="16" t="n">
        <v>1</v>
      </c>
      <c r="D34" s="16" t="n">
        <v>4</v>
      </c>
      <c r="E34" s="16" t="n">
        <v>7</v>
      </c>
      <c r="F34" s="16" t="n">
        <v>5</v>
      </c>
      <c r="G34" s="16" t="n">
        <v>6</v>
      </c>
      <c r="H34" s="16" t="n">
        <v>7</v>
      </c>
      <c r="I34" s="16" t="n">
        <v>7</v>
      </c>
      <c r="J34" s="16" t="n">
        <v>5</v>
      </c>
      <c r="K34" s="16" t="n">
        <v>3</v>
      </c>
    </row>
    <row r="35" customFormat="false" ht="27.75" hidden="false" customHeight="true" outlineLevel="0" collapsed="false">
      <c r="B35" s="20" t="s">
        <v>85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7" customFormat="false" ht="15" hidden="false" customHeight="false" outlineLevel="0" collapsed="false">
      <c r="B37" s="3" t="s">
        <v>86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87</v>
      </c>
      <c r="C38" s="4" t="s">
        <v>88</v>
      </c>
      <c r="D38" s="4" t="s">
        <v>89</v>
      </c>
      <c r="E38" s="4" t="s">
        <v>90</v>
      </c>
      <c r="F38" s="4" t="s">
        <v>91</v>
      </c>
      <c r="G38" s="4" t="s">
        <v>8</v>
      </c>
      <c r="H38" s="4" t="s">
        <v>9</v>
      </c>
      <c r="I38" s="4"/>
    </row>
    <row r="39" customFormat="false" ht="15" hidden="false" customHeight="false" outlineLevel="0" collapsed="false">
      <c r="B39" s="5" t="s">
        <v>92</v>
      </c>
      <c r="C39" s="21" t="n">
        <v>12</v>
      </c>
      <c r="D39" s="21" t="n">
        <v>18</v>
      </c>
      <c r="E39" s="21" t="n">
        <v>24</v>
      </c>
      <c r="F39" s="21" t="n">
        <v>28</v>
      </c>
      <c r="G39" s="5" t="s">
        <v>93</v>
      </c>
      <c r="H39" s="5" t="s">
        <v>94</v>
      </c>
      <c r="I39" s="5"/>
    </row>
    <row r="40" customFormat="false" ht="15" hidden="false" customHeight="false" outlineLevel="0" collapsed="false">
      <c r="B40" s="5" t="s">
        <v>95</v>
      </c>
      <c r="C40" s="21" t="n">
        <v>0</v>
      </c>
      <c r="D40" s="21" t="n">
        <v>0</v>
      </c>
      <c r="E40" s="21" t="n">
        <v>0</v>
      </c>
      <c r="F40" s="21" t="n">
        <v>0</v>
      </c>
      <c r="G40" s="5" t="s">
        <v>96</v>
      </c>
      <c r="H40" s="5" t="s">
        <v>97</v>
      </c>
      <c r="I40" s="5"/>
    </row>
    <row r="41" customFormat="false" ht="15" hidden="false" customHeight="false" outlineLevel="0" collapsed="false">
      <c r="B41" s="5" t="s">
        <v>98</v>
      </c>
      <c r="C41" s="16" t="n">
        <v>12</v>
      </c>
      <c r="D41" s="16" t="n">
        <v>24</v>
      </c>
      <c r="E41" s="16" t="n">
        <v>36</v>
      </c>
      <c r="F41" s="16" t="n">
        <v>36</v>
      </c>
      <c r="G41" s="5" t="s">
        <v>99</v>
      </c>
      <c r="H41" s="5" t="s">
        <v>100</v>
      </c>
      <c r="I41" s="5"/>
    </row>
    <row r="42" customFormat="false" ht="15" hidden="false" customHeight="false" outlineLevel="0" collapsed="false">
      <c r="B42" s="5" t="s">
        <v>101</v>
      </c>
      <c r="C42" s="16" t="n">
        <v>1</v>
      </c>
      <c r="D42" s="16" t="n">
        <v>2</v>
      </c>
      <c r="E42" s="16" t="n">
        <v>2</v>
      </c>
      <c r="F42" s="16" t="n">
        <v>2</v>
      </c>
      <c r="G42" s="5" t="s">
        <v>12</v>
      </c>
      <c r="H42" s="5" t="s">
        <v>102</v>
      </c>
      <c r="I42" s="5"/>
    </row>
    <row r="43" customFormat="false" ht="15" hidden="false" customHeight="false" outlineLevel="0" collapsed="false">
      <c r="B43" s="5" t="s">
        <v>103</v>
      </c>
      <c r="C43" s="9" t="n">
        <v>75642</v>
      </c>
      <c r="D43" s="9" t="n">
        <v>98663</v>
      </c>
      <c r="E43" s="9" t="n">
        <v>95374</v>
      </c>
      <c r="F43" s="9" t="n">
        <v>110174</v>
      </c>
      <c r="G43" s="5" t="s">
        <v>12</v>
      </c>
      <c r="H43" s="5" t="s">
        <v>104</v>
      </c>
      <c r="I43" s="5"/>
    </row>
    <row r="44" customFormat="false" ht="15" hidden="false" customHeight="false" outlineLevel="0" collapsed="false">
      <c r="B44" s="5" t="s">
        <v>105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18</v>
      </c>
      <c r="H44" s="5" t="s">
        <v>106</v>
      </c>
      <c r="I44" s="5"/>
    </row>
    <row r="45" customFormat="false" ht="15" hidden="false" customHeight="false" outlineLevel="0" collapsed="false">
      <c r="B45" s="5" t="s">
        <v>107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18</v>
      </c>
      <c r="H45" s="5" t="s">
        <v>108</v>
      </c>
      <c r="I45" s="5"/>
    </row>
    <row r="46" customFormat="false" ht="15" hidden="false" customHeight="false" outlineLevel="0" collapsed="false">
      <c r="B46" s="5" t="s">
        <v>109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18</v>
      </c>
      <c r="H46" s="5" t="s">
        <v>110</v>
      </c>
      <c r="I46" s="5"/>
    </row>
    <row r="47" customFormat="false" ht="15" hidden="false" customHeight="false" outlineLevel="0" collapsed="false">
      <c r="B47" s="5" t="s">
        <v>111</v>
      </c>
      <c r="C47" s="1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112</v>
      </c>
      <c r="H47" s="5" t="s">
        <v>113</v>
      </c>
      <c r="I47" s="5"/>
    </row>
    <row r="49" customFormat="false" ht="15" hidden="false" customHeight="false" outlineLevel="0" collapsed="false">
      <c r="B49" s="4" t="s">
        <v>114</v>
      </c>
    </row>
    <row r="50" customFormat="false" ht="15" hidden="false" customHeight="false" outlineLevel="0" collapsed="false">
      <c r="B50" s="5" t="s">
        <v>115</v>
      </c>
      <c r="C50" s="11" t="n">
        <f aca="false">IF($C$22="Sí",$C$20*$C$21*C42/$C$7,0)</f>
        <v>405.405405405405</v>
      </c>
      <c r="D50" s="11" t="n">
        <f aca="false">IF($C$22="Sí",$C$20*$C$21*D42/$C$7,0)</f>
        <v>810.810810810811</v>
      </c>
      <c r="E50" s="11" t="n">
        <f aca="false">IF($C$22="Sí",$C$20*$C$21*E42/$C$7,0)</f>
        <v>810.810810810811</v>
      </c>
      <c r="F50" s="11" t="n">
        <f aca="false">IF($C$22="Sí",$C$20*$C$21*F42/$C$7,0)</f>
        <v>810.810810810811</v>
      </c>
      <c r="G50" s="5" t="s">
        <v>116</v>
      </c>
      <c r="H50" s="5"/>
      <c r="I50" s="5"/>
    </row>
    <row r="51" customFormat="false" ht="15" hidden="false" customHeight="false" outlineLevel="0" collapsed="false">
      <c r="B51" s="22" t="s">
        <v>117</v>
      </c>
      <c r="C51" s="23" t="n">
        <f aca="false">C43*(1+$C$13+$N$10)+C50</f>
        <v>76047.4054054054</v>
      </c>
      <c r="D51" s="23" t="n">
        <f aca="false">D43*(1+$C$13+$N$10)+D50</f>
        <v>99473.8108108108</v>
      </c>
      <c r="E51" s="23" t="n">
        <f aca="false">E43*(1+$C$13+$N$10)+E50</f>
        <v>96184.8108108108</v>
      </c>
      <c r="F51" s="23" t="n">
        <f aca="false">F43*(1+$C$13+$N$10)+F50</f>
        <v>110984.810810811</v>
      </c>
    </row>
    <row r="52" customFormat="false" ht="15" hidden="false" customHeight="false" outlineLevel="0" collapsed="false">
      <c r="B52" s="4" t="s">
        <v>118</v>
      </c>
    </row>
    <row r="53" customFormat="false" ht="15" hidden="false" customHeight="false" outlineLevel="0" collapsed="false">
      <c r="B53" s="5" t="s">
        <v>119</v>
      </c>
      <c r="C53" s="24" t="n">
        <f aca="false">(C39+C40)*$C$9</f>
        <v>17472</v>
      </c>
      <c r="D53" s="24" t="n">
        <f aca="false">(D39+D40)*$C$9</f>
        <v>26208</v>
      </c>
      <c r="E53" s="24" t="n">
        <f aca="false">(E39+E40)*$C$9</f>
        <v>34944</v>
      </c>
      <c r="F53" s="24" t="n">
        <f aca="false">(F39+F40)*$C$9</f>
        <v>40768</v>
      </c>
      <c r="G53" s="5" t="s">
        <v>120</v>
      </c>
      <c r="H53" s="5"/>
      <c r="I53" s="5"/>
    </row>
    <row r="54" customFormat="false" ht="15" hidden="false" customHeight="false" outlineLevel="0" collapsed="false">
      <c r="B54" s="5" t="s">
        <v>121</v>
      </c>
      <c r="C54" s="11" t="n">
        <f aca="false">IF($C$16="Mensual fijo",0,$C$14/$C$7/$C$15)</f>
        <v>2702.7027027027</v>
      </c>
      <c r="D54" s="11" t="n">
        <f aca="false">IF($C$16="Mensual fijo",0,$C$14/$C$7/$C$15)</f>
        <v>2702.7027027027</v>
      </c>
      <c r="E54" s="11" t="n">
        <f aca="false">IF($C$16="Mensual fijo",0,$C$14/$C$7/$C$15)</f>
        <v>2702.7027027027</v>
      </c>
      <c r="F54" s="11" t="n">
        <f aca="false">IF($C$16="Mensual fijo",0,$C$14/$C$7/$C$15)</f>
        <v>2702.7027027027</v>
      </c>
      <c r="G54" s="5" t="s">
        <v>122</v>
      </c>
      <c r="H54" s="5"/>
      <c r="I54" s="5"/>
    </row>
    <row r="55" customFormat="false" ht="15" hidden="false" customHeight="false" outlineLevel="0" collapsed="false">
      <c r="B55" s="5" t="s">
        <v>123</v>
      </c>
      <c r="C55" s="24" t="n">
        <f aca="false">C44/$C$7*(1+$C$11)</f>
        <v>37942.0110810811</v>
      </c>
      <c r="D55" s="24" t="n">
        <f aca="false">D44/$C$7*(1+$C$11)</f>
        <v>59690.0227027027</v>
      </c>
      <c r="E55" s="24" t="n">
        <f aca="false">E44/$C$7*(1+$C$11)</f>
        <v>64449.4589189189</v>
      </c>
      <c r="F55" s="24" t="n">
        <f aca="false">F44/$C$7*(1+$C$11)</f>
        <v>66611.6210810811</v>
      </c>
    </row>
    <row r="56" customFormat="false" ht="15" hidden="false" customHeight="false" outlineLevel="0" collapsed="false">
      <c r="B56" s="5" t="s">
        <v>124</v>
      </c>
      <c r="C56" s="24" t="n">
        <f aca="false">C55*(1-$C$17)</f>
        <v>18971.0055405405</v>
      </c>
      <c r="D56" s="24" t="n">
        <f aca="false">D55*(1-$C$17)</f>
        <v>29845.0113513514</v>
      </c>
      <c r="E56" s="24" t="n">
        <f aca="false">E55*(1-$C$17)</f>
        <v>32224.7294594595</v>
      </c>
      <c r="F56" s="24" t="n">
        <f aca="false">F55*(1-$C$17)</f>
        <v>33305.8105405405</v>
      </c>
    </row>
    <row r="57" customFormat="false" ht="15" hidden="false" customHeight="false" outlineLevel="0" collapsed="false">
      <c r="B57" s="5" t="s">
        <v>125</v>
      </c>
      <c r="C57" s="24" t="n">
        <f aca="false">C45/$C$7*(1+$C$12)</f>
        <v>48206.4554054054</v>
      </c>
      <c r="D57" s="24" t="n">
        <f aca="false">D45/$C$7*(1+$C$12)</f>
        <v>82239.1054054054</v>
      </c>
      <c r="E57" s="24" t="n">
        <f aca="false">E45/$C$7*(1+$C$12)</f>
        <v>100986.452432432</v>
      </c>
      <c r="F57" s="24" t="n">
        <f aca="false">F45/$C$7*(1+$C$12)</f>
        <v>112108.358918919</v>
      </c>
    </row>
    <row r="58" customFormat="false" ht="15" hidden="false" customHeight="false" outlineLevel="0" collapsed="false">
      <c r="B58" s="5" t="s">
        <v>126</v>
      </c>
      <c r="C58" s="24" t="n">
        <f aca="false">C57*(1-$C$18)</f>
        <v>24103.2277027027</v>
      </c>
      <c r="D58" s="24" t="n">
        <f aca="false">D57*(1-$C$18)</f>
        <v>41119.5527027027</v>
      </c>
      <c r="E58" s="24" t="n">
        <f aca="false">E57*(1-$C$18)</f>
        <v>50493.2262162162</v>
      </c>
      <c r="F58" s="24" t="n">
        <f aca="false">F57*(1-$C$18)</f>
        <v>56054.1794594595</v>
      </c>
    </row>
    <row r="59" customFormat="false" ht="15" hidden="false" customHeight="false" outlineLevel="0" collapsed="false">
      <c r="B59" s="5" t="s">
        <v>127</v>
      </c>
      <c r="C59" s="24" t="n">
        <f aca="false">C46/$C$7*(1+$C$11)</f>
        <v>37900.8113513514</v>
      </c>
      <c r="D59" s="24" t="n">
        <f aca="false">D46/$C$7*(1+$C$11)</f>
        <v>56135.9464864865</v>
      </c>
      <c r="E59" s="24" t="n">
        <f aca="false">E46/$C$7*(1+$C$11)</f>
        <v>67298.1086486487</v>
      </c>
      <c r="F59" s="24" t="n">
        <f aca="false">F46/$C$7*(1+$C$11)</f>
        <v>68394.5951351351</v>
      </c>
    </row>
    <row r="60" customFormat="false" ht="15" hidden="false" customHeight="false" outlineLevel="0" collapsed="false">
      <c r="B60" s="5" t="s">
        <v>128</v>
      </c>
      <c r="C60" s="24" t="n">
        <f aca="false">C47/$C$7*(1+$C$11)</f>
        <v>33291.8918918919</v>
      </c>
      <c r="D60" s="24" t="n">
        <f aca="false">D47/$C$7*(1+$C$11)</f>
        <v>33291.8918918919</v>
      </c>
      <c r="E60" s="24" t="n">
        <f aca="false">E47/$C$7*(1+$C$11)</f>
        <v>37568.9189189189</v>
      </c>
      <c r="F60" s="24" t="n">
        <f aca="false">F47/$C$7*(1+$C$11)</f>
        <v>45150</v>
      </c>
    </row>
    <row r="61" customFormat="false" ht="15" hidden="false" customHeight="false" outlineLevel="0" collapsed="false">
      <c r="B61" s="4" t="s">
        <v>129</v>
      </c>
    </row>
    <row r="62" customFormat="false" ht="15" hidden="false" customHeight="false" outlineLevel="0" collapsed="false">
      <c r="B62" s="22" t="s">
        <v>130</v>
      </c>
      <c r="C62" s="23" t="n">
        <f aca="false">C55+C53+C54+C69</f>
        <v>58116.7137837838</v>
      </c>
      <c r="D62" s="23" t="n">
        <f aca="false">D55+D53+D54+D69</f>
        <v>88600.7254054054</v>
      </c>
      <c r="E62" s="23" t="n">
        <f aca="false">E55+E53+E54+E69</f>
        <v>102096.161621622</v>
      </c>
      <c r="F62" s="23" t="n">
        <f aca="false">F55+F53+F54+F69</f>
        <v>110082.323783784</v>
      </c>
    </row>
    <row r="63" customFormat="false" ht="15" hidden="false" customHeight="false" outlineLevel="0" collapsed="false">
      <c r="B63" s="22" t="s">
        <v>131</v>
      </c>
      <c r="C63" s="23" t="n">
        <f aca="false">C56+C53+C54+C69</f>
        <v>39145.7082432432</v>
      </c>
      <c r="D63" s="23" t="n">
        <f aca="false">D56+D53+D54+D69</f>
        <v>58755.7140540541</v>
      </c>
      <c r="E63" s="23" t="n">
        <f aca="false">E56+E53+E54+E69</f>
        <v>69871.4321621622</v>
      </c>
      <c r="F63" s="23" t="n">
        <f aca="false">F56+F53+F54+F69</f>
        <v>76776.5132432433</v>
      </c>
    </row>
    <row r="64" customFormat="false" ht="15" hidden="false" customHeight="false" outlineLevel="0" collapsed="false">
      <c r="B64" s="22" t="s">
        <v>132</v>
      </c>
      <c r="C64" s="23" t="n">
        <f aca="false">C57+C53+C54+C69</f>
        <v>68381.1581081081</v>
      </c>
      <c r="D64" s="23" t="n">
        <f aca="false">D57+D53+D54+D69</f>
        <v>111149.808108108</v>
      </c>
      <c r="E64" s="23" t="n">
        <f aca="false">E57+E53+E54+E69</f>
        <v>138633.155135135</v>
      </c>
      <c r="F64" s="23" t="n">
        <f aca="false">F57+F53+F54+F69</f>
        <v>155579.061621622</v>
      </c>
    </row>
    <row r="65" customFormat="false" ht="15" hidden="false" customHeight="false" outlineLevel="0" collapsed="false">
      <c r="B65" s="22" t="s">
        <v>133</v>
      </c>
      <c r="C65" s="23" t="n">
        <f aca="false">C58+C53+C54+C69</f>
        <v>44277.9304054054</v>
      </c>
      <c r="D65" s="23" t="n">
        <f aca="false">D58+D53+D54+D69</f>
        <v>70030.2554054054</v>
      </c>
      <c r="E65" s="23" t="n">
        <f aca="false">E58+E53+E54+E69</f>
        <v>88139.9289189189</v>
      </c>
      <c r="F65" s="23" t="n">
        <f aca="false">F58+F53+F54+F69</f>
        <v>99524.8821621622</v>
      </c>
    </row>
    <row r="66" customFormat="false" ht="15" hidden="false" customHeight="false" outlineLevel="0" collapsed="false">
      <c r="B66" s="22" t="s">
        <v>134</v>
      </c>
      <c r="C66" s="23" t="n">
        <f aca="false">C59+C53+C54+C69</f>
        <v>58075.5140540541</v>
      </c>
      <c r="D66" s="23" t="n">
        <f aca="false">D59+D53+D54+D69</f>
        <v>85046.6491891892</v>
      </c>
      <c r="E66" s="23" t="n">
        <f aca="false">E59+E53+E54+E69</f>
        <v>104944.811351351</v>
      </c>
      <c r="F66" s="23" t="n">
        <f aca="false">F59+F53+F54+F69</f>
        <v>111865.297837838</v>
      </c>
    </row>
    <row r="67" customFormat="false" ht="15" hidden="false" customHeight="false" outlineLevel="0" collapsed="false">
      <c r="B67" s="22" t="s">
        <v>135</v>
      </c>
      <c r="C67" s="23" t="n">
        <f aca="false">C60+C53+C54+C69</f>
        <v>53466.5945945946</v>
      </c>
      <c r="D67" s="23" t="n">
        <f aca="false">D60+D53+D54+D69</f>
        <v>62202.5945945946</v>
      </c>
      <c r="E67" s="23" t="n">
        <f aca="false">E60+E53+E54+E69</f>
        <v>75215.6216216216</v>
      </c>
      <c r="F67" s="23" t="n">
        <f aca="false">F60+F53+F54+F69</f>
        <v>88620.7027027027</v>
      </c>
    </row>
    <row r="68" customFormat="false" ht="15" hidden="false" customHeight="false" outlineLevel="0" collapsed="false">
      <c r="B68" s="5" t="s">
        <v>136</v>
      </c>
      <c r="C68" s="10" t="n">
        <v>3934000</v>
      </c>
      <c r="D68" s="10" t="n">
        <v>3934000</v>
      </c>
      <c r="E68" s="10" t="n">
        <v>3934000</v>
      </c>
      <c r="F68" s="10" t="n">
        <v>3934000</v>
      </c>
      <c r="G68" s="5" t="s">
        <v>137</v>
      </c>
      <c r="H68" s="5" t="s">
        <v>138</v>
      </c>
      <c r="I68" s="5"/>
    </row>
    <row r="69" customFormat="false" ht="15" hidden="false" customHeight="false" outlineLevel="0" collapsed="false">
      <c r="B69" s="5" t="s">
        <v>139</v>
      </c>
      <c r="C69" s="24" t="n">
        <f aca="false">IF($N$7="Sí",MAX(0,C39+C40-C41)*(C68+$N$8)/$C$7,0)</f>
        <v>0</v>
      </c>
      <c r="D69" s="24" t="n">
        <f aca="false">IF($N$7="Sí",MAX(0,D39+D40-D41)*(D68+$N$8)/$C$7,0)</f>
        <v>0</v>
      </c>
      <c r="E69" s="24" t="n">
        <f aca="false">IF($N$7="Sí",MAX(0,E39+E40-E41)*(E68+$N$8)/$C$7,0)</f>
        <v>0</v>
      </c>
      <c r="F69" s="24" t="n">
        <f aca="false">IF($N$7="Sí",MAX(0,F39+F40-F41)*(F68+$N$8)/$C$7,0)</f>
        <v>0</v>
      </c>
      <c r="G69" s="5" t="s">
        <v>140</v>
      </c>
      <c r="H69" s="5"/>
      <c r="I69" s="5"/>
    </row>
    <row r="70" customFormat="false" ht="15" hidden="false" customHeight="false" outlineLevel="0" collapsed="false">
      <c r="B70" s="3" t="s">
        <v>141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142</v>
      </c>
      <c r="C71" s="4" t="s">
        <v>143</v>
      </c>
      <c r="D71" s="4" t="s">
        <v>144</v>
      </c>
      <c r="E71" s="4" t="s">
        <v>145</v>
      </c>
      <c r="F71" s="4" t="s">
        <v>146</v>
      </c>
      <c r="G71" s="4" t="s">
        <v>9</v>
      </c>
      <c r="H71" s="4"/>
      <c r="I71" s="4"/>
    </row>
    <row r="72" customFormat="false" ht="15" hidden="false" customHeight="false" outlineLevel="0" collapsed="false">
      <c r="B72" s="18" t="n">
        <v>0</v>
      </c>
      <c r="C72" s="6" t="n">
        <v>594780000</v>
      </c>
      <c r="D72" s="6" t="n">
        <v>837374835</v>
      </c>
      <c r="E72" s="24" t="n">
        <f aca="false">C72/$C$7</f>
        <v>160751.351351351</v>
      </c>
      <c r="F72" s="24" t="n">
        <f aca="false">D72/$C$7</f>
        <v>226317.522972973</v>
      </c>
      <c r="G72" s="5" t="s">
        <v>147</v>
      </c>
      <c r="H72" s="5"/>
      <c r="I72" s="5"/>
    </row>
    <row r="73" customFormat="false" ht="15" hidden="false" customHeight="false" outlineLevel="0" collapsed="false">
      <c r="B73" s="18" t="n">
        <v>1</v>
      </c>
      <c r="C73" s="6" t="n">
        <v>494879522</v>
      </c>
      <c r="D73" s="6" t="n">
        <v>669899868</v>
      </c>
      <c r="E73" s="24" t="n">
        <f aca="false">C73/$C$7</f>
        <v>133751.222162162</v>
      </c>
      <c r="F73" s="24" t="n">
        <f aca="false">D73/$C$7</f>
        <v>181054.018378378</v>
      </c>
      <c r="G73" s="5" t="s">
        <v>148</v>
      </c>
      <c r="H73" s="5"/>
      <c r="I73" s="5"/>
    </row>
    <row r="74" customFormat="false" ht="15" hidden="false" customHeight="false" outlineLevel="0" collapsed="false">
      <c r="B74" s="18" t="n">
        <v>2</v>
      </c>
      <c r="C74" s="6" t="n">
        <v>352015000</v>
      </c>
      <c r="D74" s="6" t="n">
        <v>502424901</v>
      </c>
      <c r="E74" s="24" t="n">
        <f aca="false">C74/$C$7</f>
        <v>95139.1891891892</v>
      </c>
      <c r="F74" s="24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8" t="n">
        <v>3</v>
      </c>
      <c r="C75" s="6" t="n">
        <v>258103162</v>
      </c>
      <c r="D75" s="6" t="n">
        <v>334949934</v>
      </c>
      <c r="E75" s="24" t="n">
        <f aca="false">C75/$C$7</f>
        <v>69757.6113513514</v>
      </c>
      <c r="F75" s="24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8" t="n">
        <v>4</v>
      </c>
      <c r="C76" s="6" t="n">
        <v>208921566</v>
      </c>
      <c r="D76" s="6" t="n">
        <v>167474967</v>
      </c>
      <c r="E76" s="24" t="n">
        <f aca="false">C76/$C$7</f>
        <v>56465.2881081081</v>
      </c>
      <c r="F76" s="24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8" t="n">
        <v>5</v>
      </c>
      <c r="C77" s="10" t="n">
        <v>151524391</v>
      </c>
      <c r="D77" s="6" t="n">
        <v>0</v>
      </c>
      <c r="E77" s="24" t="n">
        <f aca="false">C77/$C$7</f>
        <v>40952.5381081081</v>
      </c>
      <c r="F77" s="24" t="n">
        <f aca="false">D77/$C$7</f>
        <v>0</v>
      </c>
      <c r="G77" s="5" t="s">
        <v>149</v>
      </c>
      <c r="H77" s="5"/>
      <c r="I77" s="5"/>
    </row>
    <row r="78" customFormat="false" ht="15" hidden="false" customHeight="false" outlineLevel="0" collapsed="false">
      <c r="B78" s="18" t="s">
        <v>150</v>
      </c>
      <c r="C78" s="6" t="n">
        <v>0</v>
      </c>
      <c r="D78" s="6" t="n">
        <v>0</v>
      </c>
      <c r="E78" s="24" t="n">
        <f aca="false">C78/$C$7</f>
        <v>0</v>
      </c>
      <c r="F78" s="24" t="n">
        <f aca="false">D78/$C$7</f>
        <v>0</v>
      </c>
      <c r="G78" s="5" t="s">
        <v>151</v>
      </c>
      <c r="H78" s="5"/>
      <c r="I78" s="5"/>
    </row>
    <row r="79" customFormat="false" ht="27.75" hidden="false" customHeight="true" outlineLevel="0" collapsed="false">
      <c r="B79" s="20" t="s">
        <v>152</v>
      </c>
      <c r="C79" s="20"/>
      <c r="D79" s="20"/>
      <c r="E79" s="20"/>
      <c r="F79" s="20"/>
      <c r="G79" s="20"/>
      <c r="H79" s="20"/>
      <c r="I79" s="20"/>
    </row>
    <row r="81" customFormat="false" ht="15" hidden="false" customHeight="false" outlineLevel="0" collapsed="false">
      <c r="B81" s="3" t="s">
        <v>153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5" t="s">
        <v>154</v>
      </c>
      <c r="C82" s="25" t="s">
        <v>155</v>
      </c>
      <c r="D82" s="25" t="s">
        <v>156</v>
      </c>
      <c r="E82" s="25" t="s">
        <v>157</v>
      </c>
      <c r="F82" s="25" t="s">
        <v>158</v>
      </c>
      <c r="G82" s="25" t="s">
        <v>159</v>
      </c>
      <c r="H82" s="25" t="s">
        <v>160</v>
      </c>
      <c r="I82" s="4" t="s">
        <v>161</v>
      </c>
      <c r="L82" s="25" t="s">
        <v>162</v>
      </c>
      <c r="M82" s="25" t="s">
        <v>163</v>
      </c>
    </row>
    <row r="83" customFormat="false" ht="15" hidden="false" customHeight="false" outlineLevel="0" collapsed="false">
      <c r="B83" s="22" t="s">
        <v>164</v>
      </c>
      <c r="C83" s="24" t="n">
        <f aca="false">SUM(G157:G216)</f>
        <v>3130187.2972973</v>
      </c>
      <c r="H83" s="18" t="n">
        <f aca="false">COUNTIF($F$115:$F$150,"&gt;0")</f>
        <v>7</v>
      </c>
      <c r="I83" s="26" t="str">
        <f aca="false">IF(COUNT(D157:D216)&lt;&gt;$C$30,"CAMPAÑA RECORTADA (máx. 60 pozos)",IF(MAX(E157:E216)&gt;36,"CAMPAÑA DE MÁS DE 36 MESES: AMPLIAR",IF(COUNTIFS(F115:F150,0,B115:B150,"&lt;="&amp;MAX(E157:E216))&gt;0,"OK · hay meses sin movilización que pagan cargo fijo","OK")))</f>
        <v>OK</v>
      </c>
      <c r="J83" s="26"/>
      <c r="K83" s="26"/>
    </row>
    <row r="84" customFormat="false" ht="15" hidden="false" customHeight="false" outlineLevel="0" collapsed="false">
      <c r="B84" s="5" t="s">
        <v>27</v>
      </c>
      <c r="C84" s="24" t="n">
        <f aca="false">SUM(H157:H216)+G151+I151+$N$9*$E$72</f>
        <v>2930432.98162162</v>
      </c>
      <c r="D84" s="24" t="n">
        <f aca="false">$C$83-C84</f>
        <v>199754.315675676</v>
      </c>
      <c r="E84" s="27" t="n">
        <f aca="false">IF($C$83=0,0,D84/$C$83)</f>
        <v>0.0638154515060968</v>
      </c>
      <c r="F84" s="18" t="n">
        <f aca="false">COUNTIF($F$157:$F$216,"&gt;="&amp;$C$19)</f>
        <v>0</v>
      </c>
      <c r="G84" s="24" t="n">
        <f aca="false">G151+$N$9*$E$72</f>
        <v>286667.766756757</v>
      </c>
      <c r="H84" s="18" t="n">
        <f aca="false">COUNTIF($F$115:$F$150,"&gt;0")</f>
        <v>7</v>
      </c>
      <c r="I84" s="26"/>
      <c r="J84" s="26"/>
      <c r="K84" s="26"/>
      <c r="L84" s="24" t="n">
        <f aca="false">IF($C$30=0,0,D84/$C$30)</f>
        <v>5707.26616216217</v>
      </c>
      <c r="M84" s="27" t="n">
        <f aca="false">IF($N$11=0,0,L84/$N$11)</f>
        <v>0.0103768475675676</v>
      </c>
    </row>
    <row r="85" customFormat="false" ht="15" hidden="false" customHeight="false" outlineLevel="0" collapsed="false">
      <c r="B85" s="5" t="s">
        <v>165</v>
      </c>
      <c r="C85" s="24" t="n">
        <f aca="false">SUM(I157:I216)+G151+I151+$N$9*$E$72</f>
        <v>3535381.30054054</v>
      </c>
      <c r="D85" s="24" t="n">
        <f aca="false">$C$83-C85</f>
        <v>-405194.003243243</v>
      </c>
      <c r="E85" s="27" t="n">
        <f aca="false">IF($C$83=0,0,D85/$C$83)</f>
        <v>-0.129447207070676</v>
      </c>
      <c r="F85" s="18" t="n">
        <v>0</v>
      </c>
      <c r="G85" s="24" t="n">
        <f aca="false">G151+$N$9*$E$72</f>
        <v>286667.766756757</v>
      </c>
      <c r="H85" s="18" t="n">
        <f aca="false">COUNTIF($F$115:$F$150,"&gt;0")</f>
        <v>7</v>
      </c>
      <c r="L85" s="24" t="n">
        <f aca="false">IF($C$30=0,0,D85/$C$30)</f>
        <v>-11576.9715212355</v>
      </c>
      <c r="M85" s="27" t="n">
        <f aca="false">IF($N$11=0,0,L85/$N$11)</f>
        <v>-0.0210490391295191</v>
      </c>
    </row>
    <row r="86" customFormat="false" ht="15" hidden="false" customHeight="false" outlineLevel="0" collapsed="false">
      <c r="B86" s="5" t="s">
        <v>166</v>
      </c>
      <c r="C86" s="24" t="n">
        <f aca="false">SUM(J157:J216)+G151+I151+$N$9*$E$72</f>
        <v>3535381.30054054</v>
      </c>
      <c r="D86" s="24" t="n">
        <f aca="false">$C$83-C86</f>
        <v>-405194.003243243</v>
      </c>
      <c r="E86" s="27" t="n">
        <f aca="false">IF($C$83=0,0,D86/$C$83)</f>
        <v>-0.129447207070676</v>
      </c>
      <c r="F86" s="18" t="n">
        <f aca="false">COUNTIF($F$157:$F$216,"&gt;="&amp;$C$19)</f>
        <v>0</v>
      </c>
      <c r="G86" s="24" t="n">
        <f aca="false">G151+$N$9*$E$72</f>
        <v>286667.766756757</v>
      </c>
      <c r="H86" s="18" t="n">
        <f aca="false">COUNTIF($F$115:$F$150,"&gt;0")</f>
        <v>7</v>
      </c>
      <c r="L86" s="24" t="n">
        <f aca="false">IF($C$30=0,0,D86/$C$30)</f>
        <v>-11576.9715212355</v>
      </c>
      <c r="M86" s="27" t="n">
        <f aca="false">IF($N$11=0,0,L86/$N$11)</f>
        <v>-0.0210490391295191</v>
      </c>
    </row>
    <row r="87" customFormat="false" ht="15" hidden="false" customHeight="false" outlineLevel="0" collapsed="false">
      <c r="B87" s="5" t="s">
        <v>167</v>
      </c>
      <c r="C87" s="24" t="n">
        <f aca="false">SUM(K157:K216)+H151+I151+$N$9*$F$72</f>
        <v>2572065.69459459</v>
      </c>
      <c r="D87" s="24" t="n">
        <f aca="false">$C$83-C87</f>
        <v>558121.602702703</v>
      </c>
      <c r="E87" s="27" t="n">
        <f aca="false">IF($C$83=0,0,D87/$C$83)</f>
        <v>0.178302941547492</v>
      </c>
      <c r="F87" s="18" t="n">
        <f aca="false">COUNTIF($F$157:$F$216,"&gt;="&amp;$C$19)</f>
        <v>0</v>
      </c>
      <c r="G87" s="24" t="n">
        <f aca="false">H151+$N$9*$F$72</f>
        <v>0</v>
      </c>
      <c r="H87" s="18" t="n">
        <f aca="false">COUNTIF($F$115:$F$150,"&gt;0")</f>
        <v>7</v>
      </c>
      <c r="L87" s="24" t="n">
        <f aca="false">IF($C$30=0,0,D87/$C$30)</f>
        <v>15946.3315057915</v>
      </c>
      <c r="M87" s="27" t="n">
        <f aca="false">IF($N$11=0,0,L87/$N$11)</f>
        <v>0.02899333001053</v>
      </c>
    </row>
    <row r="88" customFormat="false" ht="15" hidden="false" customHeight="false" outlineLevel="0" collapsed="false">
      <c r="B88" s="28" t="s">
        <v>168</v>
      </c>
      <c r="C88" s="29" t="n">
        <f aca="false">INDEX(C84:C87,MATCH($C$10,$B$84:$B$87,0))</f>
        <v>2930432.98162162</v>
      </c>
      <c r="D88" s="29" t="n">
        <f aca="false">INDEX(D84:D87,MATCH($C$10,$B$84:$B$87,0))</f>
        <v>199754.315675676</v>
      </c>
      <c r="E88" s="30" t="n">
        <f aca="false">INDEX(E84:E87,MATCH($C$10,$B$84:$B$87,0))</f>
        <v>0.0638154515060968</v>
      </c>
    </row>
    <row r="89" customFormat="false" ht="27.75" hidden="false" customHeight="true" outlineLevel="0" collapsed="false">
      <c r="B89" s="20" t="s">
        <v>169</v>
      </c>
      <c r="C89" s="20"/>
      <c r="D89" s="20"/>
      <c r="E89" s="20"/>
      <c r="F89" s="20"/>
      <c r="G89" s="20"/>
      <c r="H89" s="20"/>
      <c r="I89" s="20"/>
    </row>
    <row r="91" customFormat="false" ht="15" hidden="false" customHeight="false" outlineLevel="0" collapsed="false">
      <c r="B91" s="3" t="s">
        <v>170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171</v>
      </c>
      <c r="C92" s="31" t="n">
        <v>1</v>
      </c>
      <c r="D92" s="31" t="n">
        <v>2</v>
      </c>
      <c r="E92" s="31" t="n">
        <v>3</v>
      </c>
      <c r="F92" s="31" t="n">
        <v>4</v>
      </c>
      <c r="G92" s="31" t="n">
        <v>5</v>
      </c>
      <c r="H92" s="31" t="n">
        <v>6</v>
      </c>
      <c r="I92" s="31" t="n">
        <v>7</v>
      </c>
      <c r="J92" s="31" t="n">
        <v>8</v>
      </c>
      <c r="K92" s="31" t="n">
        <v>9</v>
      </c>
      <c r="L92" s="31" t="n">
        <v>10</v>
      </c>
      <c r="M92" s="31" t="n">
        <v>11</v>
      </c>
      <c r="N92" s="31" t="n">
        <v>12</v>
      </c>
      <c r="O92" s="25" t="s">
        <v>172</v>
      </c>
    </row>
    <row r="93" customFormat="false" ht="15" hidden="false" customHeight="false" outlineLevel="0" collapsed="false">
      <c r="B93" s="5" t="s">
        <v>173</v>
      </c>
      <c r="C93" s="24" t="n">
        <f aca="false">(C$92*C$51)-(MIN(C$92,$C$19-1)*C$62+MAX(0,C$92-($C$19-1))*C$63+INDEX($E$72:$E$78,MIN(C$92,6)+1)+IF($C$16="Mensual fijo",$C$14/$C$7,0))</f>
        <v>-115820.530540541</v>
      </c>
      <c r="D93" s="24" t="n">
        <f aca="false">(D$92*C$51)-(MIN(D$92,$C$19-1)*C$62+MAX(0,D$92-($C$19-1))*C$63+INDEX($E$72:$E$78,MIN(D$92,6)+1)+IF($C$16="Mensual fijo",$C$14/$C$7,0))</f>
        <v>-59277.8059459459</v>
      </c>
      <c r="E93" s="24" t="n">
        <f aca="false">(E$92*C$51)-(MIN(E$92,$C$19-1)*C$62+MAX(0,E$92-($C$19-1))*C$63+INDEX($E$72:$E$78,MIN(E$92,6)+1)+IF($C$16="Mensual fijo",$C$14/$C$7,0))</f>
        <v>-15965.5364864865</v>
      </c>
      <c r="F93" s="24" t="n">
        <f aca="false">(F$92*C$51)-(MIN(F$92,$C$19-1)*C$62+MAX(0,F$92-($C$19-1))*C$63+INDEX($E$72:$E$78,MIN(F$92,6)+1)+IF($C$16="Mensual fijo",$C$14/$C$7,0))</f>
        <v>15257.4783783784</v>
      </c>
      <c r="G93" s="24" t="n">
        <f aca="false">(G$92*C$51)-(MIN(G$92,$C$19-1)*C$62+MAX(0,G$92-($C$19-1))*C$63+INDEX($E$72:$E$78,MIN(G$92,6)+1)+IF($C$16="Mensual fijo",$C$14/$C$7,0))</f>
        <v>48700.92</v>
      </c>
      <c r="H93" s="24" t="n">
        <f aca="false">(H$92*C$51)-(MIN(H$92,$C$19-1)*C$62+MAX(0,H$92-($C$19-1))*C$63+INDEX($E$72:$E$78,MIN(H$92,6)+1)+IF($C$16="Mensual fijo",$C$14/$C$7,0))</f>
        <v>126555.15527027</v>
      </c>
      <c r="I93" s="24" t="n">
        <f aca="false">(I$92*C$51)-(MIN(I$92,$C$19-1)*C$62+MAX(0,I$92-($C$19-1))*C$63+INDEX($E$72:$E$78,MIN(I$92,6)+1)+IF($C$16="Mensual fijo",$C$14/$C$7,0))</f>
        <v>163456.852432432</v>
      </c>
      <c r="J93" s="24" t="n">
        <f aca="false">(J$92*C$51)-(MIN(J$92,$C$19-1)*C$62+MAX(0,J$92-($C$19-1))*C$63+INDEX($E$72:$E$78,MIN(J$92,6)+1)+IF($C$16="Mensual fijo",$C$14/$C$7,0))</f>
        <v>200358.549594595</v>
      </c>
      <c r="K93" s="24" t="n">
        <f aca="false">(K$92*C$51)-(MIN(K$92,$C$19-1)*C$62+MAX(0,K$92-($C$19-1))*C$63+INDEX($E$72:$E$78,MIN(K$92,6)+1)+IF($C$16="Mensual fijo",$C$14/$C$7,0))</f>
        <v>237260.246756757</v>
      </c>
      <c r="L93" s="24" t="n">
        <f aca="false">(L$92*C$51)-(MIN(L$92,$C$19-1)*C$62+MAX(0,L$92-($C$19-1))*C$63+INDEX($E$72:$E$78,MIN(L$92,6)+1)+IF($C$16="Mensual fijo",$C$14/$C$7,0))</f>
        <v>274161.943918919</v>
      </c>
      <c r="M93" s="24" t="n">
        <f aca="false">(M$92*C$51)-(MIN(M$92,$C$19-1)*C$62+MAX(0,M$92-($C$19-1))*C$63+INDEX($E$72:$E$78,MIN(M$92,6)+1)+IF($C$16="Mensual fijo",$C$14/$C$7,0))</f>
        <v>311063.641081081</v>
      </c>
      <c r="N93" s="24" t="n">
        <f aca="false">(N$92*C$51)-(MIN(N$92,$C$19-1)*C$62+MAX(0,N$92-($C$19-1))*C$63+INDEX($E$72:$E$78,MIN(N$92,6)+1)+IF($C$16="Mensual fijo",$C$14/$C$7,0))</f>
        <v>347965.338243243</v>
      </c>
      <c r="O93" s="32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174</v>
      </c>
      <c r="C94" s="24" t="n">
        <f aca="false">(C$92*D$51)-(MIN(C$92,$C$19-1)*D$62+MAX(0,C$92-($C$19-1))*D$63+INDEX($E$72:$E$78,MIN(C$92,6)+1)+IF($C$16="Mensual fijo",$C$14/$C$7,0))</f>
        <v>-122878.136756757</v>
      </c>
      <c r="D94" s="24" t="n">
        <f aca="false">(D$92*D$51)-(MIN(D$92,$C$19-1)*D$62+MAX(0,D$92-($C$19-1))*D$63+INDEX($E$72:$E$78,MIN(D$92,6)+1)+IF($C$16="Mensual fijo",$C$14/$C$7,0))</f>
        <v>-73393.0183783784</v>
      </c>
      <c r="E94" s="24" t="n">
        <f aca="false">(E$92*D$51)-(MIN(E$92,$C$19-1)*D$62+MAX(0,E$92-($C$19-1))*D$63+INDEX($E$72:$E$78,MIN(E$92,6)+1)+IF($C$16="Mensual fijo",$C$14/$C$7,0))</f>
        <v>-37138.3551351352</v>
      </c>
      <c r="F94" s="24" t="n">
        <f aca="false">(F$92*D$51)-(MIN(F$92,$C$19-1)*D$62+MAX(0,F$92-($C$19-1))*D$63+INDEX($E$72:$E$78,MIN(F$92,6)+1)+IF($C$16="Mensual fijo",$C$14/$C$7,0))</f>
        <v>-12972.9464864865</v>
      </c>
      <c r="G94" s="24" t="n">
        <f aca="false">(G$92*D$51)-(MIN(G$92,$C$19-1)*D$62+MAX(0,G$92-($C$19-1))*D$63+INDEX($E$72:$E$78,MIN(G$92,6)+1)+IF($C$16="Mensual fijo",$C$14/$C$7,0))</f>
        <v>13412.888918919</v>
      </c>
      <c r="H94" s="24" t="n">
        <f aca="false">(H$92*D$51)-(MIN(H$92,$C$19-1)*D$62+MAX(0,H$92-($C$19-1))*D$63+INDEX($E$72:$E$78,MIN(H$92,6)+1)+IF($C$16="Mensual fijo",$C$14/$C$7,0))</f>
        <v>95083.5237837838</v>
      </c>
      <c r="I94" s="24" t="n">
        <f aca="false">(I$92*D$51)-(MIN(I$92,$C$19-1)*D$62+MAX(0,I$92-($C$19-1))*D$63+INDEX($E$72:$E$78,MIN(I$92,6)+1)+IF($C$16="Mensual fijo",$C$14/$C$7,0))</f>
        <v>135801.620540541</v>
      </c>
      <c r="J94" s="24" t="n">
        <f aca="false">(J$92*D$51)-(MIN(J$92,$C$19-1)*D$62+MAX(0,J$92-($C$19-1))*D$63+INDEX($E$72:$E$78,MIN(J$92,6)+1)+IF($C$16="Mensual fijo",$C$14/$C$7,0))</f>
        <v>176519.717297297</v>
      </c>
      <c r="K94" s="24" t="n">
        <f aca="false">(K$92*D$51)-(MIN(K$92,$C$19-1)*D$62+MAX(0,K$92-($C$19-1))*D$63+INDEX($E$72:$E$78,MIN(K$92,6)+1)+IF($C$16="Mensual fijo",$C$14/$C$7,0))</f>
        <v>217237.814054054</v>
      </c>
      <c r="L94" s="24" t="n">
        <f aca="false">(L$92*D$51)-(MIN(L$92,$C$19-1)*D$62+MAX(0,L$92-($C$19-1))*D$63+INDEX($E$72:$E$78,MIN(L$92,6)+1)+IF($C$16="Mensual fijo",$C$14/$C$7,0))</f>
        <v>257955.910810811</v>
      </c>
      <c r="M94" s="24" t="n">
        <f aca="false">(M$92*D$51)-(MIN(M$92,$C$19-1)*D$62+MAX(0,M$92-($C$19-1))*D$63+INDEX($E$72:$E$78,MIN(M$92,6)+1)+IF($C$16="Mensual fijo",$C$14/$C$7,0))</f>
        <v>298674.007567568</v>
      </c>
      <c r="N94" s="24" t="n">
        <f aca="false">(N$92*D$51)-(MIN(N$92,$C$19-1)*D$62+MAX(0,N$92-($C$19-1))*D$63+INDEX($E$72:$E$78,MIN(N$92,6)+1)+IF($C$16="Mensual fijo",$C$14/$C$7,0))</f>
        <v>339392.104324324</v>
      </c>
      <c r="O94" s="32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175</v>
      </c>
      <c r="C95" s="24" t="n">
        <f aca="false">(C$92*E$51)-(MIN(C$92,$C$19-1)*E$62+MAX(0,C$92-($C$19-1))*E$63+INDEX($E$72:$E$78,MIN(C$92,6)+1)+IF($C$16="Mensual fijo",$C$14/$C$7,0))</f>
        <v>-139662.572972973</v>
      </c>
      <c r="D95" s="24" t="n">
        <f aca="false">(D$92*E$51)-(MIN(D$92,$C$19-1)*E$62+MAX(0,D$92-($C$19-1))*E$63+INDEX($E$72:$E$78,MIN(D$92,6)+1)+IF($C$16="Mensual fijo",$C$14/$C$7,0))</f>
        <v>-106961.890810811</v>
      </c>
      <c r="E95" s="24" t="n">
        <f aca="false">(E$92*E$51)-(MIN(E$92,$C$19-1)*E$62+MAX(0,E$92-($C$19-1))*E$63+INDEX($E$72:$E$78,MIN(E$92,6)+1)+IF($C$16="Mensual fijo",$C$14/$C$7,0))</f>
        <v>-87491.6637837838</v>
      </c>
      <c r="F95" s="24" t="n">
        <f aca="false">(F$92*E$51)-(MIN(F$92,$C$19-1)*E$62+MAX(0,F$92-($C$19-1))*E$63+INDEX($E$72:$E$78,MIN(F$92,6)+1)+IF($C$16="Mensual fijo",$C$14/$C$7,0))</f>
        <v>-80110.6913513513</v>
      </c>
      <c r="G95" s="24" t="n">
        <f aca="false">(G$92*E$51)-(MIN(G$92,$C$19-1)*E$62+MAX(0,G$92-($C$19-1))*E$63+INDEX($E$72:$E$78,MIN(G$92,6)+1)+IF($C$16="Mensual fijo",$C$14/$C$7,0))</f>
        <v>-70509.2921621621</v>
      </c>
      <c r="H95" s="24" t="n">
        <f aca="false">(H$92*E$51)-(MIN(H$92,$C$19-1)*E$62+MAX(0,H$92-($C$19-1))*E$63+INDEX($E$72:$E$78,MIN(H$92,6)+1)+IF($C$16="Mensual fijo",$C$14/$C$7,0))</f>
        <v>-3243.37540540542</v>
      </c>
      <c r="I95" s="24" t="n">
        <f aca="false">(I$92*E$51)-(MIN(I$92,$C$19-1)*E$62+MAX(0,I$92-($C$19-1))*E$63+INDEX($E$72:$E$78,MIN(I$92,6)+1)+IF($C$16="Mensual fijo",$C$14/$C$7,0))</f>
        <v>23070.0032432433</v>
      </c>
      <c r="J95" s="24" t="n">
        <f aca="false">(J$92*E$51)-(MIN(J$92,$C$19-1)*E$62+MAX(0,J$92-($C$19-1))*E$63+INDEX($E$72:$E$78,MIN(J$92,6)+1)+IF($C$16="Mensual fijo",$C$14/$C$7,0))</f>
        <v>49383.3818918919</v>
      </c>
      <c r="K95" s="24" t="n">
        <f aca="false">(K$92*E$51)-(MIN(K$92,$C$19-1)*E$62+MAX(0,K$92-($C$19-1))*E$63+INDEX($E$72:$E$78,MIN(K$92,6)+1)+IF($C$16="Mensual fijo",$C$14/$C$7,0))</f>
        <v>75696.7605405406</v>
      </c>
      <c r="L95" s="24" t="n">
        <f aca="false">(L$92*E$51)-(MIN(L$92,$C$19-1)*E$62+MAX(0,L$92-($C$19-1))*E$63+INDEX($E$72:$E$78,MIN(L$92,6)+1)+IF($C$16="Mensual fijo",$C$14/$C$7,0))</f>
        <v>102010.139189189</v>
      </c>
      <c r="M95" s="24" t="n">
        <f aca="false">(M$92*E$51)-(MIN(M$92,$C$19-1)*E$62+MAX(0,M$92-($C$19-1))*E$63+INDEX($E$72:$E$78,MIN(M$92,6)+1)+IF($C$16="Mensual fijo",$C$14/$C$7,0))</f>
        <v>128323.517837838</v>
      </c>
      <c r="N95" s="24" t="n">
        <f aca="false">(N$92*E$51)-(MIN(N$92,$C$19-1)*E$62+MAX(0,N$92-($C$19-1))*E$63+INDEX($E$72:$E$78,MIN(N$92,6)+1)+IF($C$16="Mensual fijo",$C$14/$C$7,0))</f>
        <v>154636.896486486</v>
      </c>
      <c r="O95" s="32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176</v>
      </c>
      <c r="C96" s="24" t="n">
        <f aca="false">(C$92*F$51)-(MIN(C$92,$C$19-1)*F$62+MAX(0,C$92-($C$19-1))*F$63+INDEX($E$72:$E$78,MIN(C$92,6)+1)+IF($C$16="Mensual fijo",$C$14/$C$7,0))</f>
        <v>-132848.735135135</v>
      </c>
      <c r="D96" s="24" t="n">
        <f aca="false">(D$92*F$51)-(MIN(D$92,$C$19-1)*F$62+MAX(0,D$92-($C$19-1))*F$63+INDEX($E$72:$E$78,MIN(D$92,6)+1)+IF($C$16="Mensual fijo",$C$14/$C$7,0))</f>
        <v>-93334.2151351351</v>
      </c>
      <c r="E96" s="24" t="n">
        <f aca="false">(E$92*F$51)-(MIN(E$92,$C$19-1)*F$62+MAX(0,E$92-($C$19-1))*F$63+INDEX($E$72:$E$78,MIN(E$92,6)+1)+IF($C$16="Mensual fijo",$C$14/$C$7,0))</f>
        <v>-67050.1502702703</v>
      </c>
      <c r="F96" s="24" t="n">
        <f aca="false">(F$92*F$51)-(MIN(F$92,$C$19-1)*F$62+MAX(0,F$92-($C$19-1))*F$63+INDEX($E$72:$E$78,MIN(F$92,6)+1)+IF($C$16="Mensual fijo",$C$14/$C$7,0))</f>
        <v>-52855.34</v>
      </c>
      <c r="G96" s="24" t="n">
        <f aca="false">(G$92*F$51)-(MIN(G$92,$C$19-1)*F$62+MAX(0,G$92-($C$19-1))*F$63+INDEX($E$72:$E$78,MIN(G$92,6)+1)+IF($C$16="Mensual fijo",$C$14/$C$7,0))</f>
        <v>-36440.102972973</v>
      </c>
      <c r="H96" s="24" t="n">
        <f aca="false">(H$92*F$51)-(MIN(H$92,$C$19-1)*F$62+MAX(0,H$92-($C$19-1))*F$63+INDEX($E$72:$E$78,MIN(H$92,6)+1)+IF($C$16="Mensual fijo",$C$14/$C$7,0))</f>
        <v>38720.7327027026</v>
      </c>
      <c r="I96" s="24" t="n">
        <f aca="false">(I$92*F$51)-(MIN(I$92,$C$19-1)*F$62+MAX(0,I$92-($C$19-1))*F$63+INDEX($E$72:$E$78,MIN(I$92,6)+1)+IF($C$16="Mensual fijo",$C$14/$C$7,0))</f>
        <v>72929.0302702702</v>
      </c>
      <c r="J96" s="24" t="n">
        <f aca="false">(J$92*F$51)-(MIN(J$92,$C$19-1)*F$62+MAX(0,J$92-($C$19-1))*F$63+INDEX($E$72:$E$78,MIN(J$92,6)+1)+IF($C$16="Mensual fijo",$C$14/$C$7,0))</f>
        <v>107137.327837838</v>
      </c>
      <c r="K96" s="24" t="n">
        <f aca="false">(K$92*F$51)-(MIN(K$92,$C$19-1)*F$62+MAX(0,K$92-($C$19-1))*F$63+INDEX($E$72:$E$78,MIN(K$92,6)+1)+IF($C$16="Mensual fijo",$C$14/$C$7,0))</f>
        <v>141345.625405405</v>
      </c>
      <c r="L96" s="24" t="n">
        <f aca="false">(L$92*F$51)-(MIN(L$92,$C$19-1)*F$62+MAX(0,L$92-($C$19-1))*F$63+INDEX($E$72:$E$78,MIN(L$92,6)+1)+IF($C$16="Mensual fijo",$C$14/$C$7,0))</f>
        <v>175553.922972973</v>
      </c>
      <c r="M96" s="24" t="n">
        <f aca="false">(M$92*F$51)-(MIN(M$92,$C$19-1)*F$62+MAX(0,M$92-($C$19-1))*F$63+INDEX($E$72:$E$78,MIN(M$92,6)+1)+IF($C$16="Mensual fijo",$C$14/$C$7,0))</f>
        <v>209762.220540541</v>
      </c>
      <c r="N96" s="24" t="n">
        <f aca="false">(N$92*F$51)-(MIN(N$92,$C$19-1)*F$62+MAX(0,N$92-($C$19-1))*F$63+INDEX($E$72:$E$78,MIN(N$92,6)+1)+IF($C$16="Mensual fijo",$C$14/$C$7,0))</f>
        <v>243970.518108108</v>
      </c>
      <c r="O96" s="32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177</v>
      </c>
      <c r="C97" s="24" t="n">
        <f aca="false">(C$92*C$51)-(MIN(C$92,$C$19-1)*C$64+MAX(0,C$92-($C$19-1))*C$64+INDEX($E$72:$E$78,MIN(C$92,6)+1)+IF($C$16="Mensual fijo",$C$14/$C$7,0))</f>
        <v>-126084.974864865</v>
      </c>
      <c r="D97" s="24" t="n">
        <f aca="false">(D$92*C$51)-(MIN(D$92,$C$19-1)*C$64+MAX(0,D$92-($C$19-1))*C$64+INDEX($E$72:$E$78,MIN(D$92,6)+1)+IF($C$16="Mensual fijo",$C$14/$C$7,0))</f>
        <v>-79806.6945945946</v>
      </c>
      <c r="E97" s="24" t="n">
        <f aca="false">(E$92*C$51)-(MIN(E$92,$C$19-1)*C$64+MAX(0,E$92-($C$19-1))*C$64+INDEX($E$72:$E$78,MIN(E$92,6)+1)+IF($C$16="Mensual fijo",$C$14/$C$7,0))</f>
        <v>-46758.8694594595</v>
      </c>
      <c r="F97" s="24" t="n">
        <f aca="false">(F$92*C$51)-(MIN(F$92,$C$19-1)*C$64+MAX(0,F$92-($C$19-1))*C$64+INDEX($E$72:$E$78,MIN(F$92,6)+1)+IF($C$16="Mensual fijo",$C$14/$C$7,0))</f>
        <v>-25800.2989189189</v>
      </c>
      <c r="G97" s="24" t="n">
        <f aca="false">(G$92*C$51)-(MIN(G$92,$C$19-1)*C$64+MAX(0,G$92-($C$19-1))*C$64+INDEX($E$72:$E$78,MIN(G$92,6)+1)+IF($C$16="Mensual fijo",$C$14/$C$7,0))</f>
        <v>-2621.30162162165</v>
      </c>
      <c r="H97" s="24" t="n">
        <f aca="false">(H$92*C$51)-(MIN(H$92,$C$19-1)*C$64+MAX(0,H$92-($C$19-1))*C$64+INDEX($E$72:$E$78,MIN(H$92,6)+1)+IF($C$16="Mensual fijo",$C$14/$C$7,0))</f>
        <v>45997.4837837838</v>
      </c>
      <c r="I97" s="24" t="n">
        <f aca="false">(I$92*C$51)-(MIN(I$92,$C$19-1)*C$64+MAX(0,I$92-($C$19-1))*C$64+INDEX($E$72:$E$78,MIN(I$92,6)+1)+IF($C$16="Mensual fijo",$C$14/$C$7,0))</f>
        <v>53663.731081081</v>
      </c>
      <c r="J97" s="24" t="n">
        <f aca="false">(J$92*C$51)-(MIN(J$92,$C$19-1)*C$64+MAX(0,J$92-($C$19-1))*C$64+INDEX($E$72:$E$78,MIN(J$92,6)+1)+IF($C$16="Mensual fijo",$C$14/$C$7,0))</f>
        <v>61329.9783783783</v>
      </c>
      <c r="K97" s="24" t="n">
        <f aca="false">(K$92*C$51)-(MIN(K$92,$C$19-1)*C$64+MAX(0,K$92-($C$19-1))*C$64+INDEX($E$72:$E$78,MIN(K$92,6)+1)+IF($C$16="Mensual fijo",$C$14/$C$7,0))</f>
        <v>68996.2256756757</v>
      </c>
      <c r="L97" s="24" t="n">
        <f aca="false">(L$92*C$51)-(MIN(L$92,$C$19-1)*C$64+MAX(0,L$92-($C$19-1))*C$64+INDEX($E$72:$E$78,MIN(L$92,6)+1)+IF($C$16="Mensual fijo",$C$14/$C$7,0))</f>
        <v>76662.4729729729</v>
      </c>
      <c r="M97" s="24" t="n">
        <f aca="false">(M$92*C$51)-(MIN(M$92,$C$19-1)*C$64+MAX(0,M$92-($C$19-1))*C$64+INDEX($E$72:$E$78,MIN(M$92,6)+1)+IF($C$16="Mensual fijo",$C$14/$C$7,0))</f>
        <v>84328.7202702703</v>
      </c>
      <c r="N97" s="24" t="n">
        <f aca="false">(N$92*C$51)-(MIN(N$92,$C$19-1)*C$64+MAX(0,N$92-($C$19-1))*C$64+INDEX($E$72:$E$78,MIN(N$92,6)+1)+IF($C$16="Mensual fijo",$C$14/$C$7,0))</f>
        <v>91994.9675675675</v>
      </c>
      <c r="O97" s="32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178</v>
      </c>
      <c r="C98" s="24" t="n">
        <f aca="false">(C$92*D$51)-(MIN(C$92,$C$19-1)*D$64+MAX(0,C$92-($C$19-1))*D$64+INDEX($E$72:$E$78,MIN(C$92,6)+1)+IF($C$16="Mensual fijo",$C$14/$C$7,0))</f>
        <v>-145427.219459459</v>
      </c>
      <c r="D98" s="24" t="n">
        <f aca="false">(D$92*D$51)-(MIN(D$92,$C$19-1)*D$64+MAX(0,D$92-($C$19-1))*D$64+INDEX($E$72:$E$78,MIN(D$92,6)+1)+IF($C$16="Mensual fijo",$C$14/$C$7,0))</f>
        <v>-118491.183783784</v>
      </c>
      <c r="E98" s="24" t="n">
        <f aca="false">(E$92*D$51)-(MIN(E$92,$C$19-1)*D$64+MAX(0,E$92-($C$19-1))*D$64+INDEX($E$72:$E$78,MIN(E$92,6)+1)+IF($C$16="Mensual fijo",$C$14/$C$7,0))</f>
        <v>-104785.603243243</v>
      </c>
      <c r="F98" s="24" t="n">
        <f aca="false">(F$92*D$51)-(MIN(F$92,$C$19-1)*D$64+MAX(0,F$92-($C$19-1))*D$64+INDEX($E$72:$E$78,MIN(F$92,6)+1)+IF($C$16="Mensual fijo",$C$14/$C$7,0))</f>
        <v>-103169.277297297</v>
      </c>
      <c r="G98" s="24" t="n">
        <f aca="false">(G$92*D$51)-(MIN(G$92,$C$19-1)*D$64+MAX(0,G$92-($C$19-1))*D$64+INDEX($E$72:$E$78,MIN(G$92,6)+1)+IF($C$16="Mensual fijo",$C$14/$C$7,0))</f>
        <v>-99332.5245945946</v>
      </c>
      <c r="H98" s="24" t="n">
        <f aca="false">(H$92*D$51)-(MIN(H$92,$C$19-1)*D$64+MAX(0,H$92-($C$19-1))*D$64+INDEX($E$72:$E$78,MIN(H$92,6)+1)+IF($C$16="Mensual fijo",$C$14/$C$7,0))</f>
        <v>-70055.9837837839</v>
      </c>
      <c r="I98" s="24" t="n">
        <f aca="false">(I$92*D$51)-(MIN(I$92,$C$19-1)*D$64+MAX(0,I$92-($C$19-1))*D$64+INDEX($E$72:$E$78,MIN(I$92,6)+1)+IF($C$16="Mensual fijo",$C$14/$C$7,0))</f>
        <v>-81731.9810810811</v>
      </c>
      <c r="J98" s="24" t="n">
        <f aca="false">(J$92*D$51)-(MIN(J$92,$C$19-1)*D$64+MAX(0,J$92-($C$19-1))*D$64+INDEX($E$72:$E$78,MIN(J$92,6)+1)+IF($C$16="Mensual fijo",$C$14/$C$7,0))</f>
        <v>-93407.9783783784</v>
      </c>
      <c r="K98" s="24" t="n">
        <f aca="false">(K$92*D$51)-(MIN(K$92,$C$19-1)*D$64+MAX(0,K$92-($C$19-1))*D$64+INDEX($E$72:$E$78,MIN(K$92,6)+1)+IF($C$16="Mensual fijo",$C$14/$C$7,0))</f>
        <v>-105083.975675676</v>
      </c>
      <c r="L98" s="24" t="n">
        <f aca="false">(L$92*D$51)-(MIN(L$92,$C$19-1)*D$64+MAX(0,L$92-($C$19-1))*D$64+INDEX($E$72:$E$78,MIN(L$92,6)+1)+IF($C$16="Mensual fijo",$C$14/$C$7,0))</f>
        <v>-116759.972972973</v>
      </c>
      <c r="M98" s="24" t="n">
        <f aca="false">(M$92*D$51)-(MIN(M$92,$C$19-1)*D$64+MAX(0,M$92-($C$19-1))*D$64+INDEX($E$72:$E$78,MIN(M$92,6)+1)+IF($C$16="Mensual fijo",$C$14/$C$7,0))</f>
        <v>-128435.97027027</v>
      </c>
      <c r="N98" s="24" t="n">
        <f aca="false">(N$92*D$51)-(MIN(N$92,$C$19-1)*D$64+MAX(0,N$92-($C$19-1))*D$64+INDEX($E$72:$E$78,MIN(N$92,6)+1)+IF($C$16="Mensual fijo",$C$14/$C$7,0))</f>
        <v>-140111.967567568</v>
      </c>
      <c r="O98" s="32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179</v>
      </c>
      <c r="C99" s="24" t="n">
        <f aca="false">(C$92*E$51)-(MIN(C$92,$C$19-1)*E$64+MAX(0,C$92-($C$19-1))*E$64+INDEX($E$72:$E$78,MIN(C$92,6)+1)+IF($C$16="Mensual fijo",$C$14/$C$7,0))</f>
        <v>-176199.566486486</v>
      </c>
      <c r="D99" s="24" t="n">
        <f aca="false">(D$92*E$51)-(MIN(D$92,$C$19-1)*E$64+MAX(0,D$92-($C$19-1))*E$64+INDEX($E$72:$E$78,MIN(D$92,6)+1)+IF($C$16="Mensual fijo",$C$14/$C$7,0))</f>
        <v>-180035.877837838</v>
      </c>
      <c r="E99" s="24" t="n">
        <f aca="false">(E$92*E$51)-(MIN(E$92,$C$19-1)*E$64+MAX(0,E$92-($C$19-1))*E$64+INDEX($E$72:$E$78,MIN(E$92,6)+1)+IF($C$16="Mensual fijo",$C$14/$C$7,0))</f>
        <v>-197102.644324324</v>
      </c>
      <c r="F99" s="24" t="n">
        <f aca="false">(F$92*E$51)-(MIN(F$92,$C$19-1)*E$64+MAX(0,F$92-($C$19-1))*E$64+INDEX($E$72:$E$78,MIN(F$92,6)+1)+IF($C$16="Mensual fijo",$C$14/$C$7,0))</f>
        <v>-226258.665405405</v>
      </c>
      <c r="G99" s="24" t="n">
        <f aca="false">(G$92*E$51)-(MIN(G$92,$C$19-1)*E$64+MAX(0,G$92-($C$19-1))*E$64+INDEX($E$72:$E$78,MIN(G$92,6)+1)+IF($C$16="Mensual fijo",$C$14/$C$7,0))</f>
        <v>-253194.25972973</v>
      </c>
      <c r="H99" s="24" t="n">
        <f aca="false">(H$92*E$51)-(MIN(H$92,$C$19-1)*E$64+MAX(0,H$92-($C$19-1))*E$64+INDEX($E$72:$E$78,MIN(H$92,6)+1)+IF($C$16="Mensual fijo",$C$14/$C$7,0))</f>
        <v>-254690.065945946</v>
      </c>
      <c r="I99" s="24" t="n">
        <f aca="false">(I$92*E$51)-(MIN(I$92,$C$19-1)*E$64+MAX(0,I$92-($C$19-1))*E$64+INDEX($E$72:$E$78,MIN(I$92,6)+1)+IF($C$16="Mensual fijo",$C$14/$C$7,0))</f>
        <v>-297138.41027027</v>
      </c>
      <c r="J99" s="24" t="n">
        <f aca="false">(J$92*E$51)-(MIN(J$92,$C$19-1)*E$64+MAX(0,J$92-($C$19-1))*E$64+INDEX($E$72:$E$78,MIN(J$92,6)+1)+IF($C$16="Mensual fijo",$C$14/$C$7,0))</f>
        <v>-339586.754594595</v>
      </c>
      <c r="K99" s="24" t="n">
        <f aca="false">(K$92*E$51)-(MIN(K$92,$C$19-1)*E$64+MAX(0,K$92-($C$19-1))*E$64+INDEX($E$72:$E$78,MIN(K$92,6)+1)+IF($C$16="Mensual fijo",$C$14/$C$7,0))</f>
        <v>-382035.098918919</v>
      </c>
      <c r="L99" s="24" t="n">
        <f aca="false">(L$92*E$51)-(MIN(L$92,$C$19-1)*E$64+MAX(0,L$92-($C$19-1))*E$64+INDEX($E$72:$E$78,MIN(L$92,6)+1)+IF($C$16="Mensual fijo",$C$14/$C$7,0))</f>
        <v>-424483.443243243</v>
      </c>
      <c r="M99" s="24" t="n">
        <f aca="false">(M$92*E$51)-(MIN(M$92,$C$19-1)*E$64+MAX(0,M$92-($C$19-1))*E$64+INDEX($E$72:$E$78,MIN(M$92,6)+1)+IF($C$16="Mensual fijo",$C$14/$C$7,0))</f>
        <v>-466931.787567567</v>
      </c>
      <c r="N99" s="24" t="n">
        <f aca="false">(N$92*E$51)-(MIN(N$92,$C$19-1)*E$64+MAX(0,N$92-($C$19-1))*E$64+INDEX($E$72:$E$78,MIN(N$92,6)+1)+IF($C$16="Mensual fijo",$C$14/$C$7,0))</f>
        <v>-509380.131891892</v>
      </c>
      <c r="O99" s="32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180</v>
      </c>
      <c r="C100" s="24" t="n">
        <f aca="false">(C$92*F$51)-(MIN(C$92,$C$19-1)*F$64+MAX(0,C$92-($C$19-1))*F$64+INDEX($E$72:$E$78,MIN(C$92,6)+1)+IF($C$16="Mensual fijo",$C$14/$C$7,0))</f>
        <v>-178345.472972973</v>
      </c>
      <c r="D100" s="24" t="n">
        <f aca="false">(D$92*F$51)-(MIN(D$92,$C$19-1)*F$64+MAX(0,D$92-($C$19-1))*F$64+INDEX($E$72:$E$78,MIN(D$92,6)+1)+IF($C$16="Mensual fijo",$C$14/$C$7,0))</f>
        <v>-184327.690810811</v>
      </c>
      <c r="E100" s="24" t="n">
        <f aca="false">(E$92*F$51)-(MIN(E$92,$C$19-1)*F$64+MAX(0,E$92-($C$19-1))*F$64+INDEX($E$72:$E$78,MIN(E$92,6)+1)+IF($C$16="Mensual fijo",$C$14/$C$7,0))</f>
        <v>-203540.363783784</v>
      </c>
      <c r="F100" s="24" t="n">
        <f aca="false">(F$92*F$51)-(MIN(F$92,$C$19-1)*F$64+MAX(0,F$92-($C$19-1))*F$64+INDEX($E$72:$E$78,MIN(F$92,6)+1)+IF($C$16="Mensual fijo",$C$14/$C$7,0))</f>
        <v>-234842.291351351</v>
      </c>
      <c r="G100" s="24" t="n">
        <f aca="false">(G$92*F$51)-(MIN(G$92,$C$19-1)*F$64+MAX(0,G$92-($C$19-1))*F$64+INDEX($E$72:$E$78,MIN(G$92,6)+1)+IF($C$16="Mensual fijo",$C$14/$C$7,0))</f>
        <v>-263923.792162162</v>
      </c>
      <c r="H100" s="24" t="n">
        <f aca="false">(H$92*F$51)-(MIN(H$92,$C$19-1)*F$64+MAX(0,H$92-($C$19-1))*F$64+INDEX($E$72:$E$78,MIN(H$92,6)+1)+IF($C$16="Mensual fijo",$C$14/$C$7,0))</f>
        <v>-267565.504864865</v>
      </c>
      <c r="I100" s="24" t="n">
        <f aca="false">(I$92*F$51)-(MIN(I$92,$C$19-1)*F$64+MAX(0,I$92-($C$19-1))*F$64+INDEX($E$72:$E$78,MIN(I$92,6)+1)+IF($C$16="Mensual fijo",$C$14/$C$7,0))</f>
        <v>-312159.755675676</v>
      </c>
      <c r="J100" s="24" t="n">
        <f aca="false">(J$92*F$51)-(MIN(J$92,$C$19-1)*F$64+MAX(0,J$92-($C$19-1))*F$64+INDEX($E$72:$E$78,MIN(J$92,6)+1)+IF($C$16="Mensual fijo",$C$14/$C$7,0))</f>
        <v>-356754.006486487</v>
      </c>
      <c r="K100" s="24" t="n">
        <f aca="false">(K$92*F$51)-(MIN(K$92,$C$19-1)*F$64+MAX(0,K$92-($C$19-1))*F$64+INDEX($E$72:$E$78,MIN(K$92,6)+1)+IF($C$16="Mensual fijo",$C$14/$C$7,0))</f>
        <v>-401348.257297297</v>
      </c>
      <c r="L100" s="24" t="n">
        <f aca="false">(L$92*F$51)-(MIN(L$92,$C$19-1)*F$64+MAX(0,L$92-($C$19-1))*F$64+INDEX($E$72:$E$78,MIN(L$92,6)+1)+IF($C$16="Mensual fijo",$C$14/$C$7,0))</f>
        <v>-445942.508108108</v>
      </c>
      <c r="M100" s="24" t="n">
        <f aca="false">(M$92*F$51)-(MIN(M$92,$C$19-1)*F$64+MAX(0,M$92-($C$19-1))*F$64+INDEX($E$72:$E$78,MIN(M$92,6)+1)+IF($C$16="Mensual fijo",$C$14/$C$7,0))</f>
        <v>-490536.758918919</v>
      </c>
      <c r="N100" s="24" t="n">
        <f aca="false">(N$92*F$51)-(MIN(N$92,$C$19-1)*F$64+MAX(0,N$92-($C$19-1))*F$64+INDEX($E$72:$E$78,MIN(N$92,6)+1)+IF($C$16="Mensual fijo",$C$14/$C$7,0))</f>
        <v>-535131.00972973</v>
      </c>
      <c r="O100" s="32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181</v>
      </c>
      <c r="C101" s="24" t="n">
        <f aca="false">(C$92*C$51)-(MIN(C$92,$C$19-1)*C$64+MAX(0,C$92-($C$19-1))*C$65+INDEX($E$72:$E$78,MIN(C$92,6)+1)+IF($C$16="Mensual fijo",$C$14/$C$7,0))</f>
        <v>-126084.974864865</v>
      </c>
      <c r="D101" s="24" t="n">
        <f aca="false">(D$92*C$51)-(MIN(D$92,$C$19-1)*C$64+MAX(0,D$92-($C$19-1))*C$65+INDEX($E$72:$E$78,MIN(D$92,6)+1)+IF($C$16="Mensual fijo",$C$14/$C$7,0))</f>
        <v>-79806.6945945946</v>
      </c>
      <c r="E101" s="24" t="n">
        <f aca="false">(E$92*C$51)-(MIN(E$92,$C$19-1)*C$64+MAX(0,E$92-($C$19-1))*C$65+INDEX($E$72:$E$78,MIN(E$92,6)+1)+IF($C$16="Mensual fijo",$C$14/$C$7,0))</f>
        <v>-46758.8694594595</v>
      </c>
      <c r="F101" s="24" t="n">
        <f aca="false">(F$92*C$51)-(MIN(F$92,$C$19-1)*C$64+MAX(0,F$92-($C$19-1))*C$65+INDEX($E$72:$E$78,MIN(F$92,6)+1)+IF($C$16="Mensual fijo",$C$14/$C$7,0))</f>
        <v>-25800.2989189189</v>
      </c>
      <c r="G101" s="24" t="n">
        <f aca="false">(G$92*C$51)-(MIN(G$92,$C$19-1)*C$64+MAX(0,G$92-($C$19-1))*C$65+INDEX($E$72:$E$78,MIN(G$92,6)+1)+IF($C$16="Mensual fijo",$C$14/$C$7,0))</f>
        <v>-2621.30162162165</v>
      </c>
      <c r="H101" s="24" t="n">
        <f aca="false">(H$92*C$51)-(MIN(H$92,$C$19-1)*C$64+MAX(0,H$92-($C$19-1))*C$65+INDEX($E$72:$E$78,MIN(H$92,6)+1)+IF($C$16="Mensual fijo",$C$14/$C$7,0))</f>
        <v>70100.7114864865</v>
      </c>
      <c r="I101" s="24" t="n">
        <f aca="false">(I$92*C$51)-(MIN(I$92,$C$19-1)*C$64+MAX(0,I$92-($C$19-1))*C$65+INDEX($E$72:$E$78,MIN(I$92,6)+1)+IF($C$16="Mensual fijo",$C$14/$C$7,0))</f>
        <v>101870.186486486</v>
      </c>
      <c r="J101" s="24" t="n">
        <f aca="false">(J$92*C$51)-(MIN(J$92,$C$19-1)*C$64+MAX(0,J$92-($C$19-1))*C$65+INDEX($E$72:$E$78,MIN(J$92,6)+1)+IF($C$16="Mensual fijo",$C$14/$C$7,0))</f>
        <v>133639.661486486</v>
      </c>
      <c r="K101" s="24" t="n">
        <f aca="false">(K$92*C$51)-(MIN(K$92,$C$19-1)*C$64+MAX(0,K$92-($C$19-1))*C$65+INDEX($E$72:$E$78,MIN(K$92,6)+1)+IF($C$16="Mensual fijo",$C$14/$C$7,0))</f>
        <v>165409.136486487</v>
      </c>
      <c r="L101" s="24" t="n">
        <f aca="false">(L$92*C$51)-(MIN(L$92,$C$19-1)*C$64+MAX(0,L$92-($C$19-1))*C$65+INDEX($E$72:$E$78,MIN(L$92,6)+1)+IF($C$16="Mensual fijo",$C$14/$C$7,0))</f>
        <v>197178.611486486</v>
      </c>
      <c r="M101" s="24" t="n">
        <f aca="false">(M$92*C$51)-(MIN(M$92,$C$19-1)*C$64+MAX(0,M$92-($C$19-1))*C$65+INDEX($E$72:$E$78,MIN(M$92,6)+1)+IF($C$16="Mensual fijo",$C$14/$C$7,0))</f>
        <v>228948.086486486</v>
      </c>
      <c r="N101" s="24" t="n">
        <f aca="false">(N$92*C$51)-(MIN(N$92,$C$19-1)*C$64+MAX(0,N$92-($C$19-1))*C$65+INDEX($E$72:$E$78,MIN(N$92,6)+1)+IF($C$16="Mensual fijo",$C$14/$C$7,0))</f>
        <v>260717.561486487</v>
      </c>
      <c r="O101" s="32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182</v>
      </c>
      <c r="C102" s="24" t="n">
        <f aca="false">(C$92*D$51)-(MIN(C$92,$C$19-1)*D$64+MAX(0,C$92-($C$19-1))*D$65+INDEX($E$72:$E$78,MIN(C$92,6)+1)+IF($C$16="Mensual fijo",$C$14/$C$7,0))</f>
        <v>-145427.219459459</v>
      </c>
      <c r="D102" s="24" t="n">
        <f aca="false">(D$92*D$51)-(MIN(D$92,$C$19-1)*D$64+MAX(0,D$92-($C$19-1))*D$65+INDEX($E$72:$E$78,MIN(D$92,6)+1)+IF($C$16="Mensual fijo",$C$14/$C$7,0))</f>
        <v>-118491.183783784</v>
      </c>
      <c r="E102" s="24" t="n">
        <f aca="false">(E$92*D$51)-(MIN(E$92,$C$19-1)*D$64+MAX(0,E$92-($C$19-1))*D$65+INDEX($E$72:$E$78,MIN(E$92,6)+1)+IF($C$16="Mensual fijo",$C$14/$C$7,0))</f>
        <v>-104785.603243243</v>
      </c>
      <c r="F102" s="24" t="n">
        <f aca="false">(F$92*D$51)-(MIN(F$92,$C$19-1)*D$64+MAX(0,F$92-($C$19-1))*D$65+INDEX($E$72:$E$78,MIN(F$92,6)+1)+IF($C$16="Mensual fijo",$C$14/$C$7,0))</f>
        <v>-103169.277297297</v>
      </c>
      <c r="G102" s="24" t="n">
        <f aca="false">(G$92*D$51)-(MIN(G$92,$C$19-1)*D$64+MAX(0,G$92-($C$19-1))*D$65+INDEX($E$72:$E$78,MIN(G$92,6)+1)+IF($C$16="Mensual fijo",$C$14/$C$7,0))</f>
        <v>-99332.5245945946</v>
      </c>
      <c r="H102" s="24" t="n">
        <f aca="false">(H$92*D$51)-(MIN(H$92,$C$19-1)*D$64+MAX(0,H$92-($C$19-1))*D$65+INDEX($E$72:$E$78,MIN(H$92,6)+1)+IF($C$16="Mensual fijo",$C$14/$C$7,0))</f>
        <v>-28936.4310810812</v>
      </c>
      <c r="I102" s="24" t="n">
        <f aca="false">(I$92*D$51)-(MIN(I$92,$C$19-1)*D$64+MAX(0,I$92-($C$19-1))*D$65+INDEX($E$72:$E$78,MIN(I$92,6)+1)+IF($C$16="Mensual fijo",$C$14/$C$7,0))</f>
        <v>507.124324324308</v>
      </c>
      <c r="J102" s="24" t="n">
        <f aca="false">(J$92*D$51)-(MIN(J$92,$C$19-1)*D$64+MAX(0,J$92-($C$19-1))*D$65+INDEX($E$72:$E$78,MIN(J$92,6)+1)+IF($C$16="Mensual fijo",$C$14/$C$7,0))</f>
        <v>29950.6797297298</v>
      </c>
      <c r="K102" s="24" t="n">
        <f aca="false">(K$92*D$51)-(MIN(K$92,$C$19-1)*D$64+MAX(0,K$92-($C$19-1))*D$65+INDEX($E$72:$E$78,MIN(K$92,6)+1)+IF($C$16="Mensual fijo",$C$14/$C$7,0))</f>
        <v>59394.235135135</v>
      </c>
      <c r="L102" s="24" t="n">
        <f aca="false">(L$92*D$51)-(MIN(L$92,$C$19-1)*D$64+MAX(0,L$92-($C$19-1))*D$65+INDEX($E$72:$E$78,MIN(L$92,6)+1)+IF($C$16="Mensual fijo",$C$14/$C$7,0))</f>
        <v>88837.7905405406</v>
      </c>
      <c r="M102" s="24" t="n">
        <f aca="false">(M$92*D$51)-(MIN(M$92,$C$19-1)*D$64+MAX(0,M$92-($C$19-1))*D$65+INDEX($E$72:$E$78,MIN(M$92,6)+1)+IF($C$16="Mensual fijo",$C$14/$C$7,0))</f>
        <v>118281.345945946</v>
      </c>
      <c r="N102" s="24" t="n">
        <f aca="false">(N$92*D$51)-(MIN(N$92,$C$19-1)*D$64+MAX(0,N$92-($C$19-1))*D$65+INDEX($E$72:$E$78,MIN(N$92,6)+1)+IF($C$16="Mensual fijo",$C$14/$C$7,0))</f>
        <v>147724.901351351</v>
      </c>
      <c r="O102" s="32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183</v>
      </c>
      <c r="C103" s="24" t="n">
        <f aca="false">(C$92*E$51)-(MIN(C$92,$C$19-1)*E$64+MAX(0,C$92-($C$19-1))*E$65+INDEX($E$72:$E$78,MIN(C$92,6)+1)+IF($C$16="Mensual fijo",$C$14/$C$7,0))</f>
        <v>-176199.566486486</v>
      </c>
      <c r="D103" s="24" t="n">
        <f aca="false">(D$92*E$51)-(MIN(D$92,$C$19-1)*E$64+MAX(0,D$92-($C$19-1))*E$65+INDEX($E$72:$E$78,MIN(D$92,6)+1)+IF($C$16="Mensual fijo",$C$14/$C$7,0))</f>
        <v>-180035.877837838</v>
      </c>
      <c r="E103" s="24" t="n">
        <f aca="false">(E$92*E$51)-(MIN(E$92,$C$19-1)*E$64+MAX(0,E$92-($C$19-1))*E$65+INDEX($E$72:$E$78,MIN(E$92,6)+1)+IF($C$16="Mensual fijo",$C$14/$C$7,0))</f>
        <v>-197102.644324324</v>
      </c>
      <c r="F103" s="24" t="n">
        <f aca="false">(F$92*E$51)-(MIN(F$92,$C$19-1)*E$64+MAX(0,F$92-($C$19-1))*E$65+INDEX($E$72:$E$78,MIN(F$92,6)+1)+IF($C$16="Mensual fijo",$C$14/$C$7,0))</f>
        <v>-226258.665405405</v>
      </c>
      <c r="G103" s="24" t="n">
        <f aca="false">(G$92*E$51)-(MIN(G$92,$C$19-1)*E$64+MAX(0,G$92-($C$19-1))*E$65+INDEX($E$72:$E$78,MIN(G$92,6)+1)+IF($C$16="Mensual fijo",$C$14/$C$7,0))</f>
        <v>-253194.25972973</v>
      </c>
      <c r="H103" s="24" t="n">
        <f aca="false">(H$92*E$51)-(MIN(H$92,$C$19-1)*E$64+MAX(0,H$92-($C$19-1))*E$65+INDEX($E$72:$E$78,MIN(H$92,6)+1)+IF($C$16="Mensual fijo",$C$14/$C$7,0))</f>
        <v>-204196.83972973</v>
      </c>
      <c r="I103" s="24" t="n">
        <f aca="false">(I$92*E$51)-(MIN(I$92,$C$19-1)*E$64+MAX(0,I$92-($C$19-1))*E$65+INDEX($E$72:$E$78,MIN(I$92,6)+1)+IF($C$16="Mensual fijo",$C$14/$C$7,0))</f>
        <v>-196151.957837838</v>
      </c>
      <c r="J103" s="24" t="n">
        <f aca="false">(J$92*E$51)-(MIN(J$92,$C$19-1)*E$64+MAX(0,J$92-($C$19-1))*E$65+INDEX($E$72:$E$78,MIN(J$92,6)+1)+IF($C$16="Mensual fijo",$C$14/$C$7,0))</f>
        <v>-188107.075945946</v>
      </c>
      <c r="K103" s="24" t="n">
        <f aca="false">(K$92*E$51)-(MIN(K$92,$C$19-1)*E$64+MAX(0,K$92-($C$19-1))*E$65+INDEX($E$72:$E$78,MIN(K$92,6)+1)+IF($C$16="Mensual fijo",$C$14/$C$7,0))</f>
        <v>-180062.194054054</v>
      </c>
      <c r="L103" s="24" t="n">
        <f aca="false">(L$92*E$51)-(MIN(L$92,$C$19-1)*E$64+MAX(0,L$92-($C$19-1))*E$65+INDEX($E$72:$E$78,MIN(L$92,6)+1)+IF($C$16="Mensual fijo",$C$14/$C$7,0))</f>
        <v>-172017.312162162</v>
      </c>
      <c r="M103" s="24" t="n">
        <f aca="false">(M$92*E$51)-(MIN(M$92,$C$19-1)*E$64+MAX(0,M$92-($C$19-1))*E$65+INDEX($E$72:$E$78,MIN(M$92,6)+1)+IF($C$16="Mensual fijo",$C$14/$C$7,0))</f>
        <v>-163972.43027027</v>
      </c>
      <c r="N103" s="24" t="n">
        <f aca="false">(N$92*E$51)-(MIN(N$92,$C$19-1)*E$64+MAX(0,N$92-($C$19-1))*E$65+INDEX($E$72:$E$78,MIN(N$92,6)+1)+IF($C$16="Mensual fijo",$C$14/$C$7,0))</f>
        <v>-155927.548378379</v>
      </c>
      <c r="O103" s="32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184</v>
      </c>
      <c r="C104" s="24" t="n">
        <f aca="false">(C$92*F$51)-(MIN(C$92,$C$19-1)*F$64+MAX(0,C$92-($C$19-1))*F$65+INDEX($E$72:$E$78,MIN(C$92,6)+1)+IF($C$16="Mensual fijo",$C$14/$C$7,0))</f>
        <v>-178345.472972973</v>
      </c>
      <c r="D104" s="24" t="n">
        <f aca="false">(D$92*F$51)-(MIN(D$92,$C$19-1)*F$64+MAX(0,D$92-($C$19-1))*F$65+INDEX($E$72:$E$78,MIN(D$92,6)+1)+IF($C$16="Mensual fijo",$C$14/$C$7,0))</f>
        <v>-184327.690810811</v>
      </c>
      <c r="E104" s="24" t="n">
        <f aca="false">(E$92*F$51)-(MIN(E$92,$C$19-1)*F$64+MAX(0,E$92-($C$19-1))*F$65+INDEX($E$72:$E$78,MIN(E$92,6)+1)+IF($C$16="Mensual fijo",$C$14/$C$7,0))</f>
        <v>-203540.363783784</v>
      </c>
      <c r="F104" s="24" t="n">
        <f aca="false">(F$92*F$51)-(MIN(F$92,$C$19-1)*F$64+MAX(0,F$92-($C$19-1))*F$65+INDEX($E$72:$E$78,MIN(F$92,6)+1)+IF($C$16="Mensual fijo",$C$14/$C$7,0))</f>
        <v>-234842.291351351</v>
      </c>
      <c r="G104" s="24" t="n">
        <f aca="false">(G$92*F$51)-(MIN(G$92,$C$19-1)*F$64+MAX(0,G$92-($C$19-1))*F$65+INDEX($E$72:$E$78,MIN(G$92,6)+1)+IF($C$16="Mensual fijo",$C$14/$C$7,0))</f>
        <v>-263923.792162162</v>
      </c>
      <c r="H104" s="24" t="n">
        <f aca="false">(H$92*F$51)-(MIN(H$92,$C$19-1)*F$64+MAX(0,H$92-($C$19-1))*F$65+INDEX($E$72:$E$78,MIN(H$92,6)+1)+IF($C$16="Mensual fijo",$C$14/$C$7,0))</f>
        <v>-211511.325405405</v>
      </c>
      <c r="I104" s="24" t="n">
        <f aca="false">(I$92*F$51)-(MIN(I$92,$C$19-1)*F$64+MAX(0,I$92-($C$19-1))*F$65+INDEX($E$72:$E$78,MIN(I$92,6)+1)+IF($C$16="Mensual fijo",$C$14/$C$7,0))</f>
        <v>-200051.396756757</v>
      </c>
      <c r="J104" s="24" t="n">
        <f aca="false">(J$92*F$51)-(MIN(J$92,$C$19-1)*F$64+MAX(0,J$92-($C$19-1))*F$65+INDEX($E$72:$E$78,MIN(J$92,6)+1)+IF($C$16="Mensual fijo",$C$14/$C$7,0))</f>
        <v>-188591.468108108</v>
      </c>
      <c r="K104" s="24" t="n">
        <f aca="false">(K$92*F$51)-(MIN(K$92,$C$19-1)*F$64+MAX(0,K$92-($C$19-1))*F$65+INDEX($E$72:$E$78,MIN(K$92,6)+1)+IF($C$16="Mensual fijo",$C$14/$C$7,0))</f>
        <v>-177131.539459459</v>
      </c>
      <c r="L104" s="24" t="n">
        <f aca="false">(L$92*F$51)-(MIN(L$92,$C$19-1)*F$64+MAX(0,L$92-($C$19-1))*F$65+INDEX($E$72:$E$78,MIN(L$92,6)+1)+IF($C$16="Mensual fijo",$C$14/$C$7,0))</f>
        <v>-165671.610810811</v>
      </c>
      <c r="M104" s="24" t="n">
        <f aca="false">(M$92*F$51)-(MIN(M$92,$C$19-1)*F$64+MAX(0,M$92-($C$19-1))*F$65+INDEX($E$72:$E$78,MIN(M$92,6)+1)+IF($C$16="Mensual fijo",$C$14/$C$7,0))</f>
        <v>-154211.682162162</v>
      </c>
      <c r="N104" s="24" t="n">
        <f aca="false">(N$92*F$51)-(MIN(N$92,$C$19-1)*F$64+MAX(0,N$92-($C$19-1))*F$65+INDEX($E$72:$E$78,MIN(N$92,6)+1)+IF($C$16="Mensual fijo",$C$14/$C$7,0))</f>
        <v>-142751.753513514</v>
      </c>
      <c r="O104" s="32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185</v>
      </c>
      <c r="C105" s="24" t="n">
        <f aca="false">(C$92*C$51)-(MIN(C$92,$C$19-1)*C$66+MAX(0,C$92-($C$19-1))*C$67+INDEX($F$72:$F$78,MIN(C$92,6)+1)+IF($C$16="Mensual fijo",$C$14/$C$7,0))</f>
        <v>-163082.127027027</v>
      </c>
      <c r="D105" s="24" t="n">
        <f aca="false">(D$92*C$51)-(MIN(D$92,$C$19-1)*C$66+MAX(0,D$92-($C$19-1))*C$67+INDEX($F$72:$F$78,MIN(D$92,6)+1)+IF($C$16="Mensual fijo",$C$14/$C$7,0))</f>
        <v>-99846.7310810811</v>
      </c>
      <c r="E105" s="24" t="n">
        <f aca="false">(E$92*C$51)-(MIN(E$92,$C$19-1)*C$66+MAX(0,E$92-($C$19-1))*C$67+INDEX($F$72:$F$78,MIN(E$92,6)+1)+IF($C$16="Mensual fijo",$C$14/$C$7,0))</f>
        <v>-36611.3351351352</v>
      </c>
      <c r="F105" s="24" t="n">
        <f aca="false">(F$92*C$51)-(MIN(F$92,$C$19-1)*C$66+MAX(0,F$92-($C$19-1))*C$67+INDEX($F$72:$F$78,MIN(F$92,6)+1)+IF($C$16="Mensual fijo",$C$14/$C$7,0))</f>
        <v>26624.0608108108</v>
      </c>
      <c r="G105" s="24" t="n">
        <f aca="false">(G$92*C$51)-(MIN(G$92,$C$19-1)*C$66+MAX(0,G$92-($C$19-1))*C$67+INDEX($F$72:$F$78,MIN(G$92,6)+1)+IF($C$16="Mensual fijo",$C$14/$C$7,0))</f>
        <v>89859.4567567567</v>
      </c>
      <c r="H105" s="24" t="n">
        <f aca="false">(H$92*C$51)-(MIN(H$92,$C$19-1)*C$66+MAX(0,H$92-($C$19-1))*C$67+INDEX($F$72:$F$78,MIN(H$92,6)+1)+IF($C$16="Mensual fijo",$C$14/$C$7,0))</f>
        <v>112440.267567568</v>
      </c>
      <c r="I105" s="24" t="n">
        <f aca="false">(I$92*C$51)-(MIN(I$92,$C$19-1)*C$66+MAX(0,I$92-($C$19-1))*C$67+INDEX($F$72:$F$78,MIN(I$92,6)+1)+IF($C$16="Mensual fijo",$C$14/$C$7,0))</f>
        <v>135021.078378378</v>
      </c>
      <c r="J105" s="24" t="n">
        <f aca="false">(J$92*C$51)-(MIN(J$92,$C$19-1)*C$66+MAX(0,J$92-($C$19-1))*C$67+INDEX($F$72:$F$78,MIN(J$92,6)+1)+IF($C$16="Mensual fijo",$C$14/$C$7,0))</f>
        <v>157601.889189189</v>
      </c>
      <c r="K105" s="24" t="n">
        <f aca="false">(K$92*C$51)-(MIN(K$92,$C$19-1)*C$66+MAX(0,K$92-($C$19-1))*C$67+INDEX($F$72:$F$78,MIN(K$92,6)+1)+IF($C$16="Mensual fijo",$C$14/$C$7,0))</f>
        <v>180182.7</v>
      </c>
      <c r="L105" s="24" t="n">
        <f aca="false">(L$92*C$51)-(MIN(L$92,$C$19-1)*C$66+MAX(0,L$92-($C$19-1))*C$67+INDEX($F$72:$F$78,MIN(L$92,6)+1)+IF($C$16="Mensual fijo",$C$14/$C$7,0))</f>
        <v>202763.510810811</v>
      </c>
      <c r="M105" s="24" t="n">
        <f aca="false">(M$92*C$51)-(MIN(M$92,$C$19-1)*C$66+MAX(0,M$92-($C$19-1))*C$67+INDEX($F$72:$F$78,MIN(M$92,6)+1)+IF($C$16="Mensual fijo",$C$14/$C$7,0))</f>
        <v>225344.321621622</v>
      </c>
      <c r="N105" s="24" t="n">
        <f aca="false">(N$92*C$51)-(MIN(N$92,$C$19-1)*C$66+MAX(0,N$92-($C$19-1))*C$67+INDEX($F$72:$F$78,MIN(N$92,6)+1)+IF($C$16="Mensual fijo",$C$14/$C$7,0))</f>
        <v>247925.132432432</v>
      </c>
      <c r="O105" s="32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186</v>
      </c>
      <c r="C106" s="24" t="n">
        <f aca="false">(C$92*D$51)-(MIN(C$92,$C$19-1)*D$66+MAX(0,C$92-($C$19-1))*D$67+INDEX($F$72:$F$78,MIN(C$92,6)+1)+IF($C$16="Mensual fijo",$C$14/$C$7,0))</f>
        <v>-166626.856756757</v>
      </c>
      <c r="D106" s="24" t="n">
        <f aca="false">(D$92*D$51)-(MIN(D$92,$C$19-1)*D$66+MAX(0,D$92-($C$19-1))*D$67+INDEX($F$72:$F$78,MIN(D$92,6)+1)+IF($C$16="Mensual fijo",$C$14/$C$7,0))</f>
        <v>-106936.190540541</v>
      </c>
      <c r="E106" s="24" t="n">
        <f aca="false">(E$92*D$51)-(MIN(E$92,$C$19-1)*D$66+MAX(0,E$92-($C$19-1))*D$67+INDEX($F$72:$F$78,MIN(E$92,6)+1)+IF($C$16="Mensual fijo",$C$14/$C$7,0))</f>
        <v>-47245.5243243243</v>
      </c>
      <c r="F106" s="24" t="n">
        <f aca="false">(F$92*D$51)-(MIN(F$92,$C$19-1)*D$66+MAX(0,F$92-($C$19-1))*D$67+INDEX($F$72:$F$78,MIN(F$92,6)+1)+IF($C$16="Mensual fijo",$C$14/$C$7,0))</f>
        <v>12445.1418918919</v>
      </c>
      <c r="G106" s="24" t="n">
        <f aca="false">(G$92*D$51)-(MIN(G$92,$C$19-1)*D$66+MAX(0,G$92-($C$19-1))*D$67+INDEX($F$72:$F$78,MIN(G$92,6)+1)+IF($C$16="Mensual fijo",$C$14/$C$7,0))</f>
        <v>72135.8081081081</v>
      </c>
      <c r="H106" s="24" t="n">
        <f aca="false">(H$92*D$51)-(MIN(H$92,$C$19-1)*D$66+MAX(0,H$92-($C$19-1))*D$67+INDEX($F$72:$F$78,MIN(H$92,6)+1)+IF($C$16="Mensual fijo",$C$14/$C$7,0))</f>
        <v>109407.024324324</v>
      </c>
      <c r="I106" s="24" t="n">
        <f aca="false">(I$92*D$51)-(MIN(I$92,$C$19-1)*D$66+MAX(0,I$92-($C$19-1))*D$67+INDEX($F$72:$F$78,MIN(I$92,6)+1)+IF($C$16="Mensual fijo",$C$14/$C$7,0))</f>
        <v>146678.240540541</v>
      </c>
      <c r="J106" s="24" t="n">
        <f aca="false">(J$92*D$51)-(MIN(J$92,$C$19-1)*D$66+MAX(0,J$92-($C$19-1))*D$67+INDEX($F$72:$F$78,MIN(J$92,6)+1)+IF($C$16="Mensual fijo",$C$14/$C$7,0))</f>
        <v>183949.456756757</v>
      </c>
      <c r="K106" s="24" t="n">
        <f aca="false">(K$92*D$51)-(MIN(K$92,$C$19-1)*D$66+MAX(0,K$92-($C$19-1))*D$67+INDEX($F$72:$F$78,MIN(K$92,6)+1)+IF($C$16="Mensual fijo",$C$14/$C$7,0))</f>
        <v>221220.672972973</v>
      </c>
      <c r="L106" s="24" t="n">
        <f aca="false">(L$92*D$51)-(MIN(L$92,$C$19-1)*D$66+MAX(0,L$92-($C$19-1))*D$67+INDEX($F$72:$F$78,MIN(L$92,6)+1)+IF($C$16="Mensual fijo",$C$14/$C$7,0))</f>
        <v>258491.889189189</v>
      </c>
      <c r="M106" s="24" t="n">
        <f aca="false">(M$92*D$51)-(MIN(M$92,$C$19-1)*D$66+MAX(0,M$92-($C$19-1))*D$67+INDEX($F$72:$F$78,MIN(M$92,6)+1)+IF($C$16="Mensual fijo",$C$14/$C$7,0))</f>
        <v>295763.105405406</v>
      </c>
      <c r="N106" s="24" t="n">
        <f aca="false">(N$92*D$51)-(MIN(N$92,$C$19-1)*D$66+MAX(0,N$92-($C$19-1))*D$67+INDEX($F$72:$F$78,MIN(N$92,6)+1)+IF($C$16="Mensual fijo",$C$14/$C$7,0))</f>
        <v>333034.321621622</v>
      </c>
      <c r="O106" s="32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187</v>
      </c>
      <c r="C107" s="24" t="n">
        <f aca="false">(C$92*E$51)-(MIN(C$92,$C$19-1)*E$66+MAX(0,C$92-($C$19-1))*E$67+INDEX($F$72:$F$78,MIN(C$92,6)+1)+IF($C$16="Mensual fijo",$C$14/$C$7,0))</f>
        <v>-189814.018918919</v>
      </c>
      <c r="D107" s="24" t="n">
        <f aca="false">(D$92*E$51)-(MIN(D$92,$C$19-1)*E$66+MAX(0,D$92-($C$19-1))*E$67+INDEX($F$72:$F$78,MIN(D$92,6)+1)+IF($C$16="Mensual fijo",$C$14/$C$7,0))</f>
        <v>-153310.514864865</v>
      </c>
      <c r="E107" s="24" t="n">
        <f aca="false">(E$92*E$51)-(MIN(E$92,$C$19-1)*E$66+MAX(0,E$92-($C$19-1))*E$67+INDEX($F$72:$F$78,MIN(E$92,6)+1)+IF($C$16="Mensual fijo",$C$14/$C$7,0))</f>
        <v>-116807.010810811</v>
      </c>
      <c r="F107" s="24" t="n">
        <f aca="false">(F$92*E$51)-(MIN(F$92,$C$19-1)*E$66+MAX(0,F$92-($C$19-1))*E$67+INDEX($F$72:$F$78,MIN(F$92,6)+1)+IF($C$16="Mensual fijo",$C$14/$C$7,0))</f>
        <v>-80303.5067567568</v>
      </c>
      <c r="G107" s="24" t="n">
        <f aca="false">(G$92*E$51)-(MIN(G$92,$C$19-1)*E$66+MAX(0,G$92-($C$19-1))*E$67+INDEX($F$72:$F$78,MIN(G$92,6)+1)+IF($C$16="Mensual fijo",$C$14/$C$7,0))</f>
        <v>-43800.0027027027</v>
      </c>
      <c r="H107" s="24" t="n">
        <f aca="false">(H$92*E$51)-(MIN(H$92,$C$19-1)*E$66+MAX(0,H$92-($C$19-1))*E$67+INDEX($F$72:$F$78,MIN(H$92,6)+1)+IF($C$16="Mensual fijo",$C$14/$C$7,0))</f>
        <v>-22830.8135135135</v>
      </c>
      <c r="I107" s="24" t="n">
        <f aca="false">(I$92*E$51)-(MIN(I$92,$C$19-1)*E$66+MAX(0,I$92-($C$19-1))*E$67+INDEX($F$72:$F$78,MIN(I$92,6)+1)+IF($C$16="Mensual fijo",$C$14/$C$7,0))</f>
        <v>-1861.62432432431</v>
      </c>
      <c r="J107" s="24" t="n">
        <f aca="false">(J$92*E$51)-(MIN(J$92,$C$19-1)*E$66+MAX(0,J$92-($C$19-1))*E$67+INDEX($F$72:$F$78,MIN(J$92,6)+1)+IF($C$16="Mensual fijo",$C$14/$C$7,0))</f>
        <v>19107.5648648649</v>
      </c>
      <c r="K107" s="24" t="n">
        <f aca="false">(K$92*E$51)-(MIN(K$92,$C$19-1)*E$66+MAX(0,K$92-($C$19-1))*E$67+INDEX($F$72:$F$78,MIN(K$92,6)+1)+IF($C$16="Mensual fijo",$C$14/$C$7,0))</f>
        <v>40076.754054054</v>
      </c>
      <c r="L107" s="24" t="n">
        <f aca="false">(L$92*E$51)-(MIN(L$92,$C$19-1)*E$66+MAX(0,L$92-($C$19-1))*E$67+INDEX($F$72:$F$78,MIN(L$92,6)+1)+IF($C$16="Mensual fijo",$C$14/$C$7,0))</f>
        <v>61045.9432432433</v>
      </c>
      <c r="M107" s="24" t="n">
        <f aca="false">(M$92*E$51)-(MIN(M$92,$C$19-1)*E$66+MAX(0,M$92-($C$19-1))*E$67+INDEX($F$72:$F$78,MIN(M$92,6)+1)+IF($C$16="Mensual fijo",$C$14/$C$7,0))</f>
        <v>82015.1324324326</v>
      </c>
      <c r="N107" s="24" t="n">
        <f aca="false">(N$92*E$51)-(MIN(N$92,$C$19-1)*E$66+MAX(0,N$92-($C$19-1))*E$67+INDEX($F$72:$F$78,MIN(N$92,6)+1)+IF($C$16="Mensual fijo",$C$14/$C$7,0))</f>
        <v>102984.321621622</v>
      </c>
      <c r="O107" s="32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188</v>
      </c>
      <c r="C108" s="24" t="n">
        <f aca="false">(C$92*F$51)-(MIN(C$92,$C$19-1)*F$66+MAX(0,C$92-($C$19-1))*F$67+INDEX($F$72:$F$78,MIN(C$92,6)+1)+IF($C$16="Mensual fijo",$C$14/$C$7,0))</f>
        <v>-181934.505405405</v>
      </c>
      <c r="D108" s="24" t="n">
        <f aca="false">(D$92*F$51)-(MIN(D$92,$C$19-1)*F$66+MAX(0,D$92-($C$19-1))*F$67+INDEX($F$72:$F$78,MIN(D$92,6)+1)+IF($C$16="Mensual fijo",$C$14/$C$7,0))</f>
        <v>-137551.487837838</v>
      </c>
      <c r="E108" s="24" t="n">
        <f aca="false">(E$92*F$51)-(MIN(E$92,$C$19-1)*F$66+MAX(0,E$92-($C$19-1))*F$67+INDEX($F$72:$F$78,MIN(E$92,6)+1)+IF($C$16="Mensual fijo",$C$14/$C$7,0))</f>
        <v>-93168.4702702703</v>
      </c>
      <c r="F108" s="24" t="n">
        <f aca="false">(F$92*F$51)-(MIN(F$92,$C$19-1)*F$66+MAX(0,F$92-($C$19-1))*F$67+INDEX($F$72:$F$78,MIN(F$92,6)+1)+IF($C$16="Mensual fijo",$C$14/$C$7,0))</f>
        <v>-48785.4527027027</v>
      </c>
      <c r="G108" s="24" t="n">
        <f aca="false">(G$92*F$51)-(MIN(G$92,$C$19-1)*F$66+MAX(0,G$92-($C$19-1))*F$67+INDEX($F$72:$F$78,MIN(G$92,6)+1)+IF($C$16="Mensual fijo",$C$14/$C$7,0))</f>
        <v>-4402.43513513519</v>
      </c>
      <c r="H108" s="24" t="n">
        <f aca="false">(H$92*F$51)-(MIN(H$92,$C$19-1)*F$66+MAX(0,H$92-($C$19-1))*F$67+INDEX($F$72:$F$78,MIN(H$92,6)+1)+IF($C$16="Mensual fijo",$C$14/$C$7,0))</f>
        <v>17961.6729729729</v>
      </c>
      <c r="I108" s="24" t="n">
        <f aca="false">(I$92*F$51)-(MIN(I$92,$C$19-1)*F$66+MAX(0,I$92-($C$19-1))*F$67+INDEX($F$72:$F$78,MIN(I$92,6)+1)+IF($C$16="Mensual fijo",$C$14/$C$7,0))</f>
        <v>40325.781081081</v>
      </c>
      <c r="J108" s="24" t="n">
        <f aca="false">(J$92*F$51)-(MIN(J$92,$C$19-1)*F$66+MAX(0,J$92-($C$19-1))*F$67+INDEX($F$72:$F$78,MIN(J$92,6)+1)+IF($C$16="Mensual fijo",$C$14/$C$7,0))</f>
        <v>62689.8891891892</v>
      </c>
      <c r="K108" s="24" t="n">
        <f aca="false">(K$92*F$51)-(MIN(K$92,$C$19-1)*F$66+MAX(0,K$92-($C$19-1))*F$67+INDEX($F$72:$F$78,MIN(K$92,6)+1)+IF($C$16="Mensual fijo",$C$14/$C$7,0))</f>
        <v>85053.9972972972</v>
      </c>
      <c r="L108" s="24" t="n">
        <f aca="false">(L$92*F$51)-(MIN(L$92,$C$19-1)*F$66+MAX(0,L$92-($C$19-1))*F$67+INDEX($F$72:$F$78,MIN(L$92,6)+1)+IF($C$16="Mensual fijo",$C$14/$C$7,0))</f>
        <v>107418.105405405</v>
      </c>
      <c r="M108" s="24" t="n">
        <f aca="false">(M$92*F$51)-(MIN(M$92,$C$19-1)*F$66+MAX(0,M$92-($C$19-1))*F$67+INDEX($F$72:$F$78,MIN(M$92,6)+1)+IF($C$16="Mensual fijo",$C$14/$C$7,0))</f>
        <v>129782.213513514</v>
      </c>
      <c r="N108" s="24" t="n">
        <f aca="false">(N$92*F$51)-(MIN(N$92,$C$19-1)*F$66+MAX(0,N$92-($C$19-1))*F$67+INDEX($F$72:$F$78,MIN(N$92,6)+1)+IF($C$16="Mensual fijo",$C$14/$C$7,0))</f>
        <v>152146.321621622</v>
      </c>
      <c r="O108" s="32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20" t="s">
        <v>189</v>
      </c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1" customFormat="false" ht="15" hidden="false" customHeight="false" outlineLevel="0" collapsed="false">
      <c r="B111" s="3" t="s">
        <v>190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20" t="s">
        <v>191</v>
      </c>
      <c r="C112" s="20"/>
      <c r="D112" s="20"/>
      <c r="E112" s="20"/>
      <c r="F112" s="20"/>
      <c r="G112" s="20"/>
      <c r="H112" s="20"/>
      <c r="I112" s="20"/>
      <c r="J112" s="20"/>
      <c r="K112" s="20"/>
    </row>
    <row r="114" customFormat="false" ht="27.75" hidden="false" customHeight="true" outlineLevel="0" collapsed="false">
      <c r="B114" s="25" t="s">
        <v>192</v>
      </c>
      <c r="C114" s="25" t="s">
        <v>193</v>
      </c>
      <c r="D114" s="25" t="s">
        <v>194</v>
      </c>
      <c r="E114" s="25" t="s">
        <v>195</v>
      </c>
      <c r="F114" s="25" t="s">
        <v>196</v>
      </c>
      <c r="G114" s="25" t="s">
        <v>197</v>
      </c>
      <c r="H114" s="25" t="s">
        <v>198</v>
      </c>
      <c r="I114" s="25" t="s">
        <v>199</v>
      </c>
    </row>
    <row r="115" customFormat="false" ht="15" hidden="false" customHeight="false" outlineLevel="0" collapsed="false">
      <c r="B115" s="18" t="n">
        <v>1</v>
      </c>
      <c r="C115" s="33" t="n">
        <f aca="false">IF($C$31="Constante",$C$32,IF($C$31="Perfil 2024",INDEX($C$33:$M$33,MOD(B115-1,COUNT($C$33:$M$33))+1),INDEX($C$34:$M$34,MOD(B115-1,COUNT($C$34:$M$34))+1)))</f>
        <v>5</v>
      </c>
      <c r="D115" s="33" t="n">
        <f aca="false">C115*(1-$C$23)</f>
        <v>5</v>
      </c>
      <c r="E115" s="33" t="n">
        <f aca="false">D115</f>
        <v>5</v>
      </c>
      <c r="F115" s="18" t="n">
        <f aca="false">COUNTIF($E$157:$E$216,B115)</f>
        <v>5</v>
      </c>
      <c r="G115" s="24" t="n">
        <f aca="false">IF(F115=0,IF(B115&lt;=MAX($E$157:$E$216),$E$72,0),INDEX($E$72:$E$78,MIN(F115,6)+1))</f>
        <v>40952.5381081081</v>
      </c>
      <c r="H115" s="24" t="n">
        <f aca="false">IF(F115=0,IF(B115&lt;=MAX($E$157:$E$216),$F$72,0),INDEX($F$72:$F$78,MIN(F115,6)+1))</f>
        <v>0</v>
      </c>
      <c r="I115" s="24" t="n">
        <f aca="false">IF(AND($C$16="Mensual fijo",F115&gt;0),$C$14/$C$7,0)</f>
        <v>0</v>
      </c>
    </row>
    <row r="116" customFormat="false" ht="15" hidden="false" customHeight="false" outlineLevel="0" collapsed="false">
      <c r="B116" s="18" t="n">
        <v>2</v>
      </c>
      <c r="C116" s="33" t="n">
        <f aca="false">IF($C$31="Constante",$C$32,IF($C$31="Perfil 2024",INDEX($C$33:$M$33,MOD(B116-1,COUNT($C$33:$M$33))+1),INDEX($C$34:$M$34,MOD(B116-1,COUNT($C$34:$M$34))+1)))</f>
        <v>5</v>
      </c>
      <c r="D116" s="33" t="n">
        <f aca="false">C116*(1-$C$23)</f>
        <v>5</v>
      </c>
      <c r="E116" s="33" t="n">
        <f aca="false">E115+D116</f>
        <v>10</v>
      </c>
      <c r="F116" s="18" t="n">
        <f aca="false">COUNTIF($E$157:$E$216,B116)</f>
        <v>5</v>
      </c>
      <c r="G116" s="24" t="n">
        <f aca="false">IF(F116=0,IF(B116&lt;=MAX($E$157:$E$216),$E$72,0),INDEX($E$72:$E$78,MIN(F116,6)+1))</f>
        <v>40952.5381081081</v>
      </c>
      <c r="H116" s="24" t="n">
        <f aca="false">IF(F116=0,IF(B116&lt;=MAX($E$157:$E$216),$F$72,0),INDEX($F$72:$F$78,MIN(F116,6)+1))</f>
        <v>0</v>
      </c>
      <c r="I116" s="24" t="n">
        <f aca="false">IF(AND($C$16="Mensual fijo",F116&gt;0),$C$14/$C$7,0)</f>
        <v>0</v>
      </c>
    </row>
    <row r="117" customFormat="false" ht="15" hidden="false" customHeight="false" outlineLevel="0" collapsed="false">
      <c r="B117" s="18" t="n">
        <v>3</v>
      </c>
      <c r="C117" s="33" t="n">
        <f aca="false">IF($C$31="Constante",$C$32,IF($C$31="Perfil 2024",INDEX($C$33:$M$33,MOD(B117-1,COUNT($C$33:$M$33))+1),INDEX($C$34:$M$34,MOD(B117-1,COUNT($C$34:$M$34))+1)))</f>
        <v>5</v>
      </c>
      <c r="D117" s="33" t="n">
        <f aca="false">C117*(1-$C$23)</f>
        <v>5</v>
      </c>
      <c r="E117" s="33" t="n">
        <f aca="false">E116+D117</f>
        <v>15</v>
      </c>
      <c r="F117" s="18" t="n">
        <f aca="false">COUNTIF($E$157:$E$216,B117)</f>
        <v>5</v>
      </c>
      <c r="G117" s="24" t="n">
        <f aca="false">IF(F117=0,IF(B117&lt;=MAX($E$157:$E$216),$E$72,0),INDEX($E$72:$E$78,MIN(F117,6)+1))</f>
        <v>40952.5381081081</v>
      </c>
      <c r="H117" s="24" t="n">
        <f aca="false">IF(F117=0,IF(B117&lt;=MAX($E$157:$E$216),$F$72,0),INDEX($F$72:$F$78,MIN(F117,6)+1))</f>
        <v>0</v>
      </c>
      <c r="I117" s="24" t="n">
        <f aca="false">IF(AND($C$16="Mensual fijo",F117&gt;0),$C$14/$C$7,0)</f>
        <v>0</v>
      </c>
    </row>
    <row r="118" customFormat="false" ht="15" hidden="false" customHeight="false" outlineLevel="0" collapsed="false">
      <c r="B118" s="18" t="n">
        <v>4</v>
      </c>
      <c r="C118" s="33" t="n">
        <f aca="false">IF($C$31="Constante",$C$32,IF($C$31="Perfil 2024",INDEX($C$33:$M$33,MOD(B118-1,COUNT($C$33:$M$33))+1),INDEX($C$34:$M$34,MOD(B118-1,COUNT($C$34:$M$34))+1)))</f>
        <v>5</v>
      </c>
      <c r="D118" s="33" t="n">
        <f aca="false">C118*(1-$C$23)</f>
        <v>5</v>
      </c>
      <c r="E118" s="33" t="n">
        <f aca="false">E117+D118</f>
        <v>20</v>
      </c>
      <c r="F118" s="18" t="n">
        <f aca="false">COUNTIF($E$157:$E$216,B118)</f>
        <v>5</v>
      </c>
      <c r="G118" s="24" t="n">
        <f aca="false">IF(F118=0,IF(B118&lt;=MAX($E$157:$E$216),$E$72,0),INDEX($E$72:$E$78,MIN(F118,6)+1))</f>
        <v>40952.5381081081</v>
      </c>
      <c r="H118" s="24" t="n">
        <f aca="false">IF(F118=0,IF(B118&lt;=MAX($E$157:$E$216),$F$72,0),INDEX($F$72:$F$78,MIN(F118,6)+1))</f>
        <v>0</v>
      </c>
      <c r="I118" s="24" t="n">
        <f aca="false">IF(AND($C$16="Mensual fijo",F118&gt;0),$C$14/$C$7,0)</f>
        <v>0</v>
      </c>
    </row>
    <row r="119" customFormat="false" ht="15" hidden="false" customHeight="false" outlineLevel="0" collapsed="false">
      <c r="B119" s="18" t="n">
        <v>5</v>
      </c>
      <c r="C119" s="33" t="n">
        <f aca="false">IF($C$31="Constante",$C$32,IF($C$31="Perfil 2024",INDEX($C$33:$M$33,MOD(B119-1,COUNT($C$33:$M$33))+1),INDEX($C$34:$M$34,MOD(B119-1,COUNT($C$34:$M$34))+1)))</f>
        <v>5</v>
      </c>
      <c r="D119" s="33" t="n">
        <f aca="false">C119*(1-$C$23)</f>
        <v>5</v>
      </c>
      <c r="E119" s="33" t="n">
        <f aca="false">E118+D119</f>
        <v>25</v>
      </c>
      <c r="F119" s="18" t="n">
        <f aca="false">COUNTIF($E$157:$E$216,B119)</f>
        <v>5</v>
      </c>
      <c r="G119" s="24" t="n">
        <f aca="false">IF(F119=0,IF(B119&lt;=MAX($E$157:$E$216),$E$72,0),INDEX($E$72:$E$78,MIN(F119,6)+1))</f>
        <v>40952.5381081081</v>
      </c>
      <c r="H119" s="24" t="n">
        <f aca="false">IF(F119=0,IF(B119&lt;=MAX($E$157:$E$216),$F$72,0),INDEX($F$72:$F$78,MIN(F119,6)+1))</f>
        <v>0</v>
      </c>
      <c r="I119" s="24" t="n">
        <f aca="false">IF(AND($C$16="Mensual fijo",F119&gt;0),$C$14/$C$7,0)</f>
        <v>0</v>
      </c>
    </row>
    <row r="120" customFormat="false" ht="15" hidden="false" customHeight="false" outlineLevel="0" collapsed="false">
      <c r="B120" s="18" t="n">
        <v>6</v>
      </c>
      <c r="C120" s="33" t="n">
        <f aca="false">IF($C$31="Constante",$C$32,IF($C$31="Perfil 2024",INDEX($C$33:$M$33,MOD(B120-1,COUNT($C$33:$M$33))+1),INDEX($C$34:$M$34,MOD(B120-1,COUNT($C$34:$M$34))+1)))</f>
        <v>5</v>
      </c>
      <c r="D120" s="33" t="n">
        <f aca="false">C120*(1-$C$23)</f>
        <v>5</v>
      </c>
      <c r="E120" s="33" t="n">
        <f aca="false">E119+D120</f>
        <v>30</v>
      </c>
      <c r="F120" s="18" t="n">
        <f aca="false">COUNTIF($E$157:$E$216,B120)</f>
        <v>5</v>
      </c>
      <c r="G120" s="24" t="n">
        <f aca="false">IF(F120=0,IF(B120&lt;=MAX($E$157:$E$216),$E$72,0),INDEX($E$72:$E$78,MIN(F120,6)+1))</f>
        <v>40952.5381081081</v>
      </c>
      <c r="H120" s="24" t="n">
        <f aca="false">IF(F120=0,IF(B120&lt;=MAX($E$157:$E$216),$F$72,0),INDEX($F$72:$F$78,MIN(F120,6)+1))</f>
        <v>0</v>
      </c>
      <c r="I120" s="24" t="n">
        <f aca="false">IF(AND($C$16="Mensual fijo",F120&gt;0),$C$14/$C$7,0)</f>
        <v>0</v>
      </c>
    </row>
    <row r="121" customFormat="false" ht="15" hidden="false" customHeight="false" outlineLevel="0" collapsed="false">
      <c r="B121" s="18" t="n">
        <v>7</v>
      </c>
      <c r="C121" s="33" t="n">
        <f aca="false">IF($C$31="Constante",$C$32,IF($C$31="Perfil 2024",INDEX($C$33:$M$33,MOD(B121-1,COUNT($C$33:$M$33))+1),INDEX($C$34:$M$34,MOD(B121-1,COUNT($C$34:$M$34))+1)))</f>
        <v>5</v>
      </c>
      <c r="D121" s="33" t="n">
        <f aca="false">C121*(1-$C$23)</f>
        <v>5</v>
      </c>
      <c r="E121" s="33" t="n">
        <f aca="false">E120+D121</f>
        <v>35</v>
      </c>
      <c r="F121" s="18" t="n">
        <f aca="false">COUNTIF($E$157:$E$216,B121)</f>
        <v>5</v>
      </c>
      <c r="G121" s="24" t="n">
        <f aca="false">IF(F121=0,IF(B121&lt;=MAX($E$157:$E$216),$E$72,0),INDEX($E$72:$E$78,MIN(F121,6)+1))</f>
        <v>40952.5381081081</v>
      </c>
      <c r="H121" s="24" t="n">
        <f aca="false">IF(F121=0,IF(B121&lt;=MAX($E$157:$E$216),$F$72,0),INDEX($F$72:$F$78,MIN(F121,6)+1))</f>
        <v>0</v>
      </c>
      <c r="I121" s="24" t="n">
        <f aca="false">IF(AND($C$16="Mensual fijo",F121&gt;0),$C$14/$C$7,0)</f>
        <v>0</v>
      </c>
    </row>
    <row r="122" customFormat="false" ht="15" hidden="false" customHeight="false" outlineLevel="0" collapsed="false">
      <c r="B122" s="18" t="n">
        <v>8</v>
      </c>
      <c r="C122" s="33" t="n">
        <f aca="false">IF($C$31="Constante",$C$32,IF($C$31="Perfil 2024",INDEX($C$33:$M$33,MOD(B122-1,COUNT($C$33:$M$33))+1),INDEX($C$34:$M$34,MOD(B122-1,COUNT($C$34:$M$34))+1)))</f>
        <v>5</v>
      </c>
      <c r="D122" s="33" t="n">
        <f aca="false">C122*(1-$C$23)</f>
        <v>5</v>
      </c>
      <c r="E122" s="33" t="n">
        <f aca="false">E121+D122</f>
        <v>40</v>
      </c>
      <c r="F122" s="18" t="n">
        <f aca="false">COUNTIF($E$157:$E$216,B122)</f>
        <v>0</v>
      </c>
      <c r="G122" s="24" t="n">
        <f aca="false">IF(F122=0,IF(B122&lt;=MAX($E$157:$E$216),$E$72,0),INDEX($E$72:$E$78,MIN(F122,6)+1))</f>
        <v>0</v>
      </c>
      <c r="H122" s="24" t="n">
        <f aca="false">IF(F122=0,IF(B122&lt;=MAX($E$157:$E$216),$F$72,0),INDEX($F$72:$F$78,MIN(F122,6)+1))</f>
        <v>0</v>
      </c>
      <c r="I122" s="24" t="n">
        <f aca="false">IF(AND($C$16="Mensual fijo",F122&gt;0),$C$14/$C$7,0)</f>
        <v>0</v>
      </c>
    </row>
    <row r="123" customFormat="false" ht="15" hidden="false" customHeight="false" outlineLevel="0" collapsed="false">
      <c r="B123" s="18" t="n">
        <v>9</v>
      </c>
      <c r="C123" s="33" t="n">
        <f aca="false">IF($C$31="Constante",$C$32,IF($C$31="Perfil 2024",INDEX($C$33:$M$33,MOD(B123-1,COUNT($C$33:$M$33))+1),INDEX($C$34:$M$34,MOD(B123-1,COUNT($C$34:$M$34))+1)))</f>
        <v>5</v>
      </c>
      <c r="D123" s="33" t="n">
        <f aca="false">C123*(1-$C$23)</f>
        <v>5</v>
      </c>
      <c r="E123" s="33" t="n">
        <f aca="false">E122+D123</f>
        <v>45</v>
      </c>
      <c r="F123" s="18" t="n">
        <f aca="false">COUNTIF($E$157:$E$216,B123)</f>
        <v>0</v>
      </c>
      <c r="G123" s="24" t="n">
        <f aca="false">IF(F123=0,IF(B123&lt;=MAX($E$157:$E$216),$E$72,0),INDEX($E$72:$E$78,MIN(F123,6)+1))</f>
        <v>0</v>
      </c>
      <c r="H123" s="24" t="n">
        <f aca="false">IF(F123=0,IF(B123&lt;=MAX($E$157:$E$216),$F$72,0),INDEX($F$72:$F$78,MIN(F123,6)+1))</f>
        <v>0</v>
      </c>
      <c r="I123" s="24" t="n">
        <f aca="false">IF(AND($C$16="Mensual fijo",F123&gt;0),$C$14/$C$7,0)</f>
        <v>0</v>
      </c>
    </row>
    <row r="124" customFormat="false" ht="15" hidden="false" customHeight="false" outlineLevel="0" collapsed="false">
      <c r="B124" s="18" t="n">
        <v>10</v>
      </c>
      <c r="C124" s="33" t="n">
        <f aca="false">IF($C$31="Constante",$C$32,IF($C$31="Perfil 2024",INDEX($C$33:$M$33,MOD(B124-1,COUNT($C$33:$M$33))+1),INDEX($C$34:$M$34,MOD(B124-1,COUNT($C$34:$M$34))+1)))</f>
        <v>5</v>
      </c>
      <c r="D124" s="33" t="n">
        <f aca="false">C124*(1-$C$23)</f>
        <v>5</v>
      </c>
      <c r="E124" s="33" t="n">
        <f aca="false">E123+D124</f>
        <v>50</v>
      </c>
      <c r="F124" s="18" t="n">
        <f aca="false">COUNTIF($E$157:$E$216,B124)</f>
        <v>0</v>
      </c>
      <c r="G124" s="24" t="n">
        <f aca="false">IF(F124=0,IF(B124&lt;=MAX($E$157:$E$216),$E$72,0),INDEX($E$72:$E$78,MIN(F124,6)+1))</f>
        <v>0</v>
      </c>
      <c r="H124" s="24" t="n">
        <f aca="false">IF(F124=0,IF(B124&lt;=MAX($E$157:$E$216),$F$72,0),INDEX($F$72:$F$78,MIN(F124,6)+1))</f>
        <v>0</v>
      </c>
      <c r="I124" s="24" t="n">
        <f aca="false">IF(AND($C$16="Mensual fijo",F124&gt;0),$C$14/$C$7,0)</f>
        <v>0</v>
      </c>
    </row>
    <row r="125" customFormat="false" ht="15" hidden="false" customHeight="false" outlineLevel="0" collapsed="false">
      <c r="B125" s="18" t="n">
        <v>11</v>
      </c>
      <c r="C125" s="33" t="n">
        <f aca="false">IF($C$31="Constante",$C$32,IF($C$31="Perfil 2024",INDEX($C$33:$M$33,MOD(B125-1,COUNT($C$33:$M$33))+1),INDEX($C$34:$M$34,MOD(B125-1,COUNT($C$34:$M$34))+1)))</f>
        <v>5</v>
      </c>
      <c r="D125" s="33" t="n">
        <f aca="false">C125*(1-$C$23)</f>
        <v>5</v>
      </c>
      <c r="E125" s="33" t="n">
        <f aca="false">E124+D125</f>
        <v>55</v>
      </c>
      <c r="F125" s="18" t="n">
        <f aca="false">COUNTIF($E$157:$E$216,B125)</f>
        <v>0</v>
      </c>
      <c r="G125" s="24" t="n">
        <f aca="false">IF(F125=0,IF(B125&lt;=MAX($E$157:$E$216),$E$72,0),INDEX($E$72:$E$78,MIN(F125,6)+1))</f>
        <v>0</v>
      </c>
      <c r="H125" s="24" t="n">
        <f aca="false">IF(F125=0,IF(B125&lt;=MAX($E$157:$E$216),$F$72,0),INDEX($F$72:$F$78,MIN(F125,6)+1))</f>
        <v>0</v>
      </c>
      <c r="I125" s="24" t="n">
        <f aca="false">IF(AND($C$16="Mensual fijo",F125&gt;0),$C$14/$C$7,0)</f>
        <v>0</v>
      </c>
    </row>
    <row r="126" customFormat="false" ht="15" hidden="false" customHeight="false" outlineLevel="0" collapsed="false">
      <c r="B126" s="18" t="n">
        <v>12</v>
      </c>
      <c r="C126" s="33" t="n">
        <f aca="false">IF($C$31="Constante",$C$32,IF($C$31="Perfil 2024",INDEX($C$33:$M$33,MOD(B126-1,COUNT($C$33:$M$33))+1),INDEX($C$34:$M$34,MOD(B126-1,COUNT($C$34:$M$34))+1)))</f>
        <v>5</v>
      </c>
      <c r="D126" s="33" t="n">
        <f aca="false">C126*(1-$C$23)</f>
        <v>5</v>
      </c>
      <c r="E126" s="33" t="n">
        <f aca="false">E125+D126</f>
        <v>60</v>
      </c>
      <c r="F126" s="18" t="n">
        <f aca="false">COUNTIF($E$157:$E$216,B126)</f>
        <v>0</v>
      </c>
      <c r="G126" s="24" t="n">
        <f aca="false">IF(F126=0,IF(B126&lt;=MAX($E$157:$E$216),$E$72,0),INDEX($E$72:$E$78,MIN(F126,6)+1))</f>
        <v>0</v>
      </c>
      <c r="H126" s="24" t="n">
        <f aca="false">IF(F126=0,IF(B126&lt;=MAX($E$157:$E$216),$F$72,0),INDEX($F$72:$F$78,MIN(F126,6)+1))</f>
        <v>0</v>
      </c>
      <c r="I126" s="24" t="n">
        <f aca="false">IF(AND($C$16="Mensual fijo",F126&gt;0),$C$14/$C$7,0)</f>
        <v>0</v>
      </c>
    </row>
    <row r="127" customFormat="false" ht="15" hidden="false" customHeight="false" outlineLevel="0" collapsed="false">
      <c r="B127" s="18" t="n">
        <v>13</v>
      </c>
      <c r="C127" s="33" t="n">
        <f aca="false">IF($C$31="Constante",$C$32,IF($C$31="Perfil 2024",INDEX($C$33:$M$33,MOD(B127-1,COUNT($C$33:$M$33))+1),INDEX($C$34:$M$34,MOD(B127-1,COUNT($C$34:$M$34))+1)))</f>
        <v>5</v>
      </c>
      <c r="D127" s="33" t="n">
        <f aca="false">C127*(1-$C$23)</f>
        <v>5</v>
      </c>
      <c r="E127" s="33" t="n">
        <f aca="false">E126+D127</f>
        <v>65</v>
      </c>
      <c r="F127" s="18" t="n">
        <f aca="false">COUNTIF($E$157:$E$216,B127)</f>
        <v>0</v>
      </c>
      <c r="G127" s="24" t="n">
        <f aca="false">IF(F127=0,IF(B127&lt;=MAX($E$157:$E$216),$E$72,0),INDEX($E$72:$E$78,MIN(F127,6)+1))</f>
        <v>0</v>
      </c>
      <c r="H127" s="24" t="n">
        <f aca="false">IF(F127=0,IF(B127&lt;=MAX($E$157:$E$216),$F$72,0),INDEX($F$72:$F$78,MIN(F127,6)+1))</f>
        <v>0</v>
      </c>
      <c r="I127" s="24" t="n">
        <f aca="false">IF(AND($C$16="Mensual fijo",F127&gt;0),$C$14/$C$7,0)</f>
        <v>0</v>
      </c>
    </row>
    <row r="128" customFormat="false" ht="15" hidden="false" customHeight="false" outlineLevel="0" collapsed="false">
      <c r="B128" s="18" t="n">
        <v>14</v>
      </c>
      <c r="C128" s="33" t="n">
        <f aca="false">IF($C$31="Constante",$C$32,IF($C$31="Perfil 2024",INDEX($C$33:$M$33,MOD(B128-1,COUNT($C$33:$M$33))+1),INDEX($C$34:$M$34,MOD(B128-1,COUNT($C$34:$M$34))+1)))</f>
        <v>5</v>
      </c>
      <c r="D128" s="33" t="n">
        <f aca="false">C128*(1-$C$23)</f>
        <v>5</v>
      </c>
      <c r="E128" s="33" t="n">
        <f aca="false">E127+D128</f>
        <v>70</v>
      </c>
      <c r="F128" s="18" t="n">
        <f aca="false">COUNTIF($E$157:$E$216,B128)</f>
        <v>0</v>
      </c>
      <c r="G128" s="24" t="n">
        <f aca="false">IF(F128=0,IF(B128&lt;=MAX($E$157:$E$216),$E$72,0),INDEX($E$72:$E$78,MIN(F128,6)+1))</f>
        <v>0</v>
      </c>
      <c r="H128" s="24" t="n">
        <f aca="false">IF(F128=0,IF(B128&lt;=MAX($E$157:$E$216),$F$72,0),INDEX($F$72:$F$78,MIN(F128,6)+1))</f>
        <v>0</v>
      </c>
      <c r="I128" s="24" t="n">
        <f aca="false">IF(AND($C$16="Mensual fijo",F128&gt;0),$C$14/$C$7,0)</f>
        <v>0</v>
      </c>
    </row>
    <row r="129" customFormat="false" ht="15" hidden="false" customHeight="false" outlineLevel="0" collapsed="false">
      <c r="B129" s="18" t="n">
        <v>15</v>
      </c>
      <c r="C129" s="33" t="n">
        <f aca="false">IF($C$31="Constante",$C$32,IF($C$31="Perfil 2024",INDEX($C$33:$M$33,MOD(B129-1,COUNT($C$33:$M$33))+1),INDEX($C$34:$M$34,MOD(B129-1,COUNT($C$34:$M$34))+1)))</f>
        <v>5</v>
      </c>
      <c r="D129" s="33" t="n">
        <f aca="false">C129*(1-$C$23)</f>
        <v>5</v>
      </c>
      <c r="E129" s="33" t="n">
        <f aca="false">E128+D129</f>
        <v>75</v>
      </c>
      <c r="F129" s="18" t="n">
        <f aca="false">COUNTIF($E$157:$E$216,B129)</f>
        <v>0</v>
      </c>
      <c r="G129" s="24" t="n">
        <f aca="false">IF(F129=0,IF(B129&lt;=MAX($E$157:$E$216),$E$72,0),INDEX($E$72:$E$78,MIN(F129,6)+1))</f>
        <v>0</v>
      </c>
      <c r="H129" s="24" t="n">
        <f aca="false">IF(F129=0,IF(B129&lt;=MAX($E$157:$E$216),$F$72,0),INDEX($F$72:$F$78,MIN(F129,6)+1))</f>
        <v>0</v>
      </c>
      <c r="I129" s="24" t="n">
        <f aca="false">IF(AND($C$16="Mensual fijo",F129&gt;0),$C$14/$C$7,0)</f>
        <v>0</v>
      </c>
    </row>
    <row r="130" customFormat="false" ht="15" hidden="false" customHeight="false" outlineLevel="0" collapsed="false">
      <c r="B130" s="18" t="n">
        <v>16</v>
      </c>
      <c r="C130" s="33" t="n">
        <f aca="false">IF($C$31="Constante",$C$32,IF($C$31="Perfil 2024",INDEX($C$33:$M$33,MOD(B130-1,COUNT($C$33:$M$33))+1),INDEX($C$34:$M$34,MOD(B130-1,COUNT($C$34:$M$34))+1)))</f>
        <v>5</v>
      </c>
      <c r="D130" s="33" t="n">
        <f aca="false">C130*(1-$C$23)</f>
        <v>5</v>
      </c>
      <c r="E130" s="33" t="n">
        <f aca="false">E129+D130</f>
        <v>80</v>
      </c>
      <c r="F130" s="18" t="n">
        <f aca="false">COUNTIF($E$157:$E$216,B130)</f>
        <v>0</v>
      </c>
      <c r="G130" s="24" t="n">
        <f aca="false">IF(F130=0,IF(B130&lt;=MAX($E$157:$E$216),$E$72,0),INDEX($E$72:$E$78,MIN(F130,6)+1))</f>
        <v>0</v>
      </c>
      <c r="H130" s="24" t="n">
        <f aca="false">IF(F130=0,IF(B130&lt;=MAX($E$157:$E$216),$F$72,0),INDEX($F$72:$F$78,MIN(F130,6)+1))</f>
        <v>0</v>
      </c>
      <c r="I130" s="24" t="n">
        <f aca="false">IF(AND($C$16="Mensual fijo",F130&gt;0),$C$14/$C$7,0)</f>
        <v>0</v>
      </c>
    </row>
    <row r="131" customFormat="false" ht="15" hidden="false" customHeight="false" outlineLevel="0" collapsed="false">
      <c r="B131" s="18" t="n">
        <v>17</v>
      </c>
      <c r="C131" s="33" t="n">
        <f aca="false">IF($C$31="Constante",$C$32,IF($C$31="Perfil 2024",INDEX($C$33:$M$33,MOD(B131-1,COUNT($C$33:$M$33))+1),INDEX($C$34:$M$34,MOD(B131-1,COUNT($C$34:$M$34))+1)))</f>
        <v>5</v>
      </c>
      <c r="D131" s="33" t="n">
        <f aca="false">C131*(1-$C$23)</f>
        <v>5</v>
      </c>
      <c r="E131" s="33" t="n">
        <f aca="false">E130+D131</f>
        <v>85</v>
      </c>
      <c r="F131" s="18" t="n">
        <f aca="false">COUNTIF($E$157:$E$216,B131)</f>
        <v>0</v>
      </c>
      <c r="G131" s="24" t="n">
        <f aca="false">IF(F131=0,IF(B131&lt;=MAX($E$157:$E$216),$E$72,0),INDEX($E$72:$E$78,MIN(F131,6)+1))</f>
        <v>0</v>
      </c>
      <c r="H131" s="24" t="n">
        <f aca="false">IF(F131=0,IF(B131&lt;=MAX($E$157:$E$216),$F$72,0),INDEX($F$72:$F$78,MIN(F131,6)+1))</f>
        <v>0</v>
      </c>
      <c r="I131" s="24" t="n">
        <f aca="false">IF(AND($C$16="Mensual fijo",F131&gt;0),$C$14/$C$7,0)</f>
        <v>0</v>
      </c>
    </row>
    <row r="132" customFormat="false" ht="15" hidden="false" customHeight="false" outlineLevel="0" collapsed="false">
      <c r="B132" s="18" t="n">
        <v>18</v>
      </c>
      <c r="C132" s="33" t="n">
        <f aca="false">IF($C$31="Constante",$C$32,IF($C$31="Perfil 2024",INDEX($C$33:$M$33,MOD(B132-1,COUNT($C$33:$M$33))+1),INDEX($C$34:$M$34,MOD(B132-1,COUNT($C$34:$M$34))+1)))</f>
        <v>5</v>
      </c>
      <c r="D132" s="33" t="n">
        <f aca="false">C132*(1-$C$23)</f>
        <v>5</v>
      </c>
      <c r="E132" s="33" t="n">
        <f aca="false">E131+D132</f>
        <v>90</v>
      </c>
      <c r="F132" s="18" t="n">
        <f aca="false">COUNTIF($E$157:$E$216,B132)</f>
        <v>0</v>
      </c>
      <c r="G132" s="24" t="n">
        <f aca="false">IF(F132=0,IF(B132&lt;=MAX($E$157:$E$216),$E$72,0),INDEX($E$72:$E$78,MIN(F132,6)+1))</f>
        <v>0</v>
      </c>
      <c r="H132" s="24" t="n">
        <f aca="false">IF(F132=0,IF(B132&lt;=MAX($E$157:$E$216),$F$72,0),INDEX($F$72:$F$78,MIN(F132,6)+1))</f>
        <v>0</v>
      </c>
      <c r="I132" s="24" t="n">
        <f aca="false">IF(AND($C$16="Mensual fijo",F132&gt;0),$C$14/$C$7,0)</f>
        <v>0</v>
      </c>
    </row>
    <row r="133" customFormat="false" ht="15" hidden="false" customHeight="false" outlineLevel="0" collapsed="false">
      <c r="B133" s="18" t="n">
        <v>19</v>
      </c>
      <c r="C133" s="33" t="n">
        <f aca="false">IF($C$31="Constante",$C$32,IF($C$31="Perfil 2024",INDEX($C$33:$M$33,MOD(B133-1,COUNT($C$33:$M$33))+1),INDEX($C$34:$M$34,MOD(B133-1,COUNT($C$34:$M$34))+1)))</f>
        <v>5</v>
      </c>
      <c r="D133" s="33" t="n">
        <f aca="false">C133*(1-$C$23)</f>
        <v>5</v>
      </c>
      <c r="E133" s="33" t="n">
        <f aca="false">E132+D133</f>
        <v>95</v>
      </c>
      <c r="F133" s="18" t="n">
        <f aca="false">COUNTIF($E$157:$E$216,B133)</f>
        <v>0</v>
      </c>
      <c r="G133" s="24" t="n">
        <f aca="false">IF(F133=0,IF(B133&lt;=MAX($E$157:$E$216),$E$72,0),INDEX($E$72:$E$78,MIN(F133,6)+1))</f>
        <v>0</v>
      </c>
      <c r="H133" s="24" t="n">
        <f aca="false">IF(F133=0,IF(B133&lt;=MAX($E$157:$E$216),$F$72,0),INDEX($F$72:$F$78,MIN(F133,6)+1))</f>
        <v>0</v>
      </c>
      <c r="I133" s="24" t="n">
        <f aca="false">IF(AND($C$16="Mensual fijo",F133&gt;0),$C$14/$C$7,0)</f>
        <v>0</v>
      </c>
    </row>
    <row r="134" customFormat="false" ht="15" hidden="false" customHeight="false" outlineLevel="0" collapsed="false">
      <c r="B134" s="18" t="n">
        <v>20</v>
      </c>
      <c r="C134" s="33" t="n">
        <f aca="false">IF($C$31="Constante",$C$32,IF($C$31="Perfil 2024",INDEX($C$33:$M$33,MOD(B134-1,COUNT($C$33:$M$33))+1),INDEX($C$34:$M$34,MOD(B134-1,COUNT($C$34:$M$34))+1)))</f>
        <v>5</v>
      </c>
      <c r="D134" s="33" t="n">
        <f aca="false">C134*(1-$C$23)</f>
        <v>5</v>
      </c>
      <c r="E134" s="33" t="n">
        <f aca="false">E133+D134</f>
        <v>100</v>
      </c>
      <c r="F134" s="18" t="n">
        <f aca="false">COUNTIF($E$157:$E$216,B134)</f>
        <v>0</v>
      </c>
      <c r="G134" s="24" t="n">
        <f aca="false">IF(F134=0,IF(B134&lt;=MAX($E$157:$E$216),$E$72,0),INDEX($E$72:$E$78,MIN(F134,6)+1))</f>
        <v>0</v>
      </c>
      <c r="H134" s="24" t="n">
        <f aca="false">IF(F134=0,IF(B134&lt;=MAX($E$157:$E$216),$F$72,0),INDEX($F$72:$F$78,MIN(F134,6)+1))</f>
        <v>0</v>
      </c>
      <c r="I134" s="24" t="n">
        <f aca="false">IF(AND($C$16="Mensual fijo",F134&gt;0),$C$14/$C$7,0)</f>
        <v>0</v>
      </c>
    </row>
    <row r="135" customFormat="false" ht="15" hidden="false" customHeight="false" outlineLevel="0" collapsed="false">
      <c r="B135" s="18" t="n">
        <v>21</v>
      </c>
      <c r="C135" s="33" t="n">
        <f aca="false">IF($C$31="Constante",$C$32,IF($C$31="Perfil 2024",INDEX($C$33:$M$33,MOD(B135-1,COUNT($C$33:$M$33))+1),INDEX($C$34:$M$34,MOD(B135-1,COUNT($C$34:$M$34))+1)))</f>
        <v>5</v>
      </c>
      <c r="D135" s="33" t="n">
        <f aca="false">C135*(1-$C$23)</f>
        <v>5</v>
      </c>
      <c r="E135" s="33" t="n">
        <f aca="false">E134+D135</f>
        <v>105</v>
      </c>
      <c r="F135" s="18" t="n">
        <f aca="false">COUNTIF($E$157:$E$216,B135)</f>
        <v>0</v>
      </c>
      <c r="G135" s="24" t="n">
        <f aca="false">IF(F135=0,IF(B135&lt;=MAX($E$157:$E$216),$E$72,0),INDEX($E$72:$E$78,MIN(F135,6)+1))</f>
        <v>0</v>
      </c>
      <c r="H135" s="24" t="n">
        <f aca="false">IF(F135=0,IF(B135&lt;=MAX($E$157:$E$216),$F$72,0),INDEX($F$72:$F$78,MIN(F135,6)+1))</f>
        <v>0</v>
      </c>
      <c r="I135" s="24" t="n">
        <f aca="false">IF(AND($C$16="Mensual fijo",F135&gt;0),$C$14/$C$7,0)</f>
        <v>0</v>
      </c>
    </row>
    <row r="136" customFormat="false" ht="15" hidden="false" customHeight="false" outlineLevel="0" collapsed="false">
      <c r="B136" s="18" t="n">
        <v>22</v>
      </c>
      <c r="C136" s="33" t="n">
        <f aca="false">IF($C$31="Constante",$C$32,IF($C$31="Perfil 2024",INDEX($C$33:$M$33,MOD(B136-1,COUNT($C$33:$M$33))+1),INDEX($C$34:$M$34,MOD(B136-1,COUNT($C$34:$M$34))+1)))</f>
        <v>5</v>
      </c>
      <c r="D136" s="33" t="n">
        <f aca="false">C136*(1-$C$23)</f>
        <v>5</v>
      </c>
      <c r="E136" s="33" t="n">
        <f aca="false">E135+D136</f>
        <v>110</v>
      </c>
      <c r="F136" s="18" t="n">
        <f aca="false">COUNTIF($E$157:$E$216,B136)</f>
        <v>0</v>
      </c>
      <c r="G136" s="24" t="n">
        <f aca="false">IF(F136=0,IF(B136&lt;=MAX($E$157:$E$216),$E$72,0),INDEX($E$72:$E$78,MIN(F136,6)+1))</f>
        <v>0</v>
      </c>
      <c r="H136" s="24" t="n">
        <f aca="false">IF(F136=0,IF(B136&lt;=MAX($E$157:$E$216),$F$72,0),INDEX($F$72:$F$78,MIN(F136,6)+1))</f>
        <v>0</v>
      </c>
      <c r="I136" s="24" t="n">
        <f aca="false">IF(AND($C$16="Mensual fijo",F136&gt;0),$C$14/$C$7,0)</f>
        <v>0</v>
      </c>
    </row>
    <row r="137" customFormat="false" ht="15" hidden="false" customHeight="false" outlineLevel="0" collapsed="false">
      <c r="B137" s="18" t="n">
        <v>23</v>
      </c>
      <c r="C137" s="33" t="n">
        <f aca="false">IF($C$31="Constante",$C$32,IF($C$31="Perfil 2024",INDEX($C$33:$M$33,MOD(B137-1,COUNT($C$33:$M$33))+1),INDEX($C$34:$M$34,MOD(B137-1,COUNT($C$34:$M$34))+1)))</f>
        <v>5</v>
      </c>
      <c r="D137" s="33" t="n">
        <f aca="false">C137*(1-$C$23)</f>
        <v>5</v>
      </c>
      <c r="E137" s="33" t="n">
        <f aca="false">E136+D137</f>
        <v>115</v>
      </c>
      <c r="F137" s="18" t="n">
        <f aca="false">COUNTIF($E$157:$E$216,B137)</f>
        <v>0</v>
      </c>
      <c r="G137" s="24" t="n">
        <f aca="false">IF(F137=0,IF(B137&lt;=MAX($E$157:$E$216),$E$72,0),INDEX($E$72:$E$78,MIN(F137,6)+1))</f>
        <v>0</v>
      </c>
      <c r="H137" s="24" t="n">
        <f aca="false">IF(F137=0,IF(B137&lt;=MAX($E$157:$E$216),$F$72,0),INDEX($F$72:$F$78,MIN(F137,6)+1))</f>
        <v>0</v>
      </c>
      <c r="I137" s="24" t="n">
        <f aca="false">IF(AND($C$16="Mensual fijo",F137&gt;0),$C$14/$C$7,0)</f>
        <v>0</v>
      </c>
    </row>
    <row r="138" customFormat="false" ht="15" hidden="false" customHeight="false" outlineLevel="0" collapsed="false">
      <c r="B138" s="18" t="n">
        <v>24</v>
      </c>
      <c r="C138" s="33" t="n">
        <f aca="false">IF($C$31="Constante",$C$32,IF($C$31="Perfil 2024",INDEX($C$33:$M$33,MOD(B138-1,COUNT($C$33:$M$33))+1),INDEX($C$34:$M$34,MOD(B138-1,COUNT($C$34:$M$34))+1)))</f>
        <v>5</v>
      </c>
      <c r="D138" s="33" t="n">
        <f aca="false">C138*(1-$C$23)</f>
        <v>5</v>
      </c>
      <c r="E138" s="33" t="n">
        <f aca="false">E137+D138</f>
        <v>120</v>
      </c>
      <c r="F138" s="18" t="n">
        <f aca="false">COUNTIF($E$157:$E$216,B138)</f>
        <v>0</v>
      </c>
      <c r="G138" s="24" t="n">
        <f aca="false">IF(F138=0,IF(B138&lt;=MAX($E$157:$E$216),$E$72,0),INDEX($E$72:$E$78,MIN(F138,6)+1))</f>
        <v>0</v>
      </c>
      <c r="H138" s="24" t="n">
        <f aca="false">IF(F138=0,IF(B138&lt;=MAX($E$157:$E$216),$F$72,0),INDEX($F$72:$F$78,MIN(F138,6)+1))</f>
        <v>0</v>
      </c>
      <c r="I138" s="24" t="n">
        <f aca="false">IF(AND($C$16="Mensual fijo",F138&gt;0),$C$14/$C$7,0)</f>
        <v>0</v>
      </c>
    </row>
    <row r="139" customFormat="false" ht="15" hidden="false" customHeight="false" outlineLevel="0" collapsed="false">
      <c r="B139" s="18" t="n">
        <v>25</v>
      </c>
      <c r="C139" s="33" t="n">
        <f aca="false">IF($C$31="Constante",$C$32,IF($C$31="Perfil 2024",INDEX($C$33:$M$33,MOD(B139-1,COUNT($C$33:$M$33))+1),INDEX($C$34:$M$34,MOD(B139-1,COUNT($C$34:$M$34))+1)))</f>
        <v>5</v>
      </c>
      <c r="D139" s="33" t="n">
        <f aca="false">C139*(1-$C$23)</f>
        <v>5</v>
      </c>
      <c r="E139" s="33" t="n">
        <f aca="false">E138+D139</f>
        <v>125</v>
      </c>
      <c r="F139" s="18" t="n">
        <f aca="false">COUNTIF($E$157:$E$216,B139)</f>
        <v>0</v>
      </c>
      <c r="G139" s="24" t="n">
        <f aca="false">IF(F139=0,IF(B139&lt;=MAX($E$157:$E$216),$E$72,0),INDEX($E$72:$E$78,MIN(F139,6)+1))</f>
        <v>0</v>
      </c>
      <c r="H139" s="24" t="n">
        <f aca="false">IF(F139=0,IF(B139&lt;=MAX($E$157:$E$216),$F$72,0),INDEX($F$72:$F$78,MIN(F139,6)+1))</f>
        <v>0</v>
      </c>
      <c r="I139" s="24" t="n">
        <f aca="false">IF(AND($C$16="Mensual fijo",F139&gt;0),$C$14/$C$7,0)</f>
        <v>0</v>
      </c>
    </row>
    <row r="140" customFormat="false" ht="15" hidden="false" customHeight="false" outlineLevel="0" collapsed="false">
      <c r="B140" s="18" t="n">
        <v>26</v>
      </c>
      <c r="C140" s="33" t="n">
        <f aca="false">IF($C$31="Constante",$C$32,IF($C$31="Perfil 2024",INDEX($C$33:$M$33,MOD(B140-1,COUNT($C$33:$M$33))+1),INDEX($C$34:$M$34,MOD(B140-1,COUNT($C$34:$M$34))+1)))</f>
        <v>5</v>
      </c>
      <c r="D140" s="33" t="n">
        <f aca="false">C140*(1-$C$23)</f>
        <v>5</v>
      </c>
      <c r="E140" s="33" t="n">
        <f aca="false">E139+D140</f>
        <v>130</v>
      </c>
      <c r="F140" s="18" t="n">
        <f aca="false">COUNTIF($E$157:$E$216,B140)</f>
        <v>0</v>
      </c>
      <c r="G140" s="24" t="n">
        <f aca="false">IF(F140=0,IF(B140&lt;=MAX($E$157:$E$216),$E$72,0),INDEX($E$72:$E$78,MIN(F140,6)+1))</f>
        <v>0</v>
      </c>
      <c r="H140" s="24" t="n">
        <f aca="false">IF(F140=0,IF(B140&lt;=MAX($E$157:$E$216),$F$72,0),INDEX($F$72:$F$78,MIN(F140,6)+1))</f>
        <v>0</v>
      </c>
      <c r="I140" s="24" t="n">
        <f aca="false">IF(AND($C$16="Mensual fijo",F140&gt;0),$C$14/$C$7,0)</f>
        <v>0</v>
      </c>
    </row>
    <row r="141" customFormat="false" ht="15" hidden="false" customHeight="false" outlineLevel="0" collapsed="false">
      <c r="B141" s="18" t="n">
        <v>27</v>
      </c>
      <c r="C141" s="33" t="n">
        <f aca="false">IF($C$31="Constante",$C$32,IF($C$31="Perfil 2024",INDEX($C$33:$M$33,MOD(B141-1,COUNT($C$33:$M$33))+1),INDEX($C$34:$M$34,MOD(B141-1,COUNT($C$34:$M$34))+1)))</f>
        <v>5</v>
      </c>
      <c r="D141" s="33" t="n">
        <f aca="false">C141*(1-$C$23)</f>
        <v>5</v>
      </c>
      <c r="E141" s="33" t="n">
        <f aca="false">E140+D141</f>
        <v>135</v>
      </c>
      <c r="F141" s="18" t="n">
        <f aca="false">COUNTIF($E$157:$E$216,B141)</f>
        <v>0</v>
      </c>
      <c r="G141" s="24" t="n">
        <f aca="false">IF(F141=0,IF(B141&lt;=MAX($E$157:$E$216),$E$72,0),INDEX($E$72:$E$78,MIN(F141,6)+1))</f>
        <v>0</v>
      </c>
      <c r="H141" s="24" t="n">
        <f aca="false">IF(F141=0,IF(B141&lt;=MAX($E$157:$E$216),$F$72,0),INDEX($F$72:$F$78,MIN(F141,6)+1))</f>
        <v>0</v>
      </c>
      <c r="I141" s="24" t="n">
        <f aca="false">IF(AND($C$16="Mensual fijo",F141&gt;0),$C$14/$C$7,0)</f>
        <v>0</v>
      </c>
    </row>
    <row r="142" customFormat="false" ht="15" hidden="false" customHeight="false" outlineLevel="0" collapsed="false">
      <c r="B142" s="18" t="n">
        <v>28</v>
      </c>
      <c r="C142" s="33" t="n">
        <f aca="false">IF($C$31="Constante",$C$32,IF($C$31="Perfil 2024",INDEX($C$33:$M$33,MOD(B142-1,COUNT($C$33:$M$33))+1),INDEX($C$34:$M$34,MOD(B142-1,COUNT($C$34:$M$34))+1)))</f>
        <v>5</v>
      </c>
      <c r="D142" s="33" t="n">
        <f aca="false">C142*(1-$C$23)</f>
        <v>5</v>
      </c>
      <c r="E142" s="33" t="n">
        <f aca="false">E141+D142</f>
        <v>140</v>
      </c>
      <c r="F142" s="18" t="n">
        <f aca="false">COUNTIF($E$157:$E$216,B142)</f>
        <v>0</v>
      </c>
      <c r="G142" s="24" t="n">
        <f aca="false">IF(F142=0,IF(B142&lt;=MAX($E$157:$E$216),$E$72,0),INDEX($E$72:$E$78,MIN(F142,6)+1))</f>
        <v>0</v>
      </c>
      <c r="H142" s="24" t="n">
        <f aca="false">IF(F142=0,IF(B142&lt;=MAX($E$157:$E$216),$F$72,0),INDEX($F$72:$F$78,MIN(F142,6)+1))</f>
        <v>0</v>
      </c>
      <c r="I142" s="24" t="n">
        <f aca="false">IF(AND($C$16="Mensual fijo",F142&gt;0),$C$14/$C$7,0)</f>
        <v>0</v>
      </c>
    </row>
    <row r="143" customFormat="false" ht="15" hidden="false" customHeight="false" outlineLevel="0" collapsed="false">
      <c r="B143" s="18" t="n">
        <v>29</v>
      </c>
      <c r="C143" s="33" t="n">
        <f aca="false">IF($C$31="Constante",$C$32,IF($C$31="Perfil 2024",INDEX($C$33:$M$33,MOD(B143-1,COUNT($C$33:$M$33))+1),INDEX($C$34:$M$34,MOD(B143-1,COUNT($C$34:$M$34))+1)))</f>
        <v>5</v>
      </c>
      <c r="D143" s="33" t="n">
        <f aca="false">C143*(1-$C$23)</f>
        <v>5</v>
      </c>
      <c r="E143" s="33" t="n">
        <f aca="false">E142+D143</f>
        <v>145</v>
      </c>
      <c r="F143" s="18" t="n">
        <f aca="false">COUNTIF($E$157:$E$216,B143)</f>
        <v>0</v>
      </c>
      <c r="G143" s="24" t="n">
        <f aca="false">IF(F143=0,IF(B143&lt;=MAX($E$157:$E$216),$E$72,0),INDEX($E$72:$E$78,MIN(F143,6)+1))</f>
        <v>0</v>
      </c>
      <c r="H143" s="24" t="n">
        <f aca="false">IF(F143=0,IF(B143&lt;=MAX($E$157:$E$216),$F$72,0),INDEX($F$72:$F$78,MIN(F143,6)+1))</f>
        <v>0</v>
      </c>
      <c r="I143" s="24" t="n">
        <f aca="false">IF(AND($C$16="Mensual fijo",F143&gt;0),$C$14/$C$7,0)</f>
        <v>0</v>
      </c>
    </row>
    <row r="144" customFormat="false" ht="15" hidden="false" customHeight="false" outlineLevel="0" collapsed="false">
      <c r="B144" s="18" t="n">
        <v>30</v>
      </c>
      <c r="C144" s="33" t="n">
        <f aca="false">IF($C$31="Constante",$C$32,IF($C$31="Perfil 2024",INDEX($C$33:$M$33,MOD(B144-1,COUNT($C$33:$M$33))+1),INDEX($C$34:$M$34,MOD(B144-1,COUNT($C$34:$M$34))+1)))</f>
        <v>5</v>
      </c>
      <c r="D144" s="33" t="n">
        <f aca="false">C144*(1-$C$23)</f>
        <v>5</v>
      </c>
      <c r="E144" s="33" t="n">
        <f aca="false">E143+D144</f>
        <v>150</v>
      </c>
      <c r="F144" s="18" t="n">
        <f aca="false">COUNTIF($E$157:$E$216,B144)</f>
        <v>0</v>
      </c>
      <c r="G144" s="24" t="n">
        <f aca="false">IF(F144=0,IF(B144&lt;=MAX($E$157:$E$216),$E$72,0),INDEX($E$72:$E$78,MIN(F144,6)+1))</f>
        <v>0</v>
      </c>
      <c r="H144" s="24" t="n">
        <f aca="false">IF(F144=0,IF(B144&lt;=MAX($E$157:$E$216),$F$72,0),INDEX($F$72:$F$78,MIN(F144,6)+1))</f>
        <v>0</v>
      </c>
      <c r="I144" s="24" t="n">
        <f aca="false">IF(AND($C$16="Mensual fijo",F144&gt;0),$C$14/$C$7,0)</f>
        <v>0</v>
      </c>
    </row>
    <row r="145" customFormat="false" ht="15" hidden="false" customHeight="false" outlineLevel="0" collapsed="false">
      <c r="B145" s="18" t="n">
        <v>31</v>
      </c>
      <c r="C145" s="33" t="n">
        <f aca="false">IF($C$31="Constante",$C$32,IF($C$31="Perfil 2024",INDEX($C$33:$M$33,MOD(B145-1,COUNT($C$33:$M$33))+1),INDEX($C$34:$M$34,MOD(B145-1,COUNT($C$34:$M$34))+1)))</f>
        <v>5</v>
      </c>
      <c r="D145" s="33" t="n">
        <f aca="false">C145*(1-$C$23)</f>
        <v>5</v>
      </c>
      <c r="E145" s="33" t="n">
        <f aca="false">E144+D145</f>
        <v>155</v>
      </c>
      <c r="F145" s="18" t="n">
        <f aca="false">COUNTIF($E$157:$E$216,B145)</f>
        <v>0</v>
      </c>
      <c r="G145" s="24" t="n">
        <f aca="false">IF(F145=0,IF(B145&lt;=MAX($E$157:$E$216),$E$72,0),INDEX($E$72:$E$78,MIN(F145,6)+1))</f>
        <v>0</v>
      </c>
      <c r="H145" s="24" t="n">
        <f aca="false">IF(F145=0,IF(B145&lt;=MAX($E$157:$E$216),$F$72,0),INDEX($F$72:$F$78,MIN(F145,6)+1))</f>
        <v>0</v>
      </c>
      <c r="I145" s="24" t="n">
        <f aca="false">IF(AND($C$16="Mensual fijo",F145&gt;0),$C$14/$C$7,0)</f>
        <v>0</v>
      </c>
    </row>
    <row r="146" customFormat="false" ht="15" hidden="false" customHeight="false" outlineLevel="0" collapsed="false">
      <c r="B146" s="18" t="n">
        <v>32</v>
      </c>
      <c r="C146" s="33" t="n">
        <f aca="false">IF($C$31="Constante",$C$32,IF($C$31="Perfil 2024",INDEX($C$33:$M$33,MOD(B146-1,COUNT($C$33:$M$33))+1),INDEX($C$34:$M$34,MOD(B146-1,COUNT($C$34:$M$34))+1)))</f>
        <v>5</v>
      </c>
      <c r="D146" s="33" t="n">
        <f aca="false">C146*(1-$C$23)</f>
        <v>5</v>
      </c>
      <c r="E146" s="33" t="n">
        <f aca="false">E145+D146</f>
        <v>160</v>
      </c>
      <c r="F146" s="18" t="n">
        <f aca="false">COUNTIF($E$157:$E$216,B146)</f>
        <v>0</v>
      </c>
      <c r="G146" s="24" t="n">
        <f aca="false">IF(F146=0,IF(B146&lt;=MAX($E$157:$E$216),$E$72,0),INDEX($E$72:$E$78,MIN(F146,6)+1))</f>
        <v>0</v>
      </c>
      <c r="H146" s="24" t="n">
        <f aca="false">IF(F146=0,IF(B146&lt;=MAX($E$157:$E$216),$F$72,0),INDEX($F$72:$F$78,MIN(F146,6)+1))</f>
        <v>0</v>
      </c>
      <c r="I146" s="24" t="n">
        <f aca="false">IF(AND($C$16="Mensual fijo",F146&gt;0),$C$14/$C$7,0)</f>
        <v>0</v>
      </c>
    </row>
    <row r="147" customFormat="false" ht="15" hidden="false" customHeight="false" outlineLevel="0" collapsed="false">
      <c r="B147" s="18" t="n">
        <v>33</v>
      </c>
      <c r="C147" s="33" t="n">
        <f aca="false">IF($C$31="Constante",$C$32,IF($C$31="Perfil 2024",INDEX($C$33:$M$33,MOD(B147-1,COUNT($C$33:$M$33))+1),INDEX($C$34:$M$34,MOD(B147-1,COUNT($C$34:$M$34))+1)))</f>
        <v>5</v>
      </c>
      <c r="D147" s="33" t="n">
        <f aca="false">C147*(1-$C$23)</f>
        <v>5</v>
      </c>
      <c r="E147" s="33" t="n">
        <f aca="false">E146+D147</f>
        <v>165</v>
      </c>
      <c r="F147" s="18" t="n">
        <f aca="false">COUNTIF($E$157:$E$216,B147)</f>
        <v>0</v>
      </c>
      <c r="G147" s="24" t="n">
        <f aca="false">IF(F147=0,IF(B147&lt;=MAX($E$157:$E$216),$E$72,0),INDEX($E$72:$E$78,MIN(F147,6)+1))</f>
        <v>0</v>
      </c>
      <c r="H147" s="24" t="n">
        <f aca="false">IF(F147=0,IF(B147&lt;=MAX($E$157:$E$216),$F$72,0),INDEX($F$72:$F$78,MIN(F147,6)+1))</f>
        <v>0</v>
      </c>
      <c r="I147" s="24" t="n">
        <f aca="false">IF(AND($C$16="Mensual fijo",F147&gt;0),$C$14/$C$7,0)</f>
        <v>0</v>
      </c>
    </row>
    <row r="148" customFormat="false" ht="15" hidden="false" customHeight="false" outlineLevel="0" collapsed="false">
      <c r="B148" s="18" t="n">
        <v>34</v>
      </c>
      <c r="C148" s="33" t="n">
        <f aca="false">IF($C$31="Constante",$C$32,IF($C$31="Perfil 2024",INDEX($C$33:$M$33,MOD(B148-1,COUNT($C$33:$M$33))+1),INDEX($C$34:$M$34,MOD(B148-1,COUNT($C$34:$M$34))+1)))</f>
        <v>5</v>
      </c>
      <c r="D148" s="33" t="n">
        <f aca="false">C148*(1-$C$23)</f>
        <v>5</v>
      </c>
      <c r="E148" s="33" t="n">
        <f aca="false">E147+D148</f>
        <v>170</v>
      </c>
      <c r="F148" s="18" t="n">
        <f aca="false">COUNTIF($E$157:$E$216,B148)</f>
        <v>0</v>
      </c>
      <c r="G148" s="24" t="n">
        <f aca="false">IF(F148=0,IF(B148&lt;=MAX($E$157:$E$216),$E$72,0),INDEX($E$72:$E$78,MIN(F148,6)+1))</f>
        <v>0</v>
      </c>
      <c r="H148" s="24" t="n">
        <f aca="false">IF(F148=0,IF(B148&lt;=MAX($E$157:$E$216),$F$72,0),INDEX($F$72:$F$78,MIN(F148,6)+1))</f>
        <v>0</v>
      </c>
      <c r="I148" s="24" t="n">
        <f aca="false">IF(AND($C$16="Mensual fijo",F148&gt;0),$C$14/$C$7,0)</f>
        <v>0</v>
      </c>
    </row>
    <row r="149" customFormat="false" ht="15" hidden="false" customHeight="false" outlineLevel="0" collapsed="false">
      <c r="B149" s="18" t="n">
        <v>35</v>
      </c>
      <c r="C149" s="33" t="n">
        <f aca="false">IF($C$31="Constante",$C$32,IF($C$31="Perfil 2024",INDEX($C$33:$M$33,MOD(B149-1,COUNT($C$33:$M$33))+1),INDEX($C$34:$M$34,MOD(B149-1,COUNT($C$34:$M$34))+1)))</f>
        <v>5</v>
      </c>
      <c r="D149" s="33" t="n">
        <f aca="false">C149*(1-$C$23)</f>
        <v>5</v>
      </c>
      <c r="E149" s="33" t="n">
        <f aca="false">E148+D149</f>
        <v>175</v>
      </c>
      <c r="F149" s="18" t="n">
        <f aca="false">COUNTIF($E$157:$E$216,B149)</f>
        <v>0</v>
      </c>
      <c r="G149" s="24" t="n">
        <f aca="false">IF(F149=0,IF(B149&lt;=MAX($E$157:$E$216),$E$72,0),INDEX($E$72:$E$78,MIN(F149,6)+1))</f>
        <v>0</v>
      </c>
      <c r="H149" s="24" t="n">
        <f aca="false">IF(F149=0,IF(B149&lt;=MAX($E$157:$E$216),$F$72,0),INDEX($F$72:$F$78,MIN(F149,6)+1))</f>
        <v>0</v>
      </c>
      <c r="I149" s="24" t="n">
        <f aca="false">IF(AND($C$16="Mensual fijo",F149&gt;0),$C$14/$C$7,0)</f>
        <v>0</v>
      </c>
    </row>
    <row r="150" customFormat="false" ht="15" hidden="false" customHeight="false" outlineLevel="0" collapsed="false">
      <c r="B150" s="18" t="n">
        <v>36</v>
      </c>
      <c r="C150" s="33" t="n">
        <f aca="false">IF($C$31="Constante",$C$32,IF($C$31="Perfil 2024",INDEX($C$33:$M$33,MOD(B150-1,COUNT($C$33:$M$33))+1),INDEX($C$34:$M$34,MOD(B150-1,COUNT($C$34:$M$34))+1)))</f>
        <v>5</v>
      </c>
      <c r="D150" s="33" t="n">
        <f aca="false">C150*(1-$C$23)</f>
        <v>5</v>
      </c>
      <c r="E150" s="33" t="n">
        <f aca="false">E149+D150</f>
        <v>180</v>
      </c>
      <c r="F150" s="18" t="n">
        <f aca="false">COUNTIF($E$157:$E$216,B150)</f>
        <v>0</v>
      </c>
      <c r="G150" s="24" t="n">
        <f aca="false">IF(F150=0,IF(B150&lt;=MAX($E$157:$E$216),$E$72,0),INDEX($E$72:$E$78,MIN(F150,6)+1))</f>
        <v>0</v>
      </c>
      <c r="H150" s="24" t="n">
        <f aca="false">IF(F150=0,IF(B150&lt;=MAX($E$157:$E$216),$F$72,0),INDEX($F$72:$F$78,MIN(F150,6)+1))</f>
        <v>0</v>
      </c>
      <c r="I150" s="24" t="n">
        <f aca="false">IF(AND($C$16="Mensual fijo",F150&gt;0),$C$14/$C$7,0)</f>
        <v>0</v>
      </c>
    </row>
    <row r="151" customFormat="false" ht="15" hidden="false" customHeight="false" outlineLevel="0" collapsed="false">
      <c r="B151" s="34" t="s">
        <v>200</v>
      </c>
      <c r="F151" s="35" t="n">
        <f aca="false">SUM(F115:F150)</f>
        <v>35</v>
      </c>
      <c r="G151" s="23" t="n">
        <f aca="false">SUM(G115:G150)</f>
        <v>286667.766756757</v>
      </c>
      <c r="H151" s="23" t="n">
        <f aca="false">SUM(H115:H150)</f>
        <v>0</v>
      </c>
      <c r="I151" s="23" t="n">
        <f aca="false">SUM(I115:I150)</f>
        <v>0</v>
      </c>
    </row>
    <row r="153" customFormat="false" ht="15" hidden="false" customHeight="false" outlineLevel="0" collapsed="false">
      <c r="B153" s="3" t="s">
        <v>201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20" t="s">
        <v>202</v>
      </c>
      <c r="C154" s="20"/>
      <c r="D154" s="20"/>
      <c r="E154" s="20"/>
      <c r="F154" s="20"/>
      <c r="G154" s="20"/>
      <c r="H154" s="20"/>
      <c r="I154" s="20"/>
      <c r="J154" s="20"/>
      <c r="K154" s="20"/>
    </row>
    <row r="156" customFormat="false" ht="39.75" hidden="false" customHeight="true" outlineLevel="0" collapsed="false">
      <c r="B156" s="25" t="s">
        <v>203</v>
      </c>
      <c r="C156" s="25" t="s">
        <v>204</v>
      </c>
      <c r="D156" s="25" t="s">
        <v>205</v>
      </c>
      <c r="E156" s="25" t="s">
        <v>192</v>
      </c>
      <c r="F156" s="25" t="s">
        <v>206</v>
      </c>
      <c r="G156" s="25" t="s">
        <v>207</v>
      </c>
      <c r="H156" s="25" t="s">
        <v>27</v>
      </c>
      <c r="I156" s="25" t="s">
        <v>165</v>
      </c>
      <c r="J156" s="25" t="s">
        <v>166</v>
      </c>
      <c r="K156" s="25" t="s">
        <v>167</v>
      </c>
    </row>
    <row r="157" customFormat="false" ht="15" hidden="false" customHeight="false" outlineLevel="0" collapsed="false">
      <c r="B157" s="18" t="n">
        <v>1</v>
      </c>
      <c r="C157" s="5" t="str">
        <f aca="false">IF(B157&gt;$C$30,"",IF(INT(B157*$C$27/$C$30)&gt;INT((B157-1)*$C$27/$C$30),"Misma loc.","Otra loc."))</f>
        <v>Otra loc.</v>
      </c>
      <c r="D157" s="18" t="n">
        <f aca="false">IF(C157="","",IF(C157="Misma loc.",1,$C$29))</f>
        <v>2</v>
      </c>
      <c r="E157" s="18" t="n">
        <f aca="false">IF(C157="","",COUNTIF($E$115:$E$150,"&lt;"&amp;(B157-0.000001))+1)</f>
        <v>1</v>
      </c>
      <c r="F157" s="18" t="n">
        <f aca="false">IF(C157="","",COUNTIF($E$157:E157,E157))</f>
        <v>1</v>
      </c>
      <c r="G157" s="24" t="n">
        <f aca="false">IF(C157="","",INDEX($C$51:$F$51,D157))</f>
        <v>99473.8108108108</v>
      </c>
      <c r="H157" s="24" t="n">
        <f aca="false">IF(C157="","",IF(F157&gt;=$C$19,INDEX($C$63:$F$63,D157),INDEX($C$62:$F$62,D157)))</f>
        <v>88600.7254054054</v>
      </c>
      <c r="I157" s="24" t="n">
        <f aca="false">IF(C157="","",INDEX($C$64:$F$64,D157))</f>
        <v>111149.808108108</v>
      </c>
      <c r="J157" s="24" t="n">
        <f aca="false">IF(C157="","",IF(F157&gt;=$C$19,INDEX($C$65:$F$65,D157),INDEX($C$64:$F$64,D157)))</f>
        <v>111149.808108108</v>
      </c>
      <c r="K157" s="24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8" t="n">
        <v>2</v>
      </c>
      <c r="C158" s="5" t="str">
        <f aca="false">IF(B158&gt;$C$30,"",IF(INT(B158*$C$27/$C$30)&gt;INT((B158-1)*$C$27/$C$30),"Misma loc.","Otra loc."))</f>
        <v>Otra loc.</v>
      </c>
      <c r="D158" s="18" t="n">
        <f aca="false">IF(C158="","",IF(C158="Misma loc.",1,$C$29))</f>
        <v>2</v>
      </c>
      <c r="E158" s="18" t="n">
        <f aca="false">IF(C158="","",COUNTIF($E$115:$E$150,"&lt;"&amp;(B158-0.000001))+1)</f>
        <v>1</v>
      </c>
      <c r="F158" s="18" t="n">
        <f aca="false">IF(C158="","",COUNTIF($E$157:E158,E158))</f>
        <v>2</v>
      </c>
      <c r="G158" s="24" t="n">
        <f aca="false">IF(C158="","",INDEX($C$51:$F$51,D158))</f>
        <v>99473.8108108108</v>
      </c>
      <c r="H158" s="24" t="n">
        <f aca="false">IF(C158="","",IF(F158&gt;=$C$19,INDEX($C$63:$F$63,D158),INDEX($C$62:$F$62,D158)))</f>
        <v>88600.7254054054</v>
      </c>
      <c r="I158" s="24" t="n">
        <f aca="false">IF(C158="","",INDEX($C$64:$F$64,D158))</f>
        <v>111149.808108108</v>
      </c>
      <c r="J158" s="24" t="n">
        <f aca="false">IF(C158="","",IF(F158&gt;=$C$19,INDEX($C$65:$F$65,D158),INDEX($C$64:$F$64,D158)))</f>
        <v>111149.808108108</v>
      </c>
      <c r="K158" s="24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8" t="n">
        <v>3</v>
      </c>
      <c r="C159" s="5" t="str">
        <f aca="false">IF(B159&gt;$C$30,"",IF(INT(B159*$C$27/$C$30)&gt;INT((B159-1)*$C$27/$C$30),"Misma loc.","Otra loc."))</f>
        <v>Misma loc.</v>
      </c>
      <c r="D159" s="18" t="n">
        <f aca="false">IF(C159="","",IF(C159="Misma loc.",1,$C$29))</f>
        <v>1</v>
      </c>
      <c r="E159" s="18" t="n">
        <f aca="false">IF(C159="","",COUNTIF($E$115:$E$150,"&lt;"&amp;(B159-0.000001))+1)</f>
        <v>1</v>
      </c>
      <c r="F159" s="18" t="n">
        <f aca="false">IF(C159="","",COUNTIF($E$157:E159,E159))</f>
        <v>3</v>
      </c>
      <c r="G159" s="24" t="n">
        <f aca="false">IF(C159="","",INDEX($C$51:$F$51,D159))</f>
        <v>76047.4054054054</v>
      </c>
      <c r="H159" s="24" t="n">
        <f aca="false">IF(C159="","",IF(F159&gt;=$C$19,INDEX($C$63:$F$63,D159),INDEX($C$62:$F$62,D159)))</f>
        <v>58116.7137837838</v>
      </c>
      <c r="I159" s="24" t="n">
        <f aca="false">IF(C159="","",INDEX($C$64:$F$64,D159))</f>
        <v>68381.1581081081</v>
      </c>
      <c r="J159" s="24" t="n">
        <f aca="false">IF(C159="","",IF(F159&gt;=$C$19,INDEX($C$65:$F$65,D159),INDEX($C$64:$F$64,D159)))</f>
        <v>68381.1581081081</v>
      </c>
      <c r="K159" s="24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8" t="n">
        <v>4</v>
      </c>
      <c r="C160" s="5" t="str">
        <f aca="false">IF(B160&gt;$C$30,"",IF(INT(B160*$C$27/$C$30)&gt;INT((B160-1)*$C$27/$C$30),"Misma loc.","Otra loc."))</f>
        <v>Otra loc.</v>
      </c>
      <c r="D160" s="18" t="n">
        <f aca="false">IF(C160="","",IF(C160="Misma loc.",1,$C$29))</f>
        <v>2</v>
      </c>
      <c r="E160" s="18" t="n">
        <f aca="false">IF(C160="","",COUNTIF($E$115:$E$150,"&lt;"&amp;(B160-0.000001))+1)</f>
        <v>1</v>
      </c>
      <c r="F160" s="18" t="n">
        <f aca="false">IF(C160="","",COUNTIF($E$157:E160,E160))</f>
        <v>4</v>
      </c>
      <c r="G160" s="24" t="n">
        <f aca="false">IF(C160="","",INDEX($C$51:$F$51,D160))</f>
        <v>99473.8108108108</v>
      </c>
      <c r="H160" s="24" t="n">
        <f aca="false">IF(C160="","",IF(F160&gt;=$C$19,INDEX($C$63:$F$63,D160),INDEX($C$62:$F$62,D160)))</f>
        <v>88600.7254054054</v>
      </c>
      <c r="I160" s="24" t="n">
        <f aca="false">IF(C160="","",INDEX($C$64:$F$64,D160))</f>
        <v>111149.808108108</v>
      </c>
      <c r="J160" s="24" t="n">
        <f aca="false">IF(C160="","",IF(F160&gt;=$C$19,INDEX($C$65:$F$65,D160),INDEX($C$64:$F$64,D160)))</f>
        <v>111149.808108108</v>
      </c>
      <c r="K160" s="24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8" t="n">
        <v>5</v>
      </c>
      <c r="C161" s="5" t="str">
        <f aca="false">IF(B161&gt;$C$30,"",IF(INT(B161*$C$27/$C$30)&gt;INT((B161-1)*$C$27/$C$30),"Misma loc.","Otra loc."))</f>
        <v>Misma loc.</v>
      </c>
      <c r="D161" s="18" t="n">
        <f aca="false">IF(C161="","",IF(C161="Misma loc.",1,$C$29))</f>
        <v>1</v>
      </c>
      <c r="E161" s="18" t="n">
        <f aca="false">IF(C161="","",COUNTIF($E$115:$E$150,"&lt;"&amp;(B161-0.000001))+1)</f>
        <v>1</v>
      </c>
      <c r="F161" s="18" t="n">
        <f aca="false">IF(C161="","",COUNTIF($E$157:E161,E161))</f>
        <v>5</v>
      </c>
      <c r="G161" s="24" t="n">
        <f aca="false">IF(C161="","",INDEX($C$51:$F$51,D161))</f>
        <v>76047.4054054054</v>
      </c>
      <c r="H161" s="24" t="n">
        <f aca="false">IF(C161="","",IF(F161&gt;=$C$19,INDEX($C$63:$F$63,D161),INDEX($C$62:$F$62,D161)))</f>
        <v>58116.7137837838</v>
      </c>
      <c r="I161" s="24" t="n">
        <f aca="false">IF(C161="","",INDEX($C$64:$F$64,D161))</f>
        <v>68381.1581081081</v>
      </c>
      <c r="J161" s="24" t="n">
        <f aca="false">IF(C161="","",IF(F161&gt;=$C$19,INDEX($C$65:$F$65,D161),INDEX($C$64:$F$64,D161)))</f>
        <v>68381.1581081081</v>
      </c>
      <c r="K161" s="24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8" t="n">
        <v>6</v>
      </c>
      <c r="C162" s="5" t="str">
        <f aca="false">IF(B162&gt;$C$30,"",IF(INT(B162*$C$27/$C$30)&gt;INT((B162-1)*$C$27/$C$30),"Misma loc.","Otra loc."))</f>
        <v>Otra loc.</v>
      </c>
      <c r="D162" s="18" t="n">
        <f aca="false">IF(C162="","",IF(C162="Misma loc.",1,$C$29))</f>
        <v>2</v>
      </c>
      <c r="E162" s="18" t="n">
        <f aca="false">IF(C162="","",COUNTIF($E$115:$E$150,"&lt;"&amp;(B162-0.000001))+1)</f>
        <v>2</v>
      </c>
      <c r="F162" s="18" t="n">
        <f aca="false">IF(C162="","",COUNTIF($E$157:E162,E162))</f>
        <v>1</v>
      </c>
      <c r="G162" s="24" t="n">
        <f aca="false">IF(C162="","",INDEX($C$51:$F$51,D162))</f>
        <v>99473.8108108108</v>
      </c>
      <c r="H162" s="24" t="n">
        <f aca="false">IF(C162="","",IF(F162&gt;=$C$19,INDEX($C$63:$F$63,D162),INDEX($C$62:$F$62,D162)))</f>
        <v>88600.7254054054</v>
      </c>
      <c r="I162" s="24" t="n">
        <f aca="false">IF(C162="","",INDEX($C$64:$F$64,D162))</f>
        <v>111149.808108108</v>
      </c>
      <c r="J162" s="24" t="n">
        <f aca="false">IF(C162="","",IF(F162&gt;=$C$19,INDEX($C$65:$F$65,D162),INDEX($C$64:$F$64,D162)))</f>
        <v>111149.808108108</v>
      </c>
      <c r="K162" s="24" t="n">
        <f aca="false">IF(C162="","",IF(F162&gt;=$C$19,INDEX($C$67:$F$67,D162),INDEX($C$66:$F$66,D162)))</f>
        <v>85046.6491891892</v>
      </c>
    </row>
    <row r="163" customFormat="false" ht="15" hidden="false" customHeight="false" outlineLevel="0" collapsed="false">
      <c r="B163" s="18" t="n">
        <v>7</v>
      </c>
      <c r="C163" s="5" t="str">
        <f aca="false">IF(B163&gt;$C$30,"",IF(INT(B163*$C$27/$C$30)&gt;INT((B163-1)*$C$27/$C$30),"Misma loc.","Otra loc."))</f>
        <v>Misma loc.</v>
      </c>
      <c r="D163" s="18" t="n">
        <f aca="false">IF(C163="","",IF(C163="Misma loc.",1,$C$29))</f>
        <v>1</v>
      </c>
      <c r="E163" s="18" t="n">
        <f aca="false">IF(C163="","",COUNTIF($E$115:$E$150,"&lt;"&amp;(B163-0.000001))+1)</f>
        <v>2</v>
      </c>
      <c r="F163" s="18" t="n">
        <f aca="false">IF(C163="","",COUNTIF($E$157:E163,E163))</f>
        <v>2</v>
      </c>
      <c r="G163" s="24" t="n">
        <f aca="false">IF(C163="","",INDEX($C$51:$F$51,D163))</f>
        <v>76047.4054054054</v>
      </c>
      <c r="H163" s="24" t="n">
        <f aca="false">IF(C163="","",IF(F163&gt;=$C$19,INDEX($C$63:$F$63,D163),INDEX($C$62:$F$62,D163)))</f>
        <v>58116.7137837838</v>
      </c>
      <c r="I163" s="24" t="n">
        <f aca="false">IF(C163="","",INDEX($C$64:$F$64,D163))</f>
        <v>68381.1581081081</v>
      </c>
      <c r="J163" s="24" t="n">
        <f aca="false">IF(C163="","",IF(F163&gt;=$C$19,INDEX($C$65:$F$65,D163),INDEX($C$64:$F$64,D163)))</f>
        <v>68381.1581081081</v>
      </c>
      <c r="K163" s="24" t="n">
        <f aca="false">IF(C163="","",IF(F163&gt;=$C$19,INDEX($C$67:$F$67,D163),INDEX($C$66:$F$66,D163)))</f>
        <v>58075.5140540541</v>
      </c>
    </row>
    <row r="164" customFormat="false" ht="15" hidden="false" customHeight="false" outlineLevel="0" collapsed="false">
      <c r="B164" s="18" t="n">
        <v>8</v>
      </c>
      <c r="C164" s="5" t="str">
        <f aca="false">IF(B164&gt;$C$30,"",IF(INT(B164*$C$27/$C$30)&gt;INT((B164-1)*$C$27/$C$30),"Misma loc.","Otra loc."))</f>
        <v>Otra loc.</v>
      </c>
      <c r="D164" s="18" t="n">
        <f aca="false">IF(C164="","",IF(C164="Misma loc.",1,$C$29))</f>
        <v>2</v>
      </c>
      <c r="E164" s="18" t="n">
        <f aca="false">IF(C164="","",COUNTIF($E$115:$E$150,"&lt;"&amp;(B164-0.000001))+1)</f>
        <v>2</v>
      </c>
      <c r="F164" s="18" t="n">
        <f aca="false">IF(C164="","",COUNTIF($E$157:E164,E164))</f>
        <v>3</v>
      </c>
      <c r="G164" s="24" t="n">
        <f aca="false">IF(C164="","",INDEX($C$51:$F$51,D164))</f>
        <v>99473.8108108108</v>
      </c>
      <c r="H164" s="24" t="n">
        <f aca="false">IF(C164="","",IF(F164&gt;=$C$19,INDEX($C$63:$F$63,D164),INDEX($C$62:$F$62,D164)))</f>
        <v>88600.7254054054</v>
      </c>
      <c r="I164" s="24" t="n">
        <f aca="false">IF(C164="","",INDEX($C$64:$F$64,D164))</f>
        <v>111149.808108108</v>
      </c>
      <c r="J164" s="24" t="n">
        <f aca="false">IF(C164="","",IF(F164&gt;=$C$19,INDEX($C$65:$F$65,D164),INDEX($C$64:$F$64,D164)))</f>
        <v>111149.808108108</v>
      </c>
      <c r="K164" s="24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8" t="n">
        <v>9</v>
      </c>
      <c r="C165" s="5" t="str">
        <f aca="false">IF(B165&gt;$C$30,"",IF(INT(B165*$C$27/$C$30)&gt;INT((B165-1)*$C$27/$C$30),"Misma loc.","Otra loc."))</f>
        <v>Otra loc.</v>
      </c>
      <c r="D165" s="18" t="n">
        <f aca="false">IF(C165="","",IF(C165="Misma loc.",1,$C$29))</f>
        <v>2</v>
      </c>
      <c r="E165" s="18" t="n">
        <f aca="false">IF(C165="","",COUNTIF($E$115:$E$150,"&lt;"&amp;(B165-0.000001))+1)</f>
        <v>2</v>
      </c>
      <c r="F165" s="18" t="n">
        <f aca="false">IF(C165="","",COUNTIF($E$157:E165,E165))</f>
        <v>4</v>
      </c>
      <c r="G165" s="24" t="n">
        <f aca="false">IF(C165="","",INDEX($C$51:$F$51,D165))</f>
        <v>99473.8108108108</v>
      </c>
      <c r="H165" s="24" t="n">
        <f aca="false">IF(C165="","",IF(F165&gt;=$C$19,INDEX($C$63:$F$63,D165),INDEX($C$62:$F$62,D165)))</f>
        <v>88600.7254054054</v>
      </c>
      <c r="I165" s="24" t="n">
        <f aca="false">IF(C165="","",INDEX($C$64:$F$64,D165))</f>
        <v>111149.808108108</v>
      </c>
      <c r="J165" s="24" t="n">
        <f aca="false">IF(C165="","",IF(F165&gt;=$C$19,INDEX($C$65:$F$65,D165),INDEX($C$64:$F$64,D165)))</f>
        <v>111149.808108108</v>
      </c>
      <c r="K165" s="24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8" t="n">
        <v>10</v>
      </c>
      <c r="C166" s="5" t="str">
        <f aca="false">IF(B166&gt;$C$30,"",IF(INT(B166*$C$27/$C$30)&gt;INT((B166-1)*$C$27/$C$30),"Misma loc.","Otra loc."))</f>
        <v>Misma loc.</v>
      </c>
      <c r="D166" s="18" t="n">
        <f aca="false">IF(C166="","",IF(C166="Misma loc.",1,$C$29))</f>
        <v>1</v>
      </c>
      <c r="E166" s="18" t="n">
        <f aca="false">IF(C166="","",COUNTIF($E$115:$E$150,"&lt;"&amp;(B166-0.000001))+1)</f>
        <v>2</v>
      </c>
      <c r="F166" s="18" t="n">
        <f aca="false">IF(C166="","",COUNTIF($E$157:E166,E166))</f>
        <v>5</v>
      </c>
      <c r="G166" s="24" t="n">
        <f aca="false">IF(C166="","",INDEX($C$51:$F$51,D166))</f>
        <v>76047.4054054054</v>
      </c>
      <c r="H166" s="24" t="n">
        <f aca="false">IF(C166="","",IF(F166&gt;=$C$19,INDEX($C$63:$F$63,D166),INDEX($C$62:$F$62,D166)))</f>
        <v>58116.7137837838</v>
      </c>
      <c r="I166" s="24" t="n">
        <f aca="false">IF(C166="","",INDEX($C$64:$F$64,D166))</f>
        <v>68381.1581081081</v>
      </c>
      <c r="J166" s="24" t="n">
        <f aca="false">IF(C166="","",IF(F166&gt;=$C$19,INDEX($C$65:$F$65,D166),INDEX($C$64:$F$64,D166)))</f>
        <v>68381.1581081081</v>
      </c>
      <c r="K166" s="24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8" t="n">
        <v>11</v>
      </c>
      <c r="C167" s="5" t="str">
        <f aca="false">IF(B167&gt;$C$30,"",IF(INT(B167*$C$27/$C$30)&gt;INT((B167-1)*$C$27/$C$30),"Misma loc.","Otra loc."))</f>
        <v>Otra loc.</v>
      </c>
      <c r="D167" s="18" t="n">
        <f aca="false">IF(C167="","",IF(C167="Misma loc.",1,$C$29))</f>
        <v>2</v>
      </c>
      <c r="E167" s="18" t="n">
        <f aca="false">IF(C167="","",COUNTIF($E$115:$E$150,"&lt;"&amp;(B167-0.000001))+1)</f>
        <v>3</v>
      </c>
      <c r="F167" s="18" t="n">
        <f aca="false">IF(C167="","",COUNTIF($E$157:E167,E167))</f>
        <v>1</v>
      </c>
      <c r="G167" s="24" t="n">
        <f aca="false">IF(C167="","",INDEX($C$51:$F$51,D167))</f>
        <v>99473.8108108108</v>
      </c>
      <c r="H167" s="24" t="n">
        <f aca="false">IF(C167="","",IF(F167&gt;=$C$19,INDEX($C$63:$F$63,D167),INDEX($C$62:$F$62,D167)))</f>
        <v>88600.7254054054</v>
      </c>
      <c r="I167" s="24" t="n">
        <f aca="false">IF(C167="","",INDEX($C$64:$F$64,D167))</f>
        <v>111149.808108108</v>
      </c>
      <c r="J167" s="24" t="n">
        <f aca="false">IF(C167="","",IF(F167&gt;=$C$19,INDEX($C$65:$F$65,D167),INDEX($C$64:$F$64,D167)))</f>
        <v>111149.808108108</v>
      </c>
      <c r="K167" s="24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8" t="n">
        <v>12</v>
      </c>
      <c r="C168" s="5" t="str">
        <f aca="false">IF(B168&gt;$C$30,"",IF(INT(B168*$C$27/$C$30)&gt;INT((B168-1)*$C$27/$C$30),"Misma loc.","Otra loc."))</f>
        <v>Misma loc.</v>
      </c>
      <c r="D168" s="18" t="n">
        <f aca="false">IF(C168="","",IF(C168="Misma loc.",1,$C$29))</f>
        <v>1</v>
      </c>
      <c r="E168" s="18" t="n">
        <f aca="false">IF(C168="","",COUNTIF($E$115:$E$150,"&lt;"&amp;(B168-0.000001))+1)</f>
        <v>3</v>
      </c>
      <c r="F168" s="18" t="n">
        <f aca="false">IF(C168="","",COUNTIF($E$157:E168,E168))</f>
        <v>2</v>
      </c>
      <c r="G168" s="24" t="n">
        <f aca="false">IF(C168="","",INDEX($C$51:$F$51,D168))</f>
        <v>76047.4054054054</v>
      </c>
      <c r="H168" s="24" t="n">
        <f aca="false">IF(C168="","",IF(F168&gt;=$C$19,INDEX($C$63:$F$63,D168),INDEX($C$62:$F$62,D168)))</f>
        <v>58116.7137837838</v>
      </c>
      <c r="I168" s="24" t="n">
        <f aca="false">IF(C168="","",INDEX($C$64:$F$64,D168))</f>
        <v>68381.1581081081</v>
      </c>
      <c r="J168" s="24" t="n">
        <f aca="false">IF(C168="","",IF(F168&gt;=$C$19,INDEX($C$65:$F$65,D168),INDEX($C$64:$F$64,D168)))</f>
        <v>68381.1581081081</v>
      </c>
      <c r="K168" s="24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8" t="n">
        <v>13</v>
      </c>
      <c r="C169" s="5" t="str">
        <f aca="false">IF(B169&gt;$C$30,"",IF(INT(B169*$C$27/$C$30)&gt;INT((B169-1)*$C$27/$C$30),"Misma loc.","Otra loc."))</f>
        <v>Otra loc.</v>
      </c>
      <c r="D169" s="18" t="n">
        <f aca="false">IF(C169="","",IF(C169="Misma loc.",1,$C$29))</f>
        <v>2</v>
      </c>
      <c r="E169" s="18" t="n">
        <f aca="false">IF(C169="","",COUNTIF($E$115:$E$150,"&lt;"&amp;(B169-0.000001))+1)</f>
        <v>3</v>
      </c>
      <c r="F169" s="18" t="n">
        <f aca="false">IF(C169="","",COUNTIF($E$157:E169,E169))</f>
        <v>3</v>
      </c>
      <c r="G169" s="24" t="n">
        <f aca="false">IF(C169="","",INDEX($C$51:$F$51,D169))</f>
        <v>99473.8108108108</v>
      </c>
      <c r="H169" s="24" t="n">
        <f aca="false">IF(C169="","",IF(F169&gt;=$C$19,INDEX($C$63:$F$63,D169),INDEX($C$62:$F$62,D169)))</f>
        <v>88600.7254054054</v>
      </c>
      <c r="I169" s="24" t="n">
        <f aca="false">IF(C169="","",INDEX($C$64:$F$64,D169))</f>
        <v>111149.808108108</v>
      </c>
      <c r="J169" s="24" t="n">
        <f aca="false">IF(C169="","",IF(F169&gt;=$C$19,INDEX($C$65:$F$65,D169),INDEX($C$64:$F$64,D169)))</f>
        <v>111149.808108108</v>
      </c>
      <c r="K169" s="24" t="n">
        <f aca="false">IF(C169="","",IF(F169&gt;=$C$19,INDEX($C$67:$F$67,D169),INDEX($C$66:$F$66,D169)))</f>
        <v>85046.6491891892</v>
      </c>
    </row>
    <row r="170" customFormat="false" ht="15" hidden="false" customHeight="false" outlineLevel="0" collapsed="false">
      <c r="B170" s="18" t="n">
        <v>14</v>
      </c>
      <c r="C170" s="5" t="str">
        <f aca="false">IF(B170&gt;$C$30,"",IF(INT(B170*$C$27/$C$30)&gt;INT((B170-1)*$C$27/$C$30),"Misma loc.","Otra loc."))</f>
        <v>Misma loc.</v>
      </c>
      <c r="D170" s="18" t="n">
        <f aca="false">IF(C170="","",IF(C170="Misma loc.",1,$C$29))</f>
        <v>1</v>
      </c>
      <c r="E170" s="18" t="n">
        <f aca="false">IF(C170="","",COUNTIF($E$115:$E$150,"&lt;"&amp;(B170-0.000001))+1)</f>
        <v>3</v>
      </c>
      <c r="F170" s="18" t="n">
        <f aca="false">IF(C170="","",COUNTIF($E$157:E170,E170))</f>
        <v>4</v>
      </c>
      <c r="G170" s="24" t="n">
        <f aca="false">IF(C170="","",INDEX($C$51:$F$51,D170))</f>
        <v>76047.4054054054</v>
      </c>
      <c r="H170" s="24" t="n">
        <f aca="false">IF(C170="","",IF(F170&gt;=$C$19,INDEX($C$63:$F$63,D170),INDEX($C$62:$F$62,D170)))</f>
        <v>58116.7137837838</v>
      </c>
      <c r="I170" s="24" t="n">
        <f aca="false">IF(C170="","",INDEX($C$64:$F$64,D170))</f>
        <v>68381.1581081081</v>
      </c>
      <c r="J170" s="24" t="n">
        <f aca="false">IF(C170="","",IF(F170&gt;=$C$19,INDEX($C$65:$F$65,D170),INDEX($C$64:$F$64,D170)))</f>
        <v>68381.1581081081</v>
      </c>
      <c r="K170" s="24" t="n">
        <f aca="false">IF(C170="","",IF(F170&gt;=$C$19,INDEX($C$67:$F$67,D170),INDEX($C$66:$F$66,D170)))</f>
        <v>58075.5140540541</v>
      </c>
    </row>
    <row r="171" customFormat="false" ht="15" hidden="false" customHeight="false" outlineLevel="0" collapsed="false">
      <c r="B171" s="18" t="n">
        <v>15</v>
      </c>
      <c r="C171" s="5" t="str">
        <f aca="false">IF(B171&gt;$C$30,"",IF(INT(B171*$C$27/$C$30)&gt;INT((B171-1)*$C$27/$C$30),"Misma loc.","Otra loc."))</f>
        <v>Otra loc.</v>
      </c>
      <c r="D171" s="18" t="n">
        <f aca="false">IF(C171="","",IF(C171="Misma loc.",1,$C$29))</f>
        <v>2</v>
      </c>
      <c r="E171" s="18" t="n">
        <f aca="false">IF(C171="","",COUNTIF($E$115:$E$150,"&lt;"&amp;(B171-0.000001))+1)</f>
        <v>3</v>
      </c>
      <c r="F171" s="18" t="n">
        <f aca="false">IF(C171="","",COUNTIF($E$157:E171,E171))</f>
        <v>5</v>
      </c>
      <c r="G171" s="24" t="n">
        <f aca="false">IF(C171="","",INDEX($C$51:$F$51,D171))</f>
        <v>99473.8108108108</v>
      </c>
      <c r="H171" s="24" t="n">
        <f aca="false">IF(C171="","",IF(F171&gt;=$C$19,INDEX($C$63:$F$63,D171),INDEX($C$62:$F$62,D171)))</f>
        <v>88600.7254054054</v>
      </c>
      <c r="I171" s="24" t="n">
        <f aca="false">IF(C171="","",INDEX($C$64:$F$64,D171))</f>
        <v>111149.808108108</v>
      </c>
      <c r="J171" s="24" t="n">
        <f aca="false">IF(C171="","",IF(F171&gt;=$C$19,INDEX($C$65:$F$65,D171),INDEX($C$64:$F$64,D171)))</f>
        <v>111149.808108108</v>
      </c>
      <c r="K171" s="24" t="n">
        <f aca="false">IF(C171="","",IF(F171&gt;=$C$19,INDEX($C$67:$F$67,D171),INDEX($C$66:$F$66,D171)))</f>
        <v>85046.6491891892</v>
      </c>
    </row>
    <row r="172" customFormat="false" ht="15" hidden="false" customHeight="false" outlineLevel="0" collapsed="false">
      <c r="B172" s="18" t="n">
        <v>16</v>
      </c>
      <c r="C172" s="5" t="str">
        <f aca="false">IF(B172&gt;$C$30,"",IF(INT(B172*$C$27/$C$30)&gt;INT((B172-1)*$C$27/$C$30),"Misma loc.","Otra loc."))</f>
        <v>Otra loc.</v>
      </c>
      <c r="D172" s="18" t="n">
        <f aca="false">IF(C172="","",IF(C172="Misma loc.",1,$C$29))</f>
        <v>2</v>
      </c>
      <c r="E172" s="18" t="n">
        <f aca="false">IF(C172="","",COUNTIF($E$115:$E$150,"&lt;"&amp;(B172-0.000001))+1)</f>
        <v>4</v>
      </c>
      <c r="F172" s="18" t="n">
        <f aca="false">IF(C172="","",COUNTIF($E$157:E172,E172))</f>
        <v>1</v>
      </c>
      <c r="G172" s="24" t="n">
        <f aca="false">IF(C172="","",INDEX($C$51:$F$51,D172))</f>
        <v>99473.8108108108</v>
      </c>
      <c r="H172" s="24" t="n">
        <f aca="false">IF(C172="","",IF(F172&gt;=$C$19,INDEX($C$63:$F$63,D172),INDEX($C$62:$F$62,D172)))</f>
        <v>88600.7254054054</v>
      </c>
      <c r="I172" s="24" t="n">
        <f aca="false">IF(C172="","",INDEX($C$64:$F$64,D172))</f>
        <v>111149.808108108</v>
      </c>
      <c r="J172" s="24" t="n">
        <f aca="false">IF(C172="","",IF(F172&gt;=$C$19,INDEX($C$65:$F$65,D172),INDEX($C$64:$F$64,D172)))</f>
        <v>111149.808108108</v>
      </c>
      <c r="K172" s="24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8" t="n">
        <v>17</v>
      </c>
      <c r="C173" s="5" t="str">
        <f aca="false">IF(B173&gt;$C$30,"",IF(INT(B173*$C$27/$C$30)&gt;INT((B173-1)*$C$27/$C$30),"Misma loc.","Otra loc."))</f>
        <v>Misma loc.</v>
      </c>
      <c r="D173" s="18" t="n">
        <f aca="false">IF(C173="","",IF(C173="Misma loc.",1,$C$29))</f>
        <v>1</v>
      </c>
      <c r="E173" s="18" t="n">
        <f aca="false">IF(C173="","",COUNTIF($E$115:$E$150,"&lt;"&amp;(B173-0.000001))+1)</f>
        <v>4</v>
      </c>
      <c r="F173" s="18" t="n">
        <f aca="false">IF(C173="","",COUNTIF($E$157:E173,E173))</f>
        <v>2</v>
      </c>
      <c r="G173" s="24" t="n">
        <f aca="false">IF(C173="","",INDEX($C$51:$F$51,D173))</f>
        <v>76047.4054054054</v>
      </c>
      <c r="H173" s="24" t="n">
        <f aca="false">IF(C173="","",IF(F173&gt;=$C$19,INDEX($C$63:$F$63,D173),INDEX($C$62:$F$62,D173)))</f>
        <v>58116.7137837838</v>
      </c>
      <c r="I173" s="24" t="n">
        <f aca="false">IF(C173="","",INDEX($C$64:$F$64,D173))</f>
        <v>68381.1581081081</v>
      </c>
      <c r="J173" s="24" t="n">
        <f aca="false">IF(C173="","",IF(F173&gt;=$C$19,INDEX($C$65:$F$65,D173),INDEX($C$64:$F$64,D173)))</f>
        <v>68381.1581081081</v>
      </c>
      <c r="K173" s="24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8" t="n">
        <v>18</v>
      </c>
      <c r="C174" s="5" t="str">
        <f aca="false">IF(B174&gt;$C$30,"",IF(INT(B174*$C$27/$C$30)&gt;INT((B174-1)*$C$27/$C$30),"Misma loc.","Otra loc."))</f>
        <v>Otra loc.</v>
      </c>
      <c r="D174" s="18" t="n">
        <f aca="false">IF(C174="","",IF(C174="Misma loc.",1,$C$29))</f>
        <v>2</v>
      </c>
      <c r="E174" s="18" t="n">
        <f aca="false">IF(C174="","",COUNTIF($E$115:$E$150,"&lt;"&amp;(B174-0.000001))+1)</f>
        <v>4</v>
      </c>
      <c r="F174" s="18" t="n">
        <f aca="false">IF(C174="","",COUNTIF($E$157:E174,E174))</f>
        <v>3</v>
      </c>
      <c r="G174" s="24" t="n">
        <f aca="false">IF(C174="","",INDEX($C$51:$F$51,D174))</f>
        <v>99473.8108108108</v>
      </c>
      <c r="H174" s="24" t="n">
        <f aca="false">IF(C174="","",IF(F174&gt;=$C$19,INDEX($C$63:$F$63,D174),INDEX($C$62:$F$62,D174)))</f>
        <v>88600.7254054054</v>
      </c>
      <c r="I174" s="24" t="n">
        <f aca="false">IF(C174="","",INDEX($C$64:$F$64,D174))</f>
        <v>111149.808108108</v>
      </c>
      <c r="J174" s="24" t="n">
        <f aca="false">IF(C174="","",IF(F174&gt;=$C$19,INDEX($C$65:$F$65,D174),INDEX($C$64:$F$64,D174)))</f>
        <v>111149.808108108</v>
      </c>
      <c r="K174" s="24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8" t="n">
        <v>19</v>
      </c>
      <c r="C175" s="5" t="str">
        <f aca="false">IF(B175&gt;$C$30,"",IF(INT(B175*$C$27/$C$30)&gt;INT((B175-1)*$C$27/$C$30),"Misma loc.","Otra loc."))</f>
        <v>Misma loc.</v>
      </c>
      <c r="D175" s="18" t="n">
        <f aca="false">IF(C175="","",IF(C175="Misma loc.",1,$C$29))</f>
        <v>1</v>
      </c>
      <c r="E175" s="18" t="n">
        <f aca="false">IF(C175="","",COUNTIF($E$115:$E$150,"&lt;"&amp;(B175-0.000001))+1)</f>
        <v>4</v>
      </c>
      <c r="F175" s="18" t="n">
        <f aca="false">IF(C175="","",COUNTIF($E$157:E175,E175))</f>
        <v>4</v>
      </c>
      <c r="G175" s="24" t="n">
        <f aca="false">IF(C175="","",INDEX($C$51:$F$51,D175))</f>
        <v>76047.4054054054</v>
      </c>
      <c r="H175" s="24" t="n">
        <f aca="false">IF(C175="","",IF(F175&gt;=$C$19,INDEX($C$63:$F$63,D175),INDEX($C$62:$F$62,D175)))</f>
        <v>58116.7137837838</v>
      </c>
      <c r="I175" s="24" t="n">
        <f aca="false">IF(C175="","",INDEX($C$64:$F$64,D175))</f>
        <v>68381.1581081081</v>
      </c>
      <c r="J175" s="24" t="n">
        <f aca="false">IF(C175="","",IF(F175&gt;=$C$19,INDEX($C$65:$F$65,D175),INDEX($C$64:$F$64,D175)))</f>
        <v>68381.1581081081</v>
      </c>
      <c r="K175" s="24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8" t="n">
        <v>20</v>
      </c>
      <c r="C176" s="5" t="str">
        <f aca="false">IF(B176&gt;$C$30,"",IF(INT(B176*$C$27/$C$30)&gt;INT((B176-1)*$C$27/$C$30),"Misma loc.","Otra loc."))</f>
        <v>Otra loc.</v>
      </c>
      <c r="D176" s="18" t="n">
        <f aca="false">IF(C176="","",IF(C176="Misma loc.",1,$C$29))</f>
        <v>2</v>
      </c>
      <c r="E176" s="18" t="n">
        <f aca="false">IF(C176="","",COUNTIF($E$115:$E$150,"&lt;"&amp;(B176-0.000001))+1)</f>
        <v>4</v>
      </c>
      <c r="F176" s="18" t="n">
        <f aca="false">IF(C176="","",COUNTIF($E$157:E176,E176))</f>
        <v>5</v>
      </c>
      <c r="G176" s="24" t="n">
        <f aca="false">IF(C176="","",INDEX($C$51:$F$51,D176))</f>
        <v>99473.8108108108</v>
      </c>
      <c r="H176" s="24" t="n">
        <f aca="false">IF(C176="","",IF(F176&gt;=$C$19,INDEX($C$63:$F$63,D176),INDEX($C$62:$F$62,D176)))</f>
        <v>88600.7254054054</v>
      </c>
      <c r="I176" s="24" t="n">
        <f aca="false">IF(C176="","",INDEX($C$64:$F$64,D176))</f>
        <v>111149.808108108</v>
      </c>
      <c r="J176" s="24" t="n">
        <f aca="false">IF(C176="","",IF(F176&gt;=$C$19,INDEX($C$65:$F$65,D176),INDEX($C$64:$F$64,D176)))</f>
        <v>111149.808108108</v>
      </c>
      <c r="K176" s="24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8" t="n">
        <v>21</v>
      </c>
      <c r="C177" s="5" t="str">
        <f aca="false">IF(B177&gt;$C$30,"",IF(INT(B177*$C$27/$C$30)&gt;INT((B177-1)*$C$27/$C$30),"Misma loc.","Otra loc."))</f>
        <v>Misma loc.</v>
      </c>
      <c r="D177" s="18" t="n">
        <f aca="false">IF(C177="","",IF(C177="Misma loc.",1,$C$29))</f>
        <v>1</v>
      </c>
      <c r="E177" s="18" t="n">
        <f aca="false">IF(C177="","",COUNTIF($E$115:$E$150,"&lt;"&amp;(B177-0.000001))+1)</f>
        <v>5</v>
      </c>
      <c r="F177" s="18" t="n">
        <f aca="false">IF(C177="","",COUNTIF($E$157:E177,E177))</f>
        <v>1</v>
      </c>
      <c r="G177" s="24" t="n">
        <f aca="false">IF(C177="","",INDEX($C$51:$F$51,D177))</f>
        <v>76047.4054054054</v>
      </c>
      <c r="H177" s="24" t="n">
        <f aca="false">IF(C177="","",IF(F177&gt;=$C$19,INDEX($C$63:$F$63,D177),INDEX($C$62:$F$62,D177)))</f>
        <v>58116.7137837838</v>
      </c>
      <c r="I177" s="24" t="n">
        <f aca="false">IF(C177="","",INDEX($C$64:$F$64,D177))</f>
        <v>68381.1581081081</v>
      </c>
      <c r="J177" s="24" t="n">
        <f aca="false">IF(C177="","",IF(F177&gt;=$C$19,INDEX($C$65:$F$65,D177),INDEX($C$64:$F$64,D177)))</f>
        <v>68381.1581081081</v>
      </c>
      <c r="K177" s="24" t="n">
        <f aca="false">IF(C177="","",IF(F177&gt;=$C$19,INDEX($C$67:$F$67,D177),INDEX($C$66:$F$66,D177)))</f>
        <v>58075.5140540541</v>
      </c>
    </row>
    <row r="178" customFormat="false" ht="15" hidden="false" customHeight="false" outlineLevel="0" collapsed="false">
      <c r="B178" s="18" t="n">
        <v>22</v>
      </c>
      <c r="C178" s="5" t="str">
        <f aca="false">IF(B178&gt;$C$30,"",IF(INT(B178*$C$27/$C$30)&gt;INT((B178-1)*$C$27/$C$30),"Misma loc.","Otra loc."))</f>
        <v>Otra loc.</v>
      </c>
      <c r="D178" s="18" t="n">
        <f aca="false">IF(C178="","",IF(C178="Misma loc.",1,$C$29))</f>
        <v>2</v>
      </c>
      <c r="E178" s="18" t="n">
        <f aca="false">IF(C178="","",COUNTIF($E$115:$E$150,"&lt;"&amp;(B178-0.000001))+1)</f>
        <v>5</v>
      </c>
      <c r="F178" s="18" t="n">
        <f aca="false">IF(C178="","",COUNTIF($E$157:E178,E178))</f>
        <v>2</v>
      </c>
      <c r="G178" s="24" t="n">
        <f aca="false">IF(C178="","",INDEX($C$51:$F$51,D178))</f>
        <v>99473.8108108108</v>
      </c>
      <c r="H178" s="24" t="n">
        <f aca="false">IF(C178="","",IF(F178&gt;=$C$19,INDEX($C$63:$F$63,D178),INDEX($C$62:$F$62,D178)))</f>
        <v>88600.7254054054</v>
      </c>
      <c r="I178" s="24" t="n">
        <f aca="false">IF(C178="","",INDEX($C$64:$F$64,D178))</f>
        <v>111149.808108108</v>
      </c>
      <c r="J178" s="24" t="n">
        <f aca="false">IF(C178="","",IF(F178&gt;=$C$19,INDEX($C$65:$F$65,D178),INDEX($C$64:$F$64,D178)))</f>
        <v>111149.808108108</v>
      </c>
      <c r="K178" s="24" t="n">
        <f aca="false">IF(C178="","",IF(F178&gt;=$C$19,INDEX($C$67:$F$67,D178),INDEX($C$66:$F$66,D178)))</f>
        <v>85046.6491891892</v>
      </c>
    </row>
    <row r="179" customFormat="false" ht="15" hidden="false" customHeight="false" outlineLevel="0" collapsed="false">
      <c r="B179" s="18" t="n">
        <v>23</v>
      </c>
      <c r="C179" s="5" t="str">
        <f aca="false">IF(B179&gt;$C$30,"",IF(INT(B179*$C$27/$C$30)&gt;INT((B179-1)*$C$27/$C$30),"Misma loc.","Otra loc."))</f>
        <v>Otra loc.</v>
      </c>
      <c r="D179" s="18" t="n">
        <f aca="false">IF(C179="","",IF(C179="Misma loc.",1,$C$29))</f>
        <v>2</v>
      </c>
      <c r="E179" s="18" t="n">
        <f aca="false">IF(C179="","",COUNTIF($E$115:$E$150,"&lt;"&amp;(B179-0.000001))+1)</f>
        <v>5</v>
      </c>
      <c r="F179" s="18" t="n">
        <f aca="false">IF(C179="","",COUNTIF($E$157:E179,E179))</f>
        <v>3</v>
      </c>
      <c r="G179" s="24" t="n">
        <f aca="false">IF(C179="","",INDEX($C$51:$F$51,D179))</f>
        <v>99473.8108108108</v>
      </c>
      <c r="H179" s="24" t="n">
        <f aca="false">IF(C179="","",IF(F179&gt;=$C$19,INDEX($C$63:$F$63,D179),INDEX($C$62:$F$62,D179)))</f>
        <v>88600.7254054054</v>
      </c>
      <c r="I179" s="24" t="n">
        <f aca="false">IF(C179="","",INDEX($C$64:$F$64,D179))</f>
        <v>111149.808108108</v>
      </c>
      <c r="J179" s="24" t="n">
        <f aca="false">IF(C179="","",IF(F179&gt;=$C$19,INDEX($C$65:$F$65,D179),INDEX($C$64:$F$64,D179)))</f>
        <v>111149.808108108</v>
      </c>
      <c r="K179" s="24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8" t="n">
        <v>24</v>
      </c>
      <c r="C180" s="5" t="str">
        <f aca="false">IF(B180&gt;$C$30,"",IF(INT(B180*$C$27/$C$30)&gt;INT((B180-1)*$C$27/$C$30),"Misma loc.","Otra loc."))</f>
        <v>Misma loc.</v>
      </c>
      <c r="D180" s="18" t="n">
        <f aca="false">IF(C180="","",IF(C180="Misma loc.",1,$C$29))</f>
        <v>1</v>
      </c>
      <c r="E180" s="18" t="n">
        <f aca="false">IF(C180="","",COUNTIF($E$115:$E$150,"&lt;"&amp;(B180-0.000001))+1)</f>
        <v>5</v>
      </c>
      <c r="F180" s="18" t="n">
        <f aca="false">IF(C180="","",COUNTIF($E$157:E180,E180))</f>
        <v>4</v>
      </c>
      <c r="G180" s="24" t="n">
        <f aca="false">IF(C180="","",INDEX($C$51:$F$51,D180))</f>
        <v>76047.4054054054</v>
      </c>
      <c r="H180" s="24" t="n">
        <f aca="false">IF(C180="","",IF(F180&gt;=$C$19,INDEX($C$63:$F$63,D180),INDEX($C$62:$F$62,D180)))</f>
        <v>58116.7137837838</v>
      </c>
      <c r="I180" s="24" t="n">
        <f aca="false">IF(C180="","",INDEX($C$64:$F$64,D180))</f>
        <v>68381.1581081081</v>
      </c>
      <c r="J180" s="24" t="n">
        <f aca="false">IF(C180="","",IF(F180&gt;=$C$19,INDEX($C$65:$F$65,D180),INDEX($C$64:$F$64,D180)))</f>
        <v>68381.1581081081</v>
      </c>
      <c r="K180" s="24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8" t="n">
        <v>25</v>
      </c>
      <c r="C181" s="5" t="str">
        <f aca="false">IF(B181&gt;$C$30,"",IF(INT(B181*$C$27/$C$30)&gt;INT((B181-1)*$C$27/$C$30),"Misma loc.","Otra loc."))</f>
        <v>Otra loc.</v>
      </c>
      <c r="D181" s="18" t="n">
        <f aca="false">IF(C181="","",IF(C181="Misma loc.",1,$C$29))</f>
        <v>2</v>
      </c>
      <c r="E181" s="18" t="n">
        <f aca="false">IF(C181="","",COUNTIF($E$115:$E$150,"&lt;"&amp;(B181-0.000001))+1)</f>
        <v>5</v>
      </c>
      <c r="F181" s="18" t="n">
        <f aca="false">IF(C181="","",COUNTIF($E$157:E181,E181))</f>
        <v>5</v>
      </c>
      <c r="G181" s="24" t="n">
        <f aca="false">IF(C181="","",INDEX($C$51:$F$51,D181))</f>
        <v>99473.8108108108</v>
      </c>
      <c r="H181" s="24" t="n">
        <f aca="false">IF(C181="","",IF(F181&gt;=$C$19,INDEX($C$63:$F$63,D181),INDEX($C$62:$F$62,D181)))</f>
        <v>88600.7254054054</v>
      </c>
      <c r="I181" s="24" t="n">
        <f aca="false">IF(C181="","",INDEX($C$64:$F$64,D181))</f>
        <v>111149.808108108</v>
      </c>
      <c r="J181" s="24" t="n">
        <f aca="false">IF(C181="","",IF(F181&gt;=$C$19,INDEX($C$65:$F$65,D181),INDEX($C$64:$F$64,D181)))</f>
        <v>111149.808108108</v>
      </c>
      <c r="K181" s="24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8" t="n">
        <v>26</v>
      </c>
      <c r="C182" s="5" t="str">
        <f aca="false">IF(B182&gt;$C$30,"",IF(INT(B182*$C$27/$C$30)&gt;INT((B182-1)*$C$27/$C$30),"Misma loc.","Otra loc."))</f>
        <v>Misma loc.</v>
      </c>
      <c r="D182" s="18" t="n">
        <f aca="false">IF(C182="","",IF(C182="Misma loc.",1,$C$29))</f>
        <v>1</v>
      </c>
      <c r="E182" s="18" t="n">
        <f aca="false">IF(C182="","",COUNTIF($E$115:$E$150,"&lt;"&amp;(B182-0.000001))+1)</f>
        <v>6</v>
      </c>
      <c r="F182" s="18" t="n">
        <f aca="false">IF(C182="","",COUNTIF($E$157:E182,E182))</f>
        <v>1</v>
      </c>
      <c r="G182" s="24" t="n">
        <f aca="false">IF(C182="","",INDEX($C$51:$F$51,D182))</f>
        <v>76047.4054054054</v>
      </c>
      <c r="H182" s="24" t="n">
        <f aca="false">IF(C182="","",IF(F182&gt;=$C$19,INDEX($C$63:$F$63,D182),INDEX($C$62:$F$62,D182)))</f>
        <v>58116.7137837838</v>
      </c>
      <c r="I182" s="24" t="n">
        <f aca="false">IF(C182="","",INDEX($C$64:$F$64,D182))</f>
        <v>68381.1581081081</v>
      </c>
      <c r="J182" s="24" t="n">
        <f aca="false">IF(C182="","",IF(F182&gt;=$C$19,INDEX($C$65:$F$65,D182),INDEX($C$64:$F$64,D182)))</f>
        <v>68381.1581081081</v>
      </c>
      <c r="K182" s="24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8" t="n">
        <v>27</v>
      </c>
      <c r="C183" s="5" t="str">
        <f aca="false">IF(B183&gt;$C$30,"",IF(INT(B183*$C$27/$C$30)&gt;INT((B183-1)*$C$27/$C$30),"Misma loc.","Otra loc."))</f>
        <v>Otra loc.</v>
      </c>
      <c r="D183" s="18" t="n">
        <f aca="false">IF(C183="","",IF(C183="Misma loc.",1,$C$29))</f>
        <v>2</v>
      </c>
      <c r="E183" s="18" t="n">
        <f aca="false">IF(C183="","",COUNTIF($E$115:$E$150,"&lt;"&amp;(B183-0.000001))+1)</f>
        <v>6</v>
      </c>
      <c r="F183" s="18" t="n">
        <f aca="false">IF(C183="","",COUNTIF($E$157:E183,E183))</f>
        <v>2</v>
      </c>
      <c r="G183" s="24" t="n">
        <f aca="false">IF(C183="","",INDEX($C$51:$F$51,D183))</f>
        <v>99473.8108108108</v>
      </c>
      <c r="H183" s="24" t="n">
        <f aca="false">IF(C183="","",IF(F183&gt;=$C$19,INDEX($C$63:$F$63,D183),INDEX($C$62:$F$62,D183)))</f>
        <v>88600.7254054054</v>
      </c>
      <c r="I183" s="24" t="n">
        <f aca="false">IF(C183="","",INDEX($C$64:$F$64,D183))</f>
        <v>111149.808108108</v>
      </c>
      <c r="J183" s="24" t="n">
        <f aca="false">IF(C183="","",IF(F183&gt;=$C$19,INDEX($C$65:$F$65,D183),INDEX($C$64:$F$64,D183)))</f>
        <v>111149.808108108</v>
      </c>
      <c r="K183" s="24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8" t="n">
        <v>28</v>
      </c>
      <c r="C184" s="5" t="str">
        <f aca="false">IF(B184&gt;$C$30,"",IF(INT(B184*$C$27/$C$30)&gt;INT((B184-1)*$C$27/$C$30),"Misma loc.","Otra loc."))</f>
        <v>Misma loc.</v>
      </c>
      <c r="D184" s="18" t="n">
        <f aca="false">IF(C184="","",IF(C184="Misma loc.",1,$C$29))</f>
        <v>1</v>
      </c>
      <c r="E184" s="18" t="n">
        <f aca="false">IF(C184="","",COUNTIF($E$115:$E$150,"&lt;"&amp;(B184-0.000001))+1)</f>
        <v>6</v>
      </c>
      <c r="F184" s="18" t="n">
        <f aca="false">IF(C184="","",COUNTIF($E$157:E184,E184))</f>
        <v>3</v>
      </c>
      <c r="G184" s="24" t="n">
        <f aca="false">IF(C184="","",INDEX($C$51:$F$51,D184))</f>
        <v>76047.4054054054</v>
      </c>
      <c r="H184" s="24" t="n">
        <f aca="false">IF(C184="","",IF(F184&gt;=$C$19,INDEX($C$63:$F$63,D184),INDEX($C$62:$F$62,D184)))</f>
        <v>58116.7137837838</v>
      </c>
      <c r="I184" s="24" t="n">
        <f aca="false">IF(C184="","",INDEX($C$64:$F$64,D184))</f>
        <v>68381.1581081081</v>
      </c>
      <c r="J184" s="24" t="n">
        <f aca="false">IF(C184="","",IF(F184&gt;=$C$19,INDEX($C$65:$F$65,D184),INDEX($C$64:$F$64,D184)))</f>
        <v>68381.1581081081</v>
      </c>
      <c r="K184" s="24" t="n">
        <f aca="false">IF(C184="","",IF(F184&gt;=$C$19,INDEX($C$67:$F$67,D184),INDEX($C$66:$F$66,D184)))</f>
        <v>58075.5140540541</v>
      </c>
    </row>
    <row r="185" customFormat="false" ht="15" hidden="false" customHeight="false" outlineLevel="0" collapsed="false">
      <c r="B185" s="18" t="n">
        <v>29</v>
      </c>
      <c r="C185" s="5" t="str">
        <f aca="false">IF(B185&gt;$C$30,"",IF(INT(B185*$C$27/$C$30)&gt;INT((B185-1)*$C$27/$C$30),"Misma loc.","Otra loc."))</f>
        <v>Otra loc.</v>
      </c>
      <c r="D185" s="18" t="n">
        <f aca="false">IF(C185="","",IF(C185="Misma loc.",1,$C$29))</f>
        <v>2</v>
      </c>
      <c r="E185" s="18" t="n">
        <f aca="false">IF(C185="","",COUNTIF($E$115:$E$150,"&lt;"&amp;(B185-0.000001))+1)</f>
        <v>6</v>
      </c>
      <c r="F185" s="18" t="n">
        <f aca="false">IF(C185="","",COUNTIF($E$157:E185,E185))</f>
        <v>4</v>
      </c>
      <c r="G185" s="24" t="n">
        <f aca="false">IF(C185="","",INDEX($C$51:$F$51,D185))</f>
        <v>99473.8108108108</v>
      </c>
      <c r="H185" s="24" t="n">
        <f aca="false">IF(C185="","",IF(F185&gt;=$C$19,INDEX($C$63:$F$63,D185),INDEX($C$62:$F$62,D185)))</f>
        <v>88600.7254054054</v>
      </c>
      <c r="I185" s="24" t="n">
        <f aca="false">IF(C185="","",INDEX($C$64:$F$64,D185))</f>
        <v>111149.808108108</v>
      </c>
      <c r="J185" s="24" t="n">
        <f aca="false">IF(C185="","",IF(F185&gt;=$C$19,INDEX($C$65:$F$65,D185),INDEX($C$64:$F$64,D185)))</f>
        <v>111149.808108108</v>
      </c>
      <c r="K185" s="24" t="n">
        <f aca="false">IF(C185="","",IF(F185&gt;=$C$19,INDEX($C$67:$F$67,D185),INDEX($C$66:$F$66,D185)))</f>
        <v>85046.6491891892</v>
      </c>
    </row>
    <row r="186" customFormat="false" ht="15" hidden="false" customHeight="false" outlineLevel="0" collapsed="false">
      <c r="B186" s="18" t="n">
        <v>30</v>
      </c>
      <c r="C186" s="5" t="str">
        <f aca="false">IF(B186&gt;$C$30,"",IF(INT(B186*$C$27/$C$30)&gt;INT((B186-1)*$C$27/$C$30),"Misma loc.","Otra loc."))</f>
        <v>Otra loc.</v>
      </c>
      <c r="D186" s="18" t="n">
        <f aca="false">IF(C186="","",IF(C186="Misma loc.",1,$C$29))</f>
        <v>2</v>
      </c>
      <c r="E186" s="18" t="n">
        <f aca="false">IF(C186="","",COUNTIF($E$115:$E$150,"&lt;"&amp;(B186-0.000001))+1)</f>
        <v>6</v>
      </c>
      <c r="F186" s="18" t="n">
        <f aca="false">IF(C186="","",COUNTIF($E$157:E186,E186))</f>
        <v>5</v>
      </c>
      <c r="G186" s="24" t="n">
        <f aca="false">IF(C186="","",INDEX($C$51:$F$51,D186))</f>
        <v>99473.8108108108</v>
      </c>
      <c r="H186" s="24" t="n">
        <f aca="false">IF(C186="","",IF(F186&gt;=$C$19,INDEX($C$63:$F$63,D186),INDEX($C$62:$F$62,D186)))</f>
        <v>88600.7254054054</v>
      </c>
      <c r="I186" s="24" t="n">
        <f aca="false">IF(C186="","",INDEX($C$64:$F$64,D186))</f>
        <v>111149.808108108</v>
      </c>
      <c r="J186" s="24" t="n">
        <f aca="false">IF(C186="","",IF(F186&gt;=$C$19,INDEX($C$65:$F$65,D186),INDEX($C$64:$F$64,D186)))</f>
        <v>111149.808108108</v>
      </c>
      <c r="K186" s="24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8" t="n">
        <v>31</v>
      </c>
      <c r="C187" s="5" t="str">
        <f aca="false">IF(B187&gt;$C$30,"",IF(INT(B187*$C$27/$C$30)&gt;INT((B187-1)*$C$27/$C$30),"Misma loc.","Otra loc."))</f>
        <v>Misma loc.</v>
      </c>
      <c r="D187" s="18" t="n">
        <f aca="false">IF(C187="","",IF(C187="Misma loc.",1,$C$29))</f>
        <v>1</v>
      </c>
      <c r="E187" s="18" t="n">
        <f aca="false">IF(C187="","",COUNTIF($E$115:$E$150,"&lt;"&amp;(B187-0.000001))+1)</f>
        <v>7</v>
      </c>
      <c r="F187" s="18" t="n">
        <f aca="false">IF(C187="","",COUNTIF($E$157:E187,E187))</f>
        <v>1</v>
      </c>
      <c r="G187" s="24" t="n">
        <f aca="false">IF(C187="","",INDEX($C$51:$F$51,D187))</f>
        <v>76047.4054054054</v>
      </c>
      <c r="H187" s="24" t="n">
        <f aca="false">IF(C187="","",IF(F187&gt;=$C$19,INDEX($C$63:$F$63,D187),INDEX($C$62:$F$62,D187)))</f>
        <v>58116.7137837838</v>
      </c>
      <c r="I187" s="24" t="n">
        <f aca="false">IF(C187="","",INDEX($C$64:$F$64,D187))</f>
        <v>68381.1581081081</v>
      </c>
      <c r="J187" s="24" t="n">
        <f aca="false">IF(C187="","",IF(F187&gt;=$C$19,INDEX($C$65:$F$65,D187),INDEX($C$64:$F$64,D187)))</f>
        <v>68381.1581081081</v>
      </c>
      <c r="K187" s="24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8" t="n">
        <v>32</v>
      </c>
      <c r="C188" s="5" t="str">
        <f aca="false">IF(B188&gt;$C$30,"",IF(INT(B188*$C$27/$C$30)&gt;INT((B188-1)*$C$27/$C$30),"Misma loc.","Otra loc."))</f>
        <v>Otra loc.</v>
      </c>
      <c r="D188" s="18" t="n">
        <f aca="false">IF(C188="","",IF(C188="Misma loc.",1,$C$29))</f>
        <v>2</v>
      </c>
      <c r="E188" s="18" t="n">
        <f aca="false">IF(C188="","",COUNTIF($E$115:$E$150,"&lt;"&amp;(B188-0.000001))+1)</f>
        <v>7</v>
      </c>
      <c r="F188" s="18" t="n">
        <f aca="false">IF(C188="","",COUNTIF($E$157:E188,E188))</f>
        <v>2</v>
      </c>
      <c r="G188" s="24" t="n">
        <f aca="false">IF(C188="","",INDEX($C$51:$F$51,D188))</f>
        <v>99473.8108108108</v>
      </c>
      <c r="H188" s="24" t="n">
        <f aca="false">IF(C188="","",IF(F188&gt;=$C$19,INDEX($C$63:$F$63,D188),INDEX($C$62:$F$62,D188)))</f>
        <v>88600.7254054054</v>
      </c>
      <c r="I188" s="24" t="n">
        <f aca="false">IF(C188="","",INDEX($C$64:$F$64,D188))</f>
        <v>111149.808108108</v>
      </c>
      <c r="J188" s="24" t="n">
        <f aca="false">IF(C188="","",IF(F188&gt;=$C$19,INDEX($C$65:$F$65,D188),INDEX($C$64:$F$64,D188)))</f>
        <v>111149.808108108</v>
      </c>
      <c r="K188" s="24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8" t="n">
        <v>33</v>
      </c>
      <c r="C189" s="5" t="str">
        <f aca="false">IF(B189&gt;$C$30,"",IF(INT(B189*$C$27/$C$30)&gt;INT((B189-1)*$C$27/$C$30),"Misma loc.","Otra loc."))</f>
        <v>Misma loc.</v>
      </c>
      <c r="D189" s="18" t="n">
        <f aca="false">IF(C189="","",IF(C189="Misma loc.",1,$C$29))</f>
        <v>1</v>
      </c>
      <c r="E189" s="18" t="n">
        <f aca="false">IF(C189="","",COUNTIF($E$115:$E$150,"&lt;"&amp;(B189-0.000001))+1)</f>
        <v>7</v>
      </c>
      <c r="F189" s="18" t="n">
        <f aca="false">IF(C189="","",COUNTIF($E$157:E189,E189))</f>
        <v>3</v>
      </c>
      <c r="G189" s="24" t="n">
        <f aca="false">IF(C189="","",INDEX($C$51:$F$51,D189))</f>
        <v>76047.4054054054</v>
      </c>
      <c r="H189" s="24" t="n">
        <f aca="false">IF(C189="","",IF(F189&gt;=$C$19,INDEX($C$63:$F$63,D189),INDEX($C$62:$F$62,D189)))</f>
        <v>58116.7137837838</v>
      </c>
      <c r="I189" s="24" t="n">
        <f aca="false">IF(C189="","",INDEX($C$64:$F$64,D189))</f>
        <v>68381.1581081081</v>
      </c>
      <c r="J189" s="24" t="n">
        <f aca="false">IF(C189="","",IF(F189&gt;=$C$19,INDEX($C$65:$F$65,D189),INDEX($C$64:$F$64,D189)))</f>
        <v>68381.1581081081</v>
      </c>
      <c r="K189" s="24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8" t="n">
        <v>34</v>
      </c>
      <c r="C190" s="5" t="str">
        <f aca="false">IF(B190&gt;$C$30,"",IF(INT(B190*$C$27/$C$30)&gt;INT((B190-1)*$C$27/$C$30),"Misma loc.","Otra loc."))</f>
        <v>Otra loc.</v>
      </c>
      <c r="D190" s="18" t="n">
        <f aca="false">IF(C190="","",IF(C190="Misma loc.",1,$C$29))</f>
        <v>2</v>
      </c>
      <c r="E190" s="18" t="n">
        <f aca="false">IF(C190="","",COUNTIF($E$115:$E$150,"&lt;"&amp;(B190-0.000001))+1)</f>
        <v>7</v>
      </c>
      <c r="F190" s="18" t="n">
        <f aca="false">IF(C190="","",COUNTIF($E$157:E190,E190))</f>
        <v>4</v>
      </c>
      <c r="G190" s="24" t="n">
        <f aca="false">IF(C190="","",INDEX($C$51:$F$51,D190))</f>
        <v>99473.8108108108</v>
      </c>
      <c r="H190" s="24" t="n">
        <f aca="false">IF(C190="","",IF(F190&gt;=$C$19,INDEX($C$63:$F$63,D190),INDEX($C$62:$F$62,D190)))</f>
        <v>88600.7254054054</v>
      </c>
      <c r="I190" s="24" t="n">
        <f aca="false">IF(C190="","",INDEX($C$64:$F$64,D190))</f>
        <v>111149.808108108</v>
      </c>
      <c r="J190" s="24" t="n">
        <f aca="false">IF(C190="","",IF(F190&gt;=$C$19,INDEX($C$65:$F$65,D190),INDEX($C$64:$F$64,D190)))</f>
        <v>111149.808108108</v>
      </c>
      <c r="K190" s="24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8" t="n">
        <v>35</v>
      </c>
      <c r="C191" s="5" t="str">
        <f aca="false">IF(B191&gt;$C$30,"",IF(INT(B191*$C$27/$C$30)&gt;INT((B191-1)*$C$27/$C$30),"Misma loc.","Otra loc."))</f>
        <v>Misma loc.</v>
      </c>
      <c r="D191" s="18" t="n">
        <f aca="false">IF(C191="","",IF(C191="Misma loc.",1,$C$29))</f>
        <v>1</v>
      </c>
      <c r="E191" s="18" t="n">
        <f aca="false">IF(C191="","",COUNTIF($E$115:$E$150,"&lt;"&amp;(B191-0.000001))+1)</f>
        <v>7</v>
      </c>
      <c r="F191" s="18" t="n">
        <f aca="false">IF(C191="","",COUNTIF($E$157:E191,E191))</f>
        <v>5</v>
      </c>
      <c r="G191" s="24" t="n">
        <f aca="false">IF(C191="","",INDEX($C$51:$F$51,D191))</f>
        <v>76047.4054054054</v>
      </c>
      <c r="H191" s="24" t="n">
        <f aca="false">IF(C191="","",IF(F191&gt;=$C$19,INDEX($C$63:$F$63,D191),INDEX($C$62:$F$62,D191)))</f>
        <v>58116.7137837838</v>
      </c>
      <c r="I191" s="24" t="n">
        <f aca="false">IF(C191="","",INDEX($C$64:$F$64,D191))</f>
        <v>68381.1581081081</v>
      </c>
      <c r="J191" s="24" t="n">
        <f aca="false">IF(C191="","",IF(F191&gt;=$C$19,INDEX($C$65:$F$65,D191),INDEX($C$64:$F$64,D191)))</f>
        <v>68381.1581081081</v>
      </c>
      <c r="K191" s="24" t="n">
        <f aca="false">IF(C191="","",IF(F191&gt;=$C$19,INDEX($C$67:$F$67,D191),INDEX($C$66:$F$66,D191)))</f>
        <v>58075.5140540541</v>
      </c>
    </row>
    <row r="192" customFormat="false" ht="15" hidden="false" customHeight="false" outlineLevel="0" collapsed="false">
      <c r="B192" s="18" t="n">
        <v>36</v>
      </c>
      <c r="C192" s="5" t="str">
        <f aca="false">IF(B192&gt;$C$30,"",IF(INT(B192*$C$27/$C$30)&gt;INT((B192-1)*$C$27/$C$30),"Misma loc.","Otra loc."))</f>
        <v/>
      </c>
      <c r="D192" s="18" t="str">
        <f aca="false">IF(C192="","",IF(C192="Misma loc.",1,$C$29))</f>
        <v/>
      </c>
      <c r="E192" s="18" t="str">
        <f aca="false">IF(C192="","",COUNTIF($E$115:$E$150,"&lt;"&amp;(B192-0.000001))+1)</f>
        <v/>
      </c>
      <c r="F192" s="18" t="str">
        <f aca="false">IF(C192="","",COUNTIF($E$157:E192,E192))</f>
        <v/>
      </c>
      <c r="G192" s="24" t="str">
        <f aca="false">IF(C192="","",INDEX($C$51:$F$51,D192))</f>
        <v/>
      </c>
      <c r="H192" s="24" t="str">
        <f aca="false">IF(C192="","",IF(F192&gt;=$C$19,INDEX($C$63:$F$63,D192),INDEX($C$62:$F$62,D192)))</f>
        <v/>
      </c>
      <c r="I192" s="24" t="str">
        <f aca="false">IF(C192="","",INDEX($C$64:$F$64,D192))</f>
        <v/>
      </c>
      <c r="J192" s="24" t="str">
        <f aca="false">IF(C192="","",IF(F192&gt;=$C$19,INDEX($C$65:$F$65,D192),INDEX($C$64:$F$64,D192)))</f>
        <v/>
      </c>
      <c r="K192" s="24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8" t="n">
        <v>37</v>
      </c>
      <c r="C193" s="5" t="str">
        <f aca="false">IF(B193&gt;$C$30,"",IF(INT(B193*$C$27/$C$30)&gt;INT((B193-1)*$C$27/$C$30),"Misma loc.","Otra loc."))</f>
        <v/>
      </c>
      <c r="D193" s="18" t="str">
        <f aca="false">IF(C193="","",IF(C193="Misma loc.",1,$C$29))</f>
        <v/>
      </c>
      <c r="E193" s="18" t="str">
        <f aca="false">IF(C193="","",COUNTIF($E$115:$E$150,"&lt;"&amp;(B193-0.000001))+1)</f>
        <v/>
      </c>
      <c r="F193" s="18" t="str">
        <f aca="false">IF(C193="","",COUNTIF($E$157:E193,E193))</f>
        <v/>
      </c>
      <c r="G193" s="24" t="str">
        <f aca="false">IF(C193="","",INDEX($C$51:$F$51,D193))</f>
        <v/>
      </c>
      <c r="H193" s="24" t="str">
        <f aca="false">IF(C193="","",IF(F193&gt;=$C$19,INDEX($C$63:$F$63,D193),INDEX($C$62:$F$62,D193)))</f>
        <v/>
      </c>
      <c r="I193" s="24" t="str">
        <f aca="false">IF(C193="","",INDEX($C$64:$F$64,D193))</f>
        <v/>
      </c>
      <c r="J193" s="24" t="str">
        <f aca="false">IF(C193="","",IF(F193&gt;=$C$19,INDEX($C$65:$F$65,D193),INDEX($C$64:$F$64,D193)))</f>
        <v/>
      </c>
      <c r="K193" s="24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8" t="n">
        <v>38</v>
      </c>
      <c r="C194" s="5" t="str">
        <f aca="false">IF(B194&gt;$C$30,"",IF(INT(B194*$C$27/$C$30)&gt;INT((B194-1)*$C$27/$C$30),"Misma loc.","Otra loc."))</f>
        <v/>
      </c>
      <c r="D194" s="18" t="str">
        <f aca="false">IF(C194="","",IF(C194="Misma loc.",1,$C$29))</f>
        <v/>
      </c>
      <c r="E194" s="18" t="str">
        <f aca="false">IF(C194="","",COUNTIF($E$115:$E$150,"&lt;"&amp;(B194-0.000001))+1)</f>
        <v/>
      </c>
      <c r="F194" s="18" t="str">
        <f aca="false">IF(C194="","",COUNTIF($E$157:E194,E194))</f>
        <v/>
      </c>
      <c r="G194" s="24" t="str">
        <f aca="false">IF(C194="","",INDEX($C$51:$F$51,D194))</f>
        <v/>
      </c>
      <c r="H194" s="24" t="str">
        <f aca="false">IF(C194="","",IF(F194&gt;=$C$19,INDEX($C$63:$F$63,D194),INDEX($C$62:$F$62,D194)))</f>
        <v/>
      </c>
      <c r="I194" s="24" t="str">
        <f aca="false">IF(C194="","",INDEX($C$64:$F$64,D194))</f>
        <v/>
      </c>
      <c r="J194" s="24" t="str">
        <f aca="false">IF(C194="","",IF(F194&gt;=$C$19,INDEX($C$65:$F$65,D194),INDEX($C$64:$F$64,D194)))</f>
        <v/>
      </c>
      <c r="K194" s="24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8" t="n">
        <v>39</v>
      </c>
      <c r="C195" s="5" t="str">
        <f aca="false">IF(B195&gt;$C$30,"",IF(INT(B195*$C$27/$C$30)&gt;INT((B195-1)*$C$27/$C$30),"Misma loc.","Otra loc."))</f>
        <v/>
      </c>
      <c r="D195" s="18" t="str">
        <f aca="false">IF(C195="","",IF(C195="Misma loc.",1,$C$29))</f>
        <v/>
      </c>
      <c r="E195" s="18" t="str">
        <f aca="false">IF(C195="","",COUNTIF($E$115:$E$150,"&lt;"&amp;(B195-0.000001))+1)</f>
        <v/>
      </c>
      <c r="F195" s="18" t="str">
        <f aca="false">IF(C195="","",COUNTIF($E$157:E195,E195))</f>
        <v/>
      </c>
      <c r="G195" s="24" t="str">
        <f aca="false">IF(C195="","",INDEX($C$51:$F$51,D195))</f>
        <v/>
      </c>
      <c r="H195" s="24" t="str">
        <f aca="false">IF(C195="","",IF(F195&gt;=$C$19,INDEX($C$63:$F$63,D195),INDEX($C$62:$F$62,D195)))</f>
        <v/>
      </c>
      <c r="I195" s="24" t="str">
        <f aca="false">IF(C195="","",INDEX($C$64:$F$64,D195))</f>
        <v/>
      </c>
      <c r="J195" s="24" t="str">
        <f aca="false">IF(C195="","",IF(F195&gt;=$C$19,INDEX($C$65:$F$65,D195),INDEX($C$64:$F$64,D195)))</f>
        <v/>
      </c>
      <c r="K195" s="24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8" t="n">
        <v>40</v>
      </c>
      <c r="C196" s="5" t="str">
        <f aca="false">IF(B196&gt;$C$30,"",IF(INT(B196*$C$27/$C$30)&gt;INT((B196-1)*$C$27/$C$30),"Misma loc.","Otra loc."))</f>
        <v/>
      </c>
      <c r="D196" s="18" t="str">
        <f aca="false">IF(C196="","",IF(C196="Misma loc.",1,$C$29))</f>
        <v/>
      </c>
      <c r="E196" s="18" t="str">
        <f aca="false">IF(C196="","",COUNTIF($E$115:$E$150,"&lt;"&amp;(B196-0.000001))+1)</f>
        <v/>
      </c>
      <c r="F196" s="18" t="str">
        <f aca="false">IF(C196="","",COUNTIF($E$157:E196,E196))</f>
        <v/>
      </c>
      <c r="G196" s="24" t="str">
        <f aca="false">IF(C196="","",INDEX($C$51:$F$51,D196))</f>
        <v/>
      </c>
      <c r="H196" s="24" t="str">
        <f aca="false">IF(C196="","",IF(F196&gt;=$C$19,INDEX($C$63:$F$63,D196),INDEX($C$62:$F$62,D196)))</f>
        <v/>
      </c>
      <c r="I196" s="24" t="str">
        <f aca="false">IF(C196="","",INDEX($C$64:$F$64,D196))</f>
        <v/>
      </c>
      <c r="J196" s="24" t="str">
        <f aca="false">IF(C196="","",IF(F196&gt;=$C$19,INDEX($C$65:$F$65,D196),INDEX($C$64:$F$64,D196)))</f>
        <v/>
      </c>
      <c r="K196" s="24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8" t="n">
        <v>41</v>
      </c>
      <c r="C197" s="5" t="str">
        <f aca="false">IF(B197&gt;$C$30,"",IF(INT(B197*$C$27/$C$30)&gt;INT((B197-1)*$C$27/$C$30),"Misma loc.","Otra loc."))</f>
        <v/>
      </c>
      <c r="D197" s="18" t="str">
        <f aca="false">IF(C197="","",IF(C197="Misma loc.",1,$C$29))</f>
        <v/>
      </c>
      <c r="E197" s="18" t="str">
        <f aca="false">IF(C197="","",COUNTIF($E$115:$E$150,"&lt;"&amp;(B197-0.000001))+1)</f>
        <v/>
      </c>
      <c r="F197" s="18" t="str">
        <f aca="false">IF(C197="","",COUNTIF($E$157:E197,E197))</f>
        <v/>
      </c>
      <c r="G197" s="24" t="str">
        <f aca="false">IF(C197="","",INDEX($C$51:$F$51,D197))</f>
        <v/>
      </c>
      <c r="H197" s="24" t="str">
        <f aca="false">IF(C197="","",IF(F197&gt;=$C$19,INDEX($C$63:$F$63,D197),INDEX($C$62:$F$62,D197)))</f>
        <v/>
      </c>
      <c r="I197" s="24" t="str">
        <f aca="false">IF(C197="","",INDEX($C$64:$F$64,D197))</f>
        <v/>
      </c>
      <c r="J197" s="24" t="str">
        <f aca="false">IF(C197="","",IF(F197&gt;=$C$19,INDEX($C$65:$F$65,D197),INDEX($C$64:$F$64,D197)))</f>
        <v/>
      </c>
      <c r="K197" s="24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8" t="n">
        <v>42</v>
      </c>
      <c r="C198" s="5" t="str">
        <f aca="false">IF(B198&gt;$C$30,"",IF(INT(B198*$C$27/$C$30)&gt;INT((B198-1)*$C$27/$C$30),"Misma loc.","Otra loc."))</f>
        <v/>
      </c>
      <c r="D198" s="18" t="str">
        <f aca="false">IF(C198="","",IF(C198="Misma loc.",1,$C$29))</f>
        <v/>
      </c>
      <c r="E198" s="18" t="str">
        <f aca="false">IF(C198="","",COUNTIF($E$115:$E$150,"&lt;"&amp;(B198-0.000001))+1)</f>
        <v/>
      </c>
      <c r="F198" s="18" t="str">
        <f aca="false">IF(C198="","",COUNTIF($E$157:E198,E198))</f>
        <v/>
      </c>
      <c r="G198" s="24" t="str">
        <f aca="false">IF(C198="","",INDEX($C$51:$F$51,D198))</f>
        <v/>
      </c>
      <c r="H198" s="24" t="str">
        <f aca="false">IF(C198="","",IF(F198&gt;=$C$19,INDEX($C$63:$F$63,D198),INDEX($C$62:$F$62,D198)))</f>
        <v/>
      </c>
      <c r="I198" s="24" t="str">
        <f aca="false">IF(C198="","",INDEX($C$64:$F$64,D198))</f>
        <v/>
      </c>
      <c r="J198" s="24" t="str">
        <f aca="false">IF(C198="","",IF(F198&gt;=$C$19,INDEX($C$65:$F$65,D198),INDEX($C$64:$F$64,D198)))</f>
        <v/>
      </c>
      <c r="K198" s="24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8" t="n">
        <v>43</v>
      </c>
      <c r="C199" s="5" t="str">
        <f aca="false">IF(B199&gt;$C$30,"",IF(INT(B199*$C$27/$C$30)&gt;INT((B199-1)*$C$27/$C$30),"Misma loc.","Otra loc."))</f>
        <v/>
      </c>
      <c r="D199" s="18" t="str">
        <f aca="false">IF(C199="","",IF(C199="Misma loc.",1,$C$29))</f>
        <v/>
      </c>
      <c r="E199" s="18" t="str">
        <f aca="false">IF(C199="","",COUNTIF($E$115:$E$150,"&lt;"&amp;(B199-0.000001))+1)</f>
        <v/>
      </c>
      <c r="F199" s="18" t="str">
        <f aca="false">IF(C199="","",COUNTIF($E$157:E199,E199))</f>
        <v/>
      </c>
      <c r="G199" s="24" t="str">
        <f aca="false">IF(C199="","",INDEX($C$51:$F$51,D199))</f>
        <v/>
      </c>
      <c r="H199" s="24" t="str">
        <f aca="false">IF(C199="","",IF(F199&gt;=$C$19,INDEX($C$63:$F$63,D199),INDEX($C$62:$F$62,D199)))</f>
        <v/>
      </c>
      <c r="I199" s="24" t="str">
        <f aca="false">IF(C199="","",INDEX($C$64:$F$64,D199))</f>
        <v/>
      </c>
      <c r="J199" s="24" t="str">
        <f aca="false">IF(C199="","",IF(F199&gt;=$C$19,INDEX($C$65:$F$65,D199),INDEX($C$64:$F$64,D199)))</f>
        <v/>
      </c>
      <c r="K199" s="24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8" t="n">
        <v>44</v>
      </c>
      <c r="C200" s="5" t="str">
        <f aca="false">IF(B200&gt;$C$30,"",IF(INT(B200*$C$27/$C$30)&gt;INT((B200-1)*$C$27/$C$30),"Misma loc.","Otra loc."))</f>
        <v/>
      </c>
      <c r="D200" s="18" t="str">
        <f aca="false">IF(C200="","",IF(C200="Misma loc.",1,$C$29))</f>
        <v/>
      </c>
      <c r="E200" s="18" t="str">
        <f aca="false">IF(C200="","",COUNTIF($E$115:$E$150,"&lt;"&amp;(B200-0.000001))+1)</f>
        <v/>
      </c>
      <c r="F200" s="18" t="str">
        <f aca="false">IF(C200="","",COUNTIF($E$157:E200,E200))</f>
        <v/>
      </c>
      <c r="G200" s="24" t="str">
        <f aca="false">IF(C200="","",INDEX($C$51:$F$51,D200))</f>
        <v/>
      </c>
      <c r="H200" s="24" t="str">
        <f aca="false">IF(C200="","",IF(F200&gt;=$C$19,INDEX($C$63:$F$63,D200),INDEX($C$62:$F$62,D200)))</f>
        <v/>
      </c>
      <c r="I200" s="24" t="str">
        <f aca="false">IF(C200="","",INDEX($C$64:$F$64,D200))</f>
        <v/>
      </c>
      <c r="J200" s="24" t="str">
        <f aca="false">IF(C200="","",IF(F200&gt;=$C$19,INDEX($C$65:$F$65,D200),INDEX($C$64:$F$64,D200)))</f>
        <v/>
      </c>
      <c r="K200" s="24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8" t="n">
        <v>45</v>
      </c>
      <c r="C201" s="5" t="str">
        <f aca="false">IF(B201&gt;$C$30,"",IF(INT(B201*$C$27/$C$30)&gt;INT((B201-1)*$C$27/$C$30),"Misma loc.","Otra loc."))</f>
        <v/>
      </c>
      <c r="D201" s="18" t="str">
        <f aca="false">IF(C201="","",IF(C201="Misma loc.",1,$C$29))</f>
        <v/>
      </c>
      <c r="E201" s="18" t="str">
        <f aca="false">IF(C201="","",COUNTIF($E$115:$E$150,"&lt;"&amp;(B201-0.000001))+1)</f>
        <v/>
      </c>
      <c r="F201" s="18" t="str">
        <f aca="false">IF(C201="","",COUNTIF($E$157:E201,E201))</f>
        <v/>
      </c>
      <c r="G201" s="24" t="str">
        <f aca="false">IF(C201="","",INDEX($C$51:$F$51,D201))</f>
        <v/>
      </c>
      <c r="H201" s="24" t="str">
        <f aca="false">IF(C201="","",IF(F201&gt;=$C$19,INDEX($C$63:$F$63,D201),INDEX($C$62:$F$62,D201)))</f>
        <v/>
      </c>
      <c r="I201" s="24" t="str">
        <f aca="false">IF(C201="","",INDEX($C$64:$F$64,D201))</f>
        <v/>
      </c>
      <c r="J201" s="24" t="str">
        <f aca="false">IF(C201="","",IF(F201&gt;=$C$19,INDEX($C$65:$F$65,D201),INDEX($C$64:$F$64,D201)))</f>
        <v/>
      </c>
      <c r="K201" s="24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8" t="n">
        <v>46</v>
      </c>
      <c r="C202" s="5" t="str">
        <f aca="false">IF(B202&gt;$C$30,"",IF(INT(B202*$C$27/$C$30)&gt;INT((B202-1)*$C$27/$C$30),"Misma loc.","Otra loc."))</f>
        <v/>
      </c>
      <c r="D202" s="18" t="str">
        <f aca="false">IF(C202="","",IF(C202="Misma loc.",1,$C$29))</f>
        <v/>
      </c>
      <c r="E202" s="18" t="str">
        <f aca="false">IF(C202="","",COUNTIF($E$115:$E$150,"&lt;"&amp;(B202-0.000001))+1)</f>
        <v/>
      </c>
      <c r="F202" s="18" t="str">
        <f aca="false">IF(C202="","",COUNTIF($E$157:E202,E202))</f>
        <v/>
      </c>
      <c r="G202" s="24" t="str">
        <f aca="false">IF(C202="","",INDEX($C$51:$F$51,D202))</f>
        <v/>
      </c>
      <c r="H202" s="24" t="str">
        <f aca="false">IF(C202="","",IF(F202&gt;=$C$19,INDEX($C$63:$F$63,D202),INDEX($C$62:$F$62,D202)))</f>
        <v/>
      </c>
      <c r="I202" s="24" t="str">
        <f aca="false">IF(C202="","",INDEX($C$64:$F$64,D202))</f>
        <v/>
      </c>
      <c r="J202" s="24" t="str">
        <f aca="false">IF(C202="","",IF(F202&gt;=$C$19,INDEX($C$65:$F$65,D202),INDEX($C$64:$F$64,D202)))</f>
        <v/>
      </c>
      <c r="K202" s="24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8" t="n">
        <v>47</v>
      </c>
      <c r="C203" s="5" t="str">
        <f aca="false">IF(B203&gt;$C$30,"",IF(INT(B203*$C$27/$C$30)&gt;INT((B203-1)*$C$27/$C$30),"Misma loc.","Otra loc."))</f>
        <v/>
      </c>
      <c r="D203" s="18" t="str">
        <f aca="false">IF(C203="","",IF(C203="Misma loc.",1,$C$29))</f>
        <v/>
      </c>
      <c r="E203" s="18" t="str">
        <f aca="false">IF(C203="","",COUNTIF($E$115:$E$150,"&lt;"&amp;(B203-0.000001))+1)</f>
        <v/>
      </c>
      <c r="F203" s="18" t="str">
        <f aca="false">IF(C203="","",COUNTIF($E$157:E203,E203))</f>
        <v/>
      </c>
      <c r="G203" s="24" t="str">
        <f aca="false">IF(C203="","",INDEX($C$51:$F$51,D203))</f>
        <v/>
      </c>
      <c r="H203" s="24" t="str">
        <f aca="false">IF(C203="","",IF(F203&gt;=$C$19,INDEX($C$63:$F$63,D203),INDEX($C$62:$F$62,D203)))</f>
        <v/>
      </c>
      <c r="I203" s="24" t="str">
        <f aca="false">IF(C203="","",INDEX($C$64:$F$64,D203))</f>
        <v/>
      </c>
      <c r="J203" s="24" t="str">
        <f aca="false">IF(C203="","",IF(F203&gt;=$C$19,INDEX($C$65:$F$65,D203),INDEX($C$64:$F$64,D203)))</f>
        <v/>
      </c>
      <c r="K203" s="24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8" t="n">
        <v>48</v>
      </c>
      <c r="C204" s="5" t="str">
        <f aca="false">IF(B204&gt;$C$30,"",IF(INT(B204*$C$27/$C$30)&gt;INT((B204-1)*$C$27/$C$30),"Misma loc.","Otra loc."))</f>
        <v/>
      </c>
      <c r="D204" s="18" t="str">
        <f aca="false">IF(C204="","",IF(C204="Misma loc.",1,$C$29))</f>
        <v/>
      </c>
      <c r="E204" s="18" t="str">
        <f aca="false">IF(C204="","",COUNTIF($E$115:$E$150,"&lt;"&amp;(B204-0.000001))+1)</f>
        <v/>
      </c>
      <c r="F204" s="18" t="str">
        <f aca="false">IF(C204="","",COUNTIF($E$157:E204,E204))</f>
        <v/>
      </c>
      <c r="G204" s="24" t="str">
        <f aca="false">IF(C204="","",INDEX($C$51:$F$51,D204))</f>
        <v/>
      </c>
      <c r="H204" s="24" t="str">
        <f aca="false">IF(C204="","",IF(F204&gt;=$C$19,INDEX($C$63:$F$63,D204),INDEX($C$62:$F$62,D204)))</f>
        <v/>
      </c>
      <c r="I204" s="24" t="str">
        <f aca="false">IF(C204="","",INDEX($C$64:$F$64,D204))</f>
        <v/>
      </c>
      <c r="J204" s="24" t="str">
        <f aca="false">IF(C204="","",IF(F204&gt;=$C$19,INDEX($C$65:$F$65,D204),INDEX($C$64:$F$64,D204)))</f>
        <v/>
      </c>
      <c r="K204" s="24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8" t="n">
        <v>49</v>
      </c>
      <c r="C205" s="5" t="str">
        <f aca="false">IF(B205&gt;$C$30,"",IF(INT(B205*$C$27/$C$30)&gt;INT((B205-1)*$C$27/$C$30),"Misma loc.","Otra loc."))</f>
        <v/>
      </c>
      <c r="D205" s="18" t="str">
        <f aca="false">IF(C205="","",IF(C205="Misma loc.",1,$C$29))</f>
        <v/>
      </c>
      <c r="E205" s="18" t="str">
        <f aca="false">IF(C205="","",COUNTIF($E$115:$E$150,"&lt;"&amp;(B205-0.000001))+1)</f>
        <v/>
      </c>
      <c r="F205" s="18" t="str">
        <f aca="false">IF(C205="","",COUNTIF($E$157:E205,E205))</f>
        <v/>
      </c>
      <c r="G205" s="24" t="str">
        <f aca="false">IF(C205="","",INDEX($C$51:$F$51,D205))</f>
        <v/>
      </c>
      <c r="H205" s="24" t="str">
        <f aca="false">IF(C205="","",IF(F205&gt;=$C$19,INDEX($C$63:$F$63,D205),INDEX($C$62:$F$62,D205)))</f>
        <v/>
      </c>
      <c r="I205" s="24" t="str">
        <f aca="false">IF(C205="","",INDEX($C$64:$F$64,D205))</f>
        <v/>
      </c>
      <c r="J205" s="24" t="str">
        <f aca="false">IF(C205="","",IF(F205&gt;=$C$19,INDEX($C$65:$F$65,D205),INDEX($C$64:$F$64,D205)))</f>
        <v/>
      </c>
      <c r="K205" s="24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8" t="n">
        <v>50</v>
      </c>
      <c r="C206" s="5" t="str">
        <f aca="false">IF(B206&gt;$C$30,"",IF(INT(B206*$C$27/$C$30)&gt;INT((B206-1)*$C$27/$C$30),"Misma loc.","Otra loc."))</f>
        <v/>
      </c>
      <c r="D206" s="18" t="str">
        <f aca="false">IF(C206="","",IF(C206="Misma loc.",1,$C$29))</f>
        <v/>
      </c>
      <c r="E206" s="18" t="str">
        <f aca="false">IF(C206="","",COUNTIF($E$115:$E$150,"&lt;"&amp;(B206-0.000001))+1)</f>
        <v/>
      </c>
      <c r="F206" s="18" t="str">
        <f aca="false">IF(C206="","",COUNTIF($E$157:E206,E206))</f>
        <v/>
      </c>
      <c r="G206" s="24" t="str">
        <f aca="false">IF(C206="","",INDEX($C$51:$F$51,D206))</f>
        <v/>
      </c>
      <c r="H206" s="24" t="str">
        <f aca="false">IF(C206="","",IF(F206&gt;=$C$19,INDEX($C$63:$F$63,D206),INDEX($C$62:$F$62,D206)))</f>
        <v/>
      </c>
      <c r="I206" s="24" t="str">
        <f aca="false">IF(C206="","",INDEX($C$64:$F$64,D206))</f>
        <v/>
      </c>
      <c r="J206" s="24" t="str">
        <f aca="false">IF(C206="","",IF(F206&gt;=$C$19,INDEX($C$65:$F$65,D206),INDEX($C$64:$F$64,D206)))</f>
        <v/>
      </c>
      <c r="K206" s="24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8" t="n">
        <v>51</v>
      </c>
      <c r="C207" s="5" t="str">
        <f aca="false">IF(B207&gt;$C$30,"",IF(INT(B207*$C$27/$C$30)&gt;INT((B207-1)*$C$27/$C$30),"Misma loc.","Otra loc."))</f>
        <v/>
      </c>
      <c r="D207" s="18" t="str">
        <f aca="false">IF(C207="","",IF(C207="Misma loc.",1,$C$29))</f>
        <v/>
      </c>
      <c r="E207" s="18" t="str">
        <f aca="false">IF(C207="","",COUNTIF($E$115:$E$150,"&lt;"&amp;(B207-0.000001))+1)</f>
        <v/>
      </c>
      <c r="F207" s="18" t="str">
        <f aca="false">IF(C207="","",COUNTIF($E$157:E207,E207))</f>
        <v/>
      </c>
      <c r="G207" s="24" t="str">
        <f aca="false">IF(C207="","",INDEX($C$51:$F$51,D207))</f>
        <v/>
      </c>
      <c r="H207" s="24" t="str">
        <f aca="false">IF(C207="","",IF(F207&gt;=$C$19,INDEX($C$63:$F$63,D207),INDEX($C$62:$F$62,D207)))</f>
        <v/>
      </c>
      <c r="I207" s="24" t="str">
        <f aca="false">IF(C207="","",INDEX($C$64:$F$64,D207))</f>
        <v/>
      </c>
      <c r="J207" s="24" t="str">
        <f aca="false">IF(C207="","",IF(F207&gt;=$C$19,INDEX($C$65:$F$65,D207),INDEX($C$64:$F$64,D207)))</f>
        <v/>
      </c>
      <c r="K207" s="24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8" t="n">
        <v>52</v>
      </c>
      <c r="C208" s="5" t="str">
        <f aca="false">IF(B208&gt;$C$30,"",IF(INT(B208*$C$27/$C$30)&gt;INT((B208-1)*$C$27/$C$30),"Misma loc.","Otra loc."))</f>
        <v/>
      </c>
      <c r="D208" s="18" t="str">
        <f aca="false">IF(C208="","",IF(C208="Misma loc.",1,$C$29))</f>
        <v/>
      </c>
      <c r="E208" s="18" t="str">
        <f aca="false">IF(C208="","",COUNTIF($E$115:$E$150,"&lt;"&amp;(B208-0.000001))+1)</f>
        <v/>
      </c>
      <c r="F208" s="18" t="str">
        <f aca="false">IF(C208="","",COUNTIF($E$157:E208,E208))</f>
        <v/>
      </c>
      <c r="G208" s="24" t="str">
        <f aca="false">IF(C208="","",INDEX($C$51:$F$51,D208))</f>
        <v/>
      </c>
      <c r="H208" s="24" t="str">
        <f aca="false">IF(C208="","",IF(F208&gt;=$C$19,INDEX($C$63:$F$63,D208),INDEX($C$62:$F$62,D208)))</f>
        <v/>
      </c>
      <c r="I208" s="24" t="str">
        <f aca="false">IF(C208="","",INDEX($C$64:$F$64,D208))</f>
        <v/>
      </c>
      <c r="J208" s="24" t="str">
        <f aca="false">IF(C208="","",IF(F208&gt;=$C$19,INDEX($C$65:$F$65,D208),INDEX($C$64:$F$64,D208)))</f>
        <v/>
      </c>
      <c r="K208" s="24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8" t="n">
        <v>53</v>
      </c>
      <c r="C209" s="5" t="str">
        <f aca="false">IF(B209&gt;$C$30,"",IF(INT(B209*$C$27/$C$30)&gt;INT((B209-1)*$C$27/$C$30),"Misma loc.","Otra loc."))</f>
        <v/>
      </c>
      <c r="D209" s="18" t="str">
        <f aca="false">IF(C209="","",IF(C209="Misma loc.",1,$C$29))</f>
        <v/>
      </c>
      <c r="E209" s="18" t="str">
        <f aca="false">IF(C209="","",COUNTIF($E$115:$E$150,"&lt;"&amp;(B209-0.000001))+1)</f>
        <v/>
      </c>
      <c r="F209" s="18" t="str">
        <f aca="false">IF(C209="","",COUNTIF($E$157:E209,E209))</f>
        <v/>
      </c>
      <c r="G209" s="24" t="str">
        <f aca="false">IF(C209="","",INDEX($C$51:$F$51,D209))</f>
        <v/>
      </c>
      <c r="H209" s="24" t="str">
        <f aca="false">IF(C209="","",IF(F209&gt;=$C$19,INDEX($C$63:$F$63,D209),INDEX($C$62:$F$62,D209)))</f>
        <v/>
      </c>
      <c r="I209" s="24" t="str">
        <f aca="false">IF(C209="","",INDEX($C$64:$F$64,D209))</f>
        <v/>
      </c>
      <c r="J209" s="24" t="str">
        <f aca="false">IF(C209="","",IF(F209&gt;=$C$19,INDEX($C$65:$F$65,D209),INDEX($C$64:$F$64,D209)))</f>
        <v/>
      </c>
      <c r="K209" s="24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8" t="n">
        <v>54</v>
      </c>
      <c r="C210" s="5" t="str">
        <f aca="false">IF(B210&gt;$C$30,"",IF(INT(B210*$C$27/$C$30)&gt;INT((B210-1)*$C$27/$C$30),"Misma loc.","Otra loc."))</f>
        <v/>
      </c>
      <c r="D210" s="18" t="str">
        <f aca="false">IF(C210="","",IF(C210="Misma loc.",1,$C$29))</f>
        <v/>
      </c>
      <c r="E210" s="18" t="str">
        <f aca="false">IF(C210="","",COUNTIF($E$115:$E$150,"&lt;"&amp;(B210-0.000001))+1)</f>
        <v/>
      </c>
      <c r="F210" s="18" t="str">
        <f aca="false">IF(C210="","",COUNTIF($E$157:E210,E210))</f>
        <v/>
      </c>
      <c r="G210" s="24" t="str">
        <f aca="false">IF(C210="","",INDEX($C$51:$F$51,D210))</f>
        <v/>
      </c>
      <c r="H210" s="24" t="str">
        <f aca="false">IF(C210="","",IF(F210&gt;=$C$19,INDEX($C$63:$F$63,D210),INDEX($C$62:$F$62,D210)))</f>
        <v/>
      </c>
      <c r="I210" s="24" t="str">
        <f aca="false">IF(C210="","",INDEX($C$64:$F$64,D210))</f>
        <v/>
      </c>
      <c r="J210" s="24" t="str">
        <f aca="false">IF(C210="","",IF(F210&gt;=$C$19,INDEX($C$65:$F$65,D210),INDEX($C$64:$F$64,D210)))</f>
        <v/>
      </c>
      <c r="K210" s="24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8" t="n">
        <v>55</v>
      </c>
      <c r="C211" s="5" t="str">
        <f aca="false">IF(B211&gt;$C$30,"",IF(INT(B211*$C$27/$C$30)&gt;INT((B211-1)*$C$27/$C$30),"Misma loc.","Otra loc."))</f>
        <v/>
      </c>
      <c r="D211" s="18" t="str">
        <f aca="false">IF(C211="","",IF(C211="Misma loc.",1,$C$29))</f>
        <v/>
      </c>
      <c r="E211" s="18" t="str">
        <f aca="false">IF(C211="","",COUNTIF($E$115:$E$150,"&lt;"&amp;(B211-0.000001))+1)</f>
        <v/>
      </c>
      <c r="F211" s="18" t="str">
        <f aca="false">IF(C211="","",COUNTIF($E$157:E211,E211))</f>
        <v/>
      </c>
      <c r="G211" s="24" t="str">
        <f aca="false">IF(C211="","",INDEX($C$51:$F$51,D211))</f>
        <v/>
      </c>
      <c r="H211" s="24" t="str">
        <f aca="false">IF(C211="","",IF(F211&gt;=$C$19,INDEX($C$63:$F$63,D211),INDEX($C$62:$F$62,D211)))</f>
        <v/>
      </c>
      <c r="I211" s="24" t="str">
        <f aca="false">IF(C211="","",INDEX($C$64:$F$64,D211))</f>
        <v/>
      </c>
      <c r="J211" s="24" t="str">
        <f aca="false">IF(C211="","",IF(F211&gt;=$C$19,INDEX($C$65:$F$65,D211),INDEX($C$64:$F$64,D211)))</f>
        <v/>
      </c>
      <c r="K211" s="24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8" t="n">
        <v>56</v>
      </c>
      <c r="C212" s="5" t="str">
        <f aca="false">IF(B212&gt;$C$30,"",IF(INT(B212*$C$27/$C$30)&gt;INT((B212-1)*$C$27/$C$30),"Misma loc.","Otra loc."))</f>
        <v/>
      </c>
      <c r="D212" s="18" t="str">
        <f aca="false">IF(C212="","",IF(C212="Misma loc.",1,$C$29))</f>
        <v/>
      </c>
      <c r="E212" s="18" t="str">
        <f aca="false">IF(C212="","",COUNTIF($E$115:$E$150,"&lt;"&amp;(B212-0.000001))+1)</f>
        <v/>
      </c>
      <c r="F212" s="18" t="str">
        <f aca="false">IF(C212="","",COUNTIF($E$157:E212,E212))</f>
        <v/>
      </c>
      <c r="G212" s="24" t="str">
        <f aca="false">IF(C212="","",INDEX($C$51:$F$51,D212))</f>
        <v/>
      </c>
      <c r="H212" s="24" t="str">
        <f aca="false">IF(C212="","",IF(F212&gt;=$C$19,INDEX($C$63:$F$63,D212),INDEX($C$62:$F$62,D212)))</f>
        <v/>
      </c>
      <c r="I212" s="24" t="str">
        <f aca="false">IF(C212="","",INDEX($C$64:$F$64,D212))</f>
        <v/>
      </c>
      <c r="J212" s="24" t="str">
        <f aca="false">IF(C212="","",IF(F212&gt;=$C$19,INDEX($C$65:$F$65,D212),INDEX($C$64:$F$64,D212)))</f>
        <v/>
      </c>
      <c r="K212" s="24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8" t="n">
        <v>57</v>
      </c>
      <c r="C213" s="5" t="str">
        <f aca="false">IF(B213&gt;$C$30,"",IF(INT(B213*$C$27/$C$30)&gt;INT((B213-1)*$C$27/$C$30),"Misma loc.","Otra loc."))</f>
        <v/>
      </c>
      <c r="D213" s="18" t="str">
        <f aca="false">IF(C213="","",IF(C213="Misma loc.",1,$C$29))</f>
        <v/>
      </c>
      <c r="E213" s="18" t="str">
        <f aca="false">IF(C213="","",COUNTIF($E$115:$E$150,"&lt;"&amp;(B213-0.000001))+1)</f>
        <v/>
      </c>
      <c r="F213" s="18" t="str">
        <f aca="false">IF(C213="","",COUNTIF($E$157:E213,E213))</f>
        <v/>
      </c>
      <c r="G213" s="24" t="str">
        <f aca="false">IF(C213="","",INDEX($C$51:$F$51,D213))</f>
        <v/>
      </c>
      <c r="H213" s="24" t="str">
        <f aca="false">IF(C213="","",IF(F213&gt;=$C$19,INDEX($C$63:$F$63,D213),INDEX($C$62:$F$62,D213)))</f>
        <v/>
      </c>
      <c r="I213" s="24" t="str">
        <f aca="false">IF(C213="","",INDEX($C$64:$F$64,D213))</f>
        <v/>
      </c>
      <c r="J213" s="24" t="str">
        <f aca="false">IF(C213="","",IF(F213&gt;=$C$19,INDEX($C$65:$F$65,D213),INDEX($C$64:$F$64,D213)))</f>
        <v/>
      </c>
      <c r="K213" s="24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8" t="n">
        <v>58</v>
      </c>
      <c r="C214" s="5" t="str">
        <f aca="false">IF(B214&gt;$C$30,"",IF(INT(B214*$C$27/$C$30)&gt;INT((B214-1)*$C$27/$C$30),"Misma loc.","Otra loc."))</f>
        <v/>
      </c>
      <c r="D214" s="18" t="str">
        <f aca="false">IF(C214="","",IF(C214="Misma loc.",1,$C$29))</f>
        <v/>
      </c>
      <c r="E214" s="18" t="str">
        <f aca="false">IF(C214="","",COUNTIF($E$115:$E$150,"&lt;"&amp;(B214-0.000001))+1)</f>
        <v/>
      </c>
      <c r="F214" s="18" t="str">
        <f aca="false">IF(C214="","",COUNTIF($E$157:E214,E214))</f>
        <v/>
      </c>
      <c r="G214" s="24" t="str">
        <f aca="false">IF(C214="","",INDEX($C$51:$F$51,D214))</f>
        <v/>
      </c>
      <c r="H214" s="24" t="str">
        <f aca="false">IF(C214="","",IF(F214&gt;=$C$19,INDEX($C$63:$F$63,D214),INDEX($C$62:$F$62,D214)))</f>
        <v/>
      </c>
      <c r="I214" s="24" t="str">
        <f aca="false">IF(C214="","",INDEX($C$64:$F$64,D214))</f>
        <v/>
      </c>
      <c r="J214" s="24" t="str">
        <f aca="false">IF(C214="","",IF(F214&gt;=$C$19,INDEX($C$65:$F$65,D214),INDEX($C$64:$F$64,D214)))</f>
        <v/>
      </c>
      <c r="K214" s="24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8" t="n">
        <v>59</v>
      </c>
      <c r="C215" s="5" t="str">
        <f aca="false">IF(B215&gt;$C$30,"",IF(INT(B215*$C$27/$C$30)&gt;INT((B215-1)*$C$27/$C$30),"Misma loc.","Otra loc."))</f>
        <v/>
      </c>
      <c r="D215" s="18" t="str">
        <f aca="false">IF(C215="","",IF(C215="Misma loc.",1,$C$29))</f>
        <v/>
      </c>
      <c r="E215" s="18" t="str">
        <f aca="false">IF(C215="","",COUNTIF($E$115:$E$150,"&lt;"&amp;(B215-0.000001))+1)</f>
        <v/>
      </c>
      <c r="F215" s="18" t="str">
        <f aca="false">IF(C215="","",COUNTIF($E$157:E215,E215))</f>
        <v/>
      </c>
      <c r="G215" s="24" t="str">
        <f aca="false">IF(C215="","",INDEX($C$51:$F$51,D215))</f>
        <v/>
      </c>
      <c r="H215" s="24" t="str">
        <f aca="false">IF(C215="","",IF(F215&gt;=$C$19,INDEX($C$63:$F$63,D215),INDEX($C$62:$F$62,D215)))</f>
        <v/>
      </c>
      <c r="I215" s="24" t="str">
        <f aca="false">IF(C215="","",INDEX($C$64:$F$64,D215))</f>
        <v/>
      </c>
      <c r="J215" s="24" t="str">
        <f aca="false">IF(C215="","",IF(F215&gt;=$C$19,INDEX($C$65:$F$65,D215),INDEX($C$64:$F$64,D215)))</f>
        <v/>
      </c>
      <c r="K215" s="24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8" t="n">
        <v>60</v>
      </c>
      <c r="C216" s="5" t="str">
        <f aca="false">IF(B216&gt;$C$30,"",IF(INT(B216*$C$27/$C$30)&gt;INT((B216-1)*$C$27/$C$30),"Misma loc.","Otra loc."))</f>
        <v/>
      </c>
      <c r="D216" s="18" t="str">
        <f aca="false">IF(C216="","",IF(C216="Misma loc.",1,$C$29))</f>
        <v/>
      </c>
      <c r="E216" s="18" t="str">
        <f aca="false">IF(C216="","",COUNTIF($E$115:$E$150,"&lt;"&amp;(B216-0.000001))+1)</f>
        <v/>
      </c>
      <c r="F216" s="18" t="str">
        <f aca="false">IF(C216="","",COUNTIF($E$157:E216,E216))</f>
        <v/>
      </c>
      <c r="G216" s="24" t="str">
        <f aca="false">IF(C216="","",INDEX($C$51:$F$51,D216))</f>
        <v/>
      </c>
      <c r="H216" s="24" t="str">
        <f aca="false">IF(C216="","",IF(F216&gt;=$C$19,INDEX($C$63:$F$63,D216),INDEX($C$62:$F$62,D216)))</f>
        <v/>
      </c>
      <c r="I216" s="24" t="str">
        <f aca="false">IF(C216="","",INDEX($C$64:$F$64,D216))</f>
        <v/>
      </c>
      <c r="J216" s="24" t="str">
        <f aca="false">IF(C216="","",IF(F216&gt;=$C$19,INDEX($C$65:$F$65,D216),INDEX($C$64:$F$64,D216)))</f>
        <v/>
      </c>
      <c r="K216" s="24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4" t="s">
        <v>208</v>
      </c>
      <c r="G217" s="23" t="n">
        <f aca="false">SUM(G157:G216)</f>
        <v>3130187.2972973</v>
      </c>
      <c r="H217" s="23" t="n">
        <f aca="false">SUM(H157:H216)</f>
        <v>2643765.21486487</v>
      </c>
      <c r="I217" s="23" t="n">
        <f aca="false">SUM(I157:I216)</f>
        <v>3248713.53378378</v>
      </c>
      <c r="J217" s="23" t="n">
        <f aca="false">SUM(J157:J216)</f>
        <v>3248713.53378378</v>
      </c>
      <c r="K217" s="23" t="n">
        <f aca="false">SUM(K157:K216)</f>
        <v>2572065.69459459</v>
      </c>
    </row>
  </sheetData>
  <mergeCells count="70">
    <mergeCell ref="B5:I5"/>
    <mergeCell ref="K5:N5"/>
    <mergeCell ref="F6:I6"/>
    <mergeCell ref="K6:M6"/>
    <mergeCell ref="F7:I7"/>
    <mergeCell ref="K7:M7"/>
    <mergeCell ref="F8:I8"/>
    <mergeCell ref="K8:M8"/>
    <mergeCell ref="F9:I9"/>
    <mergeCell ref="K9:M9"/>
    <mergeCell ref="F10:I10"/>
    <mergeCell ref="K10:M10"/>
    <mergeCell ref="F11:I11"/>
    <mergeCell ref="K11:M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H68:I68"/>
    <mergeCell ref="G69:I69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I83:K84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10">
    <dataValidation allowBlank="false" errorStyle="stop" operator="between" showDropDown="false" showErrorMessage="false" showInputMessage="false" sqref="N7" type="list">
      <formula1>"Sí,No"</formula1>
      <formula2>0</formula2>
    </dataValidation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  <dataValidation allowBlank="false" error="Máximo 60 pozos en total" errorStyle="stop" operator="between" showDropDown="false" showErrorMessage="true" showInputMessage="false" sqref="C27:C28" type="custom">
      <formula1>AND(C27&gt;=0,C28&gt;=0,C27+C28&lt;=60)</formula1>
      <formula2>0</formula2>
    </dataValidation>
    <dataValidation allowBlank="false" error="Entre 0 % y 90 %" errorStyle="stop" operator="between" showDropDown="false" showErrorMessage="true" showInputMessage="false" sqref="C23" type="decimal">
      <formula1>0</formula1>
      <formula2>0.9</formula2>
    </dataValidation>
    <dataValidation allowBlank="false" error="Al menos 1" errorStyle="stop" operator="greaterThanOrEqual" showDropDown="false" showErrorMessage="true" showInputMessage="false" sqref="C32" type="decimal">
      <formula1>1</formula1>
      <formula2>0</formula2>
    </dataValidation>
    <dataValidation allowBlank="false" errorStyle="stop" operator="between" showDropDown="false" showErrorMessage="false" showInputMessage="false" sqref="C19" type="whole">
      <formula1>2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209</v>
      </c>
    </row>
    <row r="2" customFormat="false" ht="15" hidden="false" customHeight="false" outlineLevel="0" collapsed="false">
      <c r="B2" s="2" t="s">
        <v>210</v>
      </c>
    </row>
    <row r="4" customFormat="false" ht="15" hidden="false" customHeight="false" outlineLevel="0" collapsed="false">
      <c r="B4" s="3" t="s">
        <v>211</v>
      </c>
      <c r="C4" s="3"/>
      <c r="D4" s="3"/>
      <c r="E4" s="3"/>
      <c r="F4" s="3"/>
    </row>
    <row r="5" customFormat="false" ht="15" hidden="false" customHeight="false" outlineLevel="0" collapsed="false">
      <c r="B5" s="25" t="s">
        <v>212</v>
      </c>
      <c r="C5" s="25" t="s">
        <v>154</v>
      </c>
      <c r="D5" s="25" t="s">
        <v>213</v>
      </c>
      <c r="E5" s="25" t="s">
        <v>214</v>
      </c>
      <c r="F5" s="25" t="s">
        <v>215</v>
      </c>
    </row>
    <row r="6" customFormat="false" ht="42" hidden="false" customHeight="true" outlineLevel="0" collapsed="false">
      <c r="B6" s="7" t="s">
        <v>216</v>
      </c>
      <c r="C6" s="7" t="s">
        <v>207</v>
      </c>
      <c r="D6" s="7" t="s">
        <v>217</v>
      </c>
      <c r="E6" s="7" t="s">
        <v>218</v>
      </c>
      <c r="F6" s="7" t="s">
        <v>219</v>
      </c>
    </row>
    <row r="7" customFormat="false" ht="42" hidden="false" customHeight="true" outlineLevel="0" collapsed="false">
      <c r="B7" s="7" t="s">
        <v>220</v>
      </c>
      <c r="C7" s="7" t="s">
        <v>207</v>
      </c>
      <c r="D7" s="7" t="s">
        <v>221</v>
      </c>
      <c r="E7" s="7" t="s">
        <v>222</v>
      </c>
      <c r="F7" s="7" t="s">
        <v>223</v>
      </c>
    </row>
    <row r="8" customFormat="false" ht="42" hidden="false" customHeight="true" outlineLevel="0" collapsed="false">
      <c r="B8" s="7" t="s">
        <v>115</v>
      </c>
      <c r="C8" s="7" t="s">
        <v>207</v>
      </c>
      <c r="D8" s="7" t="s">
        <v>224</v>
      </c>
      <c r="E8" s="7" t="s">
        <v>225</v>
      </c>
      <c r="F8" s="7" t="s">
        <v>226</v>
      </c>
    </row>
    <row r="9" customFormat="false" ht="42" hidden="false" customHeight="true" outlineLevel="0" collapsed="false">
      <c r="B9" s="7" t="s">
        <v>227</v>
      </c>
      <c r="C9" s="7" t="s">
        <v>228</v>
      </c>
      <c r="D9" s="7" t="s">
        <v>229</v>
      </c>
      <c r="E9" s="7" t="s">
        <v>230</v>
      </c>
      <c r="F9" s="7" t="s">
        <v>231</v>
      </c>
    </row>
    <row r="10" customFormat="false" ht="42" hidden="false" customHeight="true" outlineLevel="0" collapsed="false">
      <c r="B10" s="7" t="s">
        <v>232</v>
      </c>
      <c r="C10" s="7" t="s">
        <v>228</v>
      </c>
      <c r="D10" s="7" t="s">
        <v>233</v>
      </c>
      <c r="E10" s="7" t="s">
        <v>234</v>
      </c>
      <c r="F10" s="7" t="s">
        <v>235</v>
      </c>
    </row>
    <row r="11" customFormat="false" ht="42" hidden="false" customHeight="true" outlineLevel="0" collapsed="false">
      <c r="B11" s="7" t="s">
        <v>236</v>
      </c>
      <c r="C11" s="7" t="s">
        <v>228</v>
      </c>
      <c r="D11" s="7" t="s">
        <v>237</v>
      </c>
      <c r="E11" s="7" t="s">
        <v>238</v>
      </c>
      <c r="F11" s="7" t="s">
        <v>239</v>
      </c>
    </row>
    <row r="12" customFormat="false" ht="42" hidden="false" customHeight="true" outlineLevel="0" collapsed="false">
      <c r="B12" s="7" t="s">
        <v>119</v>
      </c>
      <c r="C12" s="7" t="s">
        <v>228</v>
      </c>
      <c r="D12" s="7" t="s">
        <v>240</v>
      </c>
      <c r="E12" s="7" t="s">
        <v>241</v>
      </c>
      <c r="F12" s="7" t="s">
        <v>242</v>
      </c>
    </row>
    <row r="13" customFormat="false" ht="42" hidden="false" customHeight="true" outlineLevel="0" collapsed="false">
      <c r="B13" s="7" t="s">
        <v>243</v>
      </c>
      <c r="C13" s="7" t="s">
        <v>228</v>
      </c>
      <c r="D13" s="7" t="s">
        <v>244</v>
      </c>
      <c r="E13" s="7" t="s">
        <v>245</v>
      </c>
      <c r="F13" s="7" t="s">
        <v>246</v>
      </c>
    </row>
    <row r="14" customFormat="false" ht="42" hidden="false" customHeight="true" outlineLevel="0" collapsed="false">
      <c r="B14" s="7" t="s">
        <v>247</v>
      </c>
      <c r="C14" s="7" t="s">
        <v>228</v>
      </c>
      <c r="D14" s="7" t="s">
        <v>248</v>
      </c>
      <c r="E14" s="7" t="s">
        <v>249</v>
      </c>
      <c r="F14" s="7" t="s">
        <v>250</v>
      </c>
    </row>
    <row r="15" customFormat="false" ht="42" hidden="false" customHeight="true" outlineLevel="0" collapsed="false">
      <c r="B15" s="7" t="s">
        <v>251</v>
      </c>
      <c r="C15" s="7" t="s">
        <v>228</v>
      </c>
      <c r="D15" s="7" t="s">
        <v>252</v>
      </c>
      <c r="E15" s="7" t="s">
        <v>253</v>
      </c>
      <c r="F15" s="7" t="s">
        <v>254</v>
      </c>
    </row>
    <row r="16" customFormat="false" ht="42" hidden="false" customHeight="true" outlineLevel="0" collapsed="false">
      <c r="B16" s="7" t="s">
        <v>255</v>
      </c>
      <c r="C16" s="7" t="s">
        <v>256</v>
      </c>
      <c r="D16" s="7" t="s">
        <v>252</v>
      </c>
      <c r="E16" s="7" t="s">
        <v>257</v>
      </c>
      <c r="F16" s="7" t="s">
        <v>258</v>
      </c>
    </row>
    <row r="17" customFormat="false" ht="42" hidden="false" customHeight="true" outlineLevel="0" collapsed="false">
      <c r="B17" s="7" t="s">
        <v>259</v>
      </c>
      <c r="C17" s="7" t="s">
        <v>260</v>
      </c>
      <c r="D17" s="7" t="s">
        <v>5</v>
      </c>
      <c r="E17" s="7" t="s">
        <v>261</v>
      </c>
      <c r="F17" s="7" t="s">
        <v>262</v>
      </c>
    </row>
    <row r="19" customFormat="false" ht="15" hidden="false" customHeight="false" outlineLevel="0" collapsed="false">
      <c r="B19" s="3" t="s">
        <v>263</v>
      </c>
      <c r="C19" s="3"/>
      <c r="D19" s="3"/>
      <c r="E19" s="3"/>
      <c r="F19" s="3"/>
    </row>
    <row r="20" customFormat="false" ht="15" hidden="false" customHeight="false" outlineLevel="0" collapsed="false">
      <c r="B20" s="25" t="s">
        <v>5</v>
      </c>
      <c r="C20" s="25" t="s">
        <v>264</v>
      </c>
      <c r="D20" s="25" t="s">
        <v>265</v>
      </c>
      <c r="E20" s="25" t="s">
        <v>266</v>
      </c>
    </row>
    <row r="21" customFormat="false" ht="30" hidden="false" customHeight="true" outlineLevel="0" collapsed="false">
      <c r="B21" s="7" t="s">
        <v>267</v>
      </c>
      <c r="C21" s="7" t="s">
        <v>260</v>
      </c>
      <c r="D21" s="7" t="s">
        <v>268</v>
      </c>
      <c r="E21" s="7" t="s">
        <v>269</v>
      </c>
    </row>
    <row r="22" customFormat="false" ht="30" hidden="false" customHeight="true" outlineLevel="0" collapsed="false">
      <c r="B22" s="7" t="s">
        <v>270</v>
      </c>
      <c r="C22" s="7" t="s">
        <v>271</v>
      </c>
      <c r="D22" s="7" t="s">
        <v>268</v>
      </c>
      <c r="E22" s="7" t="s">
        <v>272</v>
      </c>
    </row>
    <row r="23" customFormat="false" ht="30" hidden="false" customHeight="true" outlineLevel="0" collapsed="false">
      <c r="B23" s="7" t="s">
        <v>273</v>
      </c>
      <c r="C23" s="7" t="s">
        <v>274</v>
      </c>
      <c r="D23" s="7" t="s">
        <v>268</v>
      </c>
      <c r="E23" s="7" t="s">
        <v>275</v>
      </c>
    </row>
    <row r="24" customFormat="false" ht="30" hidden="false" customHeight="true" outlineLevel="0" collapsed="false">
      <c r="B24" s="7" t="s">
        <v>276</v>
      </c>
      <c r="C24" s="7" t="s">
        <v>260</v>
      </c>
      <c r="D24" s="7" t="s">
        <v>277</v>
      </c>
      <c r="E24" s="7" t="s">
        <v>278</v>
      </c>
    </row>
    <row r="25" customFormat="false" ht="30" hidden="false" customHeight="true" outlineLevel="0" collapsed="false">
      <c r="B25" s="7" t="s">
        <v>279</v>
      </c>
      <c r="C25" s="7" t="s">
        <v>260</v>
      </c>
      <c r="D25" s="7" t="s">
        <v>15</v>
      </c>
      <c r="E25" s="7" t="s">
        <v>280</v>
      </c>
    </row>
    <row r="26" customFormat="false" ht="30" hidden="false" customHeight="true" outlineLevel="0" collapsed="false">
      <c r="B26" s="7" t="s">
        <v>281</v>
      </c>
      <c r="C26" s="7" t="s">
        <v>271</v>
      </c>
      <c r="D26" s="7" t="s">
        <v>268</v>
      </c>
      <c r="E26" s="7" t="s">
        <v>282</v>
      </c>
    </row>
    <row r="27" customFormat="false" ht="30" hidden="false" customHeight="true" outlineLevel="0" collapsed="false">
      <c r="B27" s="7" t="s">
        <v>10</v>
      </c>
      <c r="C27" s="7" t="s">
        <v>271</v>
      </c>
      <c r="D27" s="7" t="s">
        <v>268</v>
      </c>
      <c r="E27" s="7" t="s">
        <v>283</v>
      </c>
    </row>
    <row r="28" customFormat="false" ht="30" hidden="false" customHeight="true" outlineLevel="0" collapsed="false">
      <c r="B28" s="7" t="s">
        <v>284</v>
      </c>
      <c r="C28" s="7" t="s">
        <v>271</v>
      </c>
      <c r="D28" s="7" t="s">
        <v>268</v>
      </c>
      <c r="E28" s="7" t="s">
        <v>285</v>
      </c>
    </row>
    <row r="29" customFormat="false" ht="30" hidden="false" customHeight="true" outlineLevel="0" collapsed="false">
      <c r="B29" s="7" t="s">
        <v>286</v>
      </c>
      <c r="C29" s="7" t="s">
        <v>287</v>
      </c>
      <c r="D29" s="7" t="s">
        <v>268</v>
      </c>
      <c r="E29" s="7" t="s">
        <v>288</v>
      </c>
    </row>
    <row r="30" customFormat="false" ht="30" hidden="false" customHeight="true" outlineLevel="0" collapsed="false">
      <c r="B30" s="7" t="s">
        <v>247</v>
      </c>
      <c r="C30" s="7" t="s">
        <v>271</v>
      </c>
      <c r="D30" s="7" t="s">
        <v>268</v>
      </c>
      <c r="E30" s="7" t="s">
        <v>289</v>
      </c>
    </row>
    <row r="32" customFormat="false" ht="15" hidden="false" customHeight="false" outlineLevel="0" collapsed="false">
      <c r="B32" s="3" t="s">
        <v>290</v>
      </c>
      <c r="C32" s="3"/>
      <c r="D32" s="3"/>
      <c r="E32" s="3"/>
      <c r="F32" s="3"/>
    </row>
    <row r="33" customFormat="false" ht="66" hidden="false" customHeight="true" outlineLevel="0" collapsed="false">
      <c r="B33" s="36" t="s">
        <v>291</v>
      </c>
      <c r="C33" s="36"/>
      <c r="D33" s="36"/>
      <c r="E33" s="36"/>
      <c r="F33" s="36"/>
    </row>
    <row r="34" customFormat="false" ht="66" hidden="false" customHeight="true" outlineLevel="0" collapsed="false">
      <c r="B34" s="36" t="s">
        <v>292</v>
      </c>
      <c r="C34" s="36"/>
      <c r="D34" s="36"/>
      <c r="E34" s="36"/>
      <c r="F34" s="36"/>
    </row>
    <row r="35" customFormat="false" ht="66" hidden="false" customHeight="true" outlineLevel="0" collapsed="false">
      <c r="B35" s="36" t="s">
        <v>293</v>
      </c>
      <c r="C35" s="36"/>
      <c r="D35" s="36"/>
      <c r="E35" s="36"/>
      <c r="F35" s="36"/>
    </row>
    <row r="37" customFormat="false" ht="15" hidden="false" customHeight="false" outlineLevel="0" collapsed="false">
      <c r="B37" s="3" t="s">
        <v>294</v>
      </c>
      <c r="C37" s="3"/>
      <c r="D37" s="3"/>
      <c r="E37" s="3"/>
      <c r="F37" s="3"/>
    </row>
    <row r="38" customFormat="false" ht="15" hidden="false" customHeight="false" outlineLevel="0" collapsed="false">
      <c r="B38" s="25" t="s">
        <v>295</v>
      </c>
      <c r="C38" s="25" t="s">
        <v>296</v>
      </c>
      <c r="D38" s="25" t="s">
        <v>297</v>
      </c>
    </row>
    <row r="39" customFormat="false" ht="54" hidden="false" customHeight="true" outlineLevel="0" collapsed="false">
      <c r="B39" s="7" t="s">
        <v>298</v>
      </c>
      <c r="C39" s="7" t="s">
        <v>299</v>
      </c>
      <c r="D39" s="7" t="s">
        <v>300</v>
      </c>
    </row>
    <row r="40" customFormat="false" ht="54" hidden="false" customHeight="true" outlineLevel="0" collapsed="false">
      <c r="B40" s="7" t="s">
        <v>301</v>
      </c>
      <c r="C40" s="7" t="s">
        <v>302</v>
      </c>
      <c r="D40" s="7" t="s">
        <v>303</v>
      </c>
    </row>
    <row r="41" customFormat="false" ht="54" hidden="false" customHeight="true" outlineLevel="0" collapsed="false">
      <c r="B41" s="7" t="s">
        <v>304</v>
      </c>
      <c r="C41" s="7" t="s">
        <v>305</v>
      </c>
      <c r="D41" s="7" t="s">
        <v>306</v>
      </c>
    </row>
    <row r="42" customFormat="false" ht="54" hidden="false" customHeight="true" outlineLevel="0" collapsed="false">
      <c r="B42" s="7" t="s">
        <v>307</v>
      </c>
      <c r="C42" s="7" t="s">
        <v>308</v>
      </c>
      <c r="D42" s="7" t="s">
        <v>309</v>
      </c>
    </row>
    <row r="43" customFormat="false" ht="54" hidden="false" customHeight="true" outlineLevel="0" collapsed="false">
      <c r="B43" s="7" t="s">
        <v>310</v>
      </c>
      <c r="C43" s="7" t="s">
        <v>311</v>
      </c>
      <c r="D43" s="7" t="s">
        <v>312</v>
      </c>
    </row>
    <row r="44" customFormat="false" ht="54" hidden="false" customHeight="true" outlineLevel="0" collapsed="false">
      <c r="B44" s="7" t="s">
        <v>313</v>
      </c>
      <c r="C44" s="7" t="s">
        <v>314</v>
      </c>
      <c r="D44" s="7" t="s">
        <v>315</v>
      </c>
    </row>
  </sheetData>
  <mergeCells count="7">
    <mergeCell ref="B4:F4"/>
    <mergeCell ref="B19:F19"/>
    <mergeCell ref="B32:F32"/>
    <mergeCell ref="B33:F33"/>
    <mergeCell ref="B34:F34"/>
    <mergeCell ref="B35:F35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316</v>
      </c>
    </row>
    <row r="2" customFormat="false" ht="15" hidden="false" customHeight="false" outlineLevel="0" collapsed="false">
      <c r="B2" s="2" t="s">
        <v>317</v>
      </c>
    </row>
    <row r="3" customFormat="false" ht="30" hidden="false" customHeight="true" outlineLevel="0" collapsed="false">
      <c r="W3" s="4" t="s">
        <v>154</v>
      </c>
      <c r="X3" s="37" t="s">
        <v>318</v>
      </c>
      <c r="Y3" s="37" t="s">
        <v>319</v>
      </c>
      <c r="Z3" s="37" t="s">
        <v>320</v>
      </c>
      <c r="AA3" s="37" t="s">
        <v>321</v>
      </c>
    </row>
    <row r="4" customFormat="false" ht="15" hidden="false" customHeight="false" outlineLevel="0" collapsed="false">
      <c r="B4" s="38" t="s">
        <v>322</v>
      </c>
      <c r="W4" s="5" t="s">
        <v>207</v>
      </c>
      <c r="X4" s="24" t="n">
        <f aca="false">L79</f>
        <v>6424357.43243243</v>
      </c>
      <c r="Y4" s="24"/>
      <c r="Z4" s="24" t="n">
        <f aca="false">L79</f>
        <v>6424357.43243243</v>
      </c>
      <c r="AA4" s="24"/>
    </row>
    <row r="5" customFormat="false" ht="15" hidden="false" customHeight="false" outlineLevel="0" collapsed="false">
      <c r="W5" s="5" t="s">
        <v>323</v>
      </c>
      <c r="X5" s="24" t="n">
        <f aca="false">M79+$H$95+$J$95</f>
        <v>5389631.37608108</v>
      </c>
      <c r="Y5" s="24" t="n">
        <f aca="false">$X$4-X5</f>
        <v>1034726.05635135</v>
      </c>
      <c r="Z5" s="24" t="n">
        <f aca="false">Q79+$H$95+$J$95</f>
        <v>5299144.96932432</v>
      </c>
      <c r="AA5" s="24" t="n">
        <f aca="false">$Z$4-Z5</f>
        <v>1125212.46310811</v>
      </c>
    </row>
    <row r="6" customFormat="false" ht="15" hidden="false" customHeight="false" outlineLevel="0" collapsed="false">
      <c r="W6" s="5" t="s">
        <v>324</v>
      </c>
      <c r="X6" s="24" t="n">
        <f aca="false">N79+$H$95+$J$95</f>
        <v>7498806.7127027</v>
      </c>
      <c r="Y6" s="24" t="n">
        <f aca="false">$X$4-X6</f>
        <v>-1074449.28027027</v>
      </c>
      <c r="Z6" s="24" t="n">
        <f aca="false">R79+$H$95+$J$95</f>
        <v>7408320.30594595</v>
      </c>
      <c r="AA6" s="24" t="n">
        <f aca="false">$Z$4-Z6</f>
        <v>-983962.873513513</v>
      </c>
    </row>
    <row r="7" customFormat="false" ht="54" hidden="false" customHeight="true" outlineLevel="0" collapsed="false">
      <c r="B7" s="39" t="s">
        <v>325</v>
      </c>
      <c r="C7" s="39" t="s">
        <v>326</v>
      </c>
      <c r="D7" s="39" t="s">
        <v>327</v>
      </c>
      <c r="E7" s="39" t="s">
        <v>328</v>
      </c>
      <c r="F7" s="39" t="s">
        <v>329</v>
      </c>
      <c r="G7" s="39" t="s">
        <v>330</v>
      </c>
      <c r="H7" s="39" t="s">
        <v>331</v>
      </c>
      <c r="I7" s="39" t="s">
        <v>332</v>
      </c>
      <c r="J7" s="39" t="s">
        <v>333</v>
      </c>
      <c r="K7" s="39" t="s">
        <v>334</v>
      </c>
      <c r="L7" s="39" t="s">
        <v>335</v>
      </c>
      <c r="M7" s="39" t="s">
        <v>336</v>
      </c>
      <c r="N7" s="39" t="s">
        <v>337</v>
      </c>
      <c r="O7" s="39" t="s">
        <v>338</v>
      </c>
      <c r="P7" s="39" t="s">
        <v>339</v>
      </c>
      <c r="Q7" s="39" t="s">
        <v>340</v>
      </c>
      <c r="R7" s="39" t="s">
        <v>341</v>
      </c>
      <c r="S7" s="39" t="s">
        <v>342</v>
      </c>
      <c r="T7" s="39" t="s">
        <v>343</v>
      </c>
      <c r="U7" s="39" t="s">
        <v>215</v>
      </c>
      <c r="W7" s="5" t="s">
        <v>344</v>
      </c>
      <c r="X7" s="24" t="n">
        <f aca="false">O79+$H$95+$J$95</f>
        <v>6750187.51554054</v>
      </c>
      <c r="Y7" s="24" t="n">
        <f aca="false">$X$4-X7</f>
        <v>-325830.083108108</v>
      </c>
      <c r="Z7" s="24" t="n">
        <f aca="false">S79+$H$95+$J$95</f>
        <v>6659701.10878378</v>
      </c>
      <c r="AA7" s="24" t="n">
        <f aca="false">$Z$4-Z7</f>
        <v>-235343.676351352</v>
      </c>
    </row>
    <row r="8" customFormat="false" ht="15" hidden="false" customHeight="false" outlineLevel="0" collapsed="false">
      <c r="B8" s="40" t="n">
        <v>45298</v>
      </c>
      <c r="C8" s="13" t="s">
        <v>345</v>
      </c>
      <c r="D8" s="41" t="n">
        <v>22.1</v>
      </c>
      <c r="E8" s="13" t="s">
        <v>346</v>
      </c>
      <c r="F8" s="18" t="n">
        <f aca="false">MATCH(E8,{"Misma locación","0.15 - 5 km","5 - 10 km","10+ km"},0)</f>
        <v>4</v>
      </c>
      <c r="G8" s="18" t="n">
        <f aca="false">MONTH(B8)</f>
        <v>1</v>
      </c>
      <c r="H8" s="18" t="n">
        <f aca="false">COUNTIF($G$8:G8,G8)</f>
        <v>1</v>
      </c>
      <c r="I8" s="41" t="n">
        <v>22</v>
      </c>
      <c r="J8" s="42" t="n">
        <f aca="false">INDEX(Simulador!$C$39:$F$39,F8)</f>
        <v>28</v>
      </c>
      <c r="K8" s="43" t="n">
        <f aca="false">IF(I8="","",I8-J8)</f>
        <v>-6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101346.323783784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146843.061621622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103129.297837838</v>
      </c>
      <c r="U8" s="2" t="s">
        <v>347</v>
      </c>
      <c r="W8" s="5" t="s">
        <v>167</v>
      </c>
      <c r="X8" s="24" t="n">
        <f aca="false">P79+$I$95+$J$95</f>
        <v>5529029.77567568</v>
      </c>
      <c r="Y8" s="24" t="n">
        <f aca="false">$X$4-X8</f>
        <v>895327.656756757</v>
      </c>
      <c r="Z8" s="24" t="n">
        <f aca="false">T79+$I$95+$J$95</f>
        <v>5438543.36891892</v>
      </c>
      <c r="AA8" s="24" t="n">
        <f aca="false">$Z$4-Z8</f>
        <v>985814.063513514</v>
      </c>
    </row>
    <row r="9" customFormat="false" ht="15" hidden="false" customHeight="false" outlineLevel="0" collapsed="false">
      <c r="B9" s="40" t="n">
        <v>45301</v>
      </c>
      <c r="C9" s="13" t="s">
        <v>348</v>
      </c>
      <c r="D9" s="41" t="n">
        <v>4.1</v>
      </c>
      <c r="E9" s="13" t="s">
        <v>349</v>
      </c>
      <c r="F9" s="18" t="n">
        <f aca="false">MATCH(E9,{"Misma locación","0.15 - 5 km","5 - 10 km","10+ km"},0)</f>
        <v>2</v>
      </c>
      <c r="G9" s="18" t="n">
        <f aca="false">MONTH(B9)</f>
        <v>1</v>
      </c>
      <c r="H9" s="18" t="n">
        <f aca="false">COUNTIF($G$8:G9,G9)</f>
        <v>2</v>
      </c>
      <c r="I9" s="41" t="n">
        <v>19.5</v>
      </c>
      <c r="J9" s="42" t="n">
        <f aca="false">INDEX(Simulador!$C$39:$F$39,F9)</f>
        <v>18</v>
      </c>
      <c r="K9" s="43" t="n">
        <f aca="false">IF(I9="","",I9-J9)</f>
        <v>1.5</v>
      </c>
      <c r="L9" s="44" t="n">
        <f aca="false">INDEX(Simulador!$C$51:$F$51,F9)</f>
        <v>99473.8108108108</v>
      </c>
      <c r="M9" s="24" t="n">
        <f aca="false">IF(H9&gt;=Simulador!$C$19,INDEX(Simulador!$C$63:$F$63,F9),INDEX(Simulador!$C$62:$F$62,F9))</f>
        <v>88600.7254054054</v>
      </c>
      <c r="N9" s="24" t="n">
        <f aca="false">INDEX(Simulador!$C$64:$F$64,F9)</f>
        <v>111149.808108108</v>
      </c>
      <c r="O9" s="24" t="n">
        <f aca="false">IF(H9&gt;=Simulador!$C$19,INDEX(Simulador!$C$65:$F$65,F9),INDEX(Simulador!$C$64:$F$64,F9))</f>
        <v>111149.808108108</v>
      </c>
      <c r="P9" s="24" t="n">
        <f aca="false">IF(H9&gt;=Simulador!$C$19,INDEX(Simulador!$C$67:$F$67,F9),INDEX(Simulador!$C$66:$F$66,F9))</f>
        <v>85046.6491891892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90784.7254054054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113333.808108108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87230.6491891892</v>
      </c>
      <c r="U9" s="2"/>
      <c r="W9" s="45" t="s">
        <v>350</v>
      </c>
      <c r="X9" s="45" t="n">
        <f aca="false">COUNT(B8:B77)</f>
        <v>70</v>
      </c>
    </row>
    <row r="10" customFormat="false" ht="15" hidden="false" customHeight="false" outlineLevel="0" collapsed="false">
      <c r="B10" s="40" t="n">
        <v>45305</v>
      </c>
      <c r="C10" s="13" t="s">
        <v>351</v>
      </c>
      <c r="D10" s="41" t="n">
        <v>4.1</v>
      </c>
      <c r="E10" s="13" t="s">
        <v>349</v>
      </c>
      <c r="F10" s="18" t="n">
        <f aca="false">MATCH(E10,{"Misma locación","0.15 - 5 km","5 - 10 km","10+ km"},0)</f>
        <v>2</v>
      </c>
      <c r="G10" s="18" t="n">
        <f aca="false">MONTH(B10)</f>
        <v>1</v>
      </c>
      <c r="H10" s="18" t="n">
        <f aca="false">COUNTIF($G$8:G10,G10)</f>
        <v>3</v>
      </c>
      <c r="I10" s="41" t="n">
        <v>15.75</v>
      </c>
      <c r="J10" s="42" t="n">
        <f aca="false">INDEX(Simulador!$C$39:$F$39,F10)</f>
        <v>18</v>
      </c>
      <c r="K10" s="43" t="n">
        <f aca="false">IF(I10="","",I10-J10)</f>
        <v>-2.25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85324.7254054054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107873.808108108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81770.6491891892</v>
      </c>
      <c r="U10" s="2"/>
      <c r="W10" s="45" t="s">
        <v>352</v>
      </c>
      <c r="X10" s="45" t="n">
        <f aca="false">COUNTIF(C84:C94,"&gt;0")</f>
        <v>11</v>
      </c>
    </row>
    <row r="11" customFormat="false" ht="15" hidden="false" customHeight="false" outlineLevel="0" collapsed="false">
      <c r="B11" s="40" t="n">
        <v>45309</v>
      </c>
      <c r="C11" s="13" t="s">
        <v>353</v>
      </c>
      <c r="D11" s="41" t="n">
        <v>3.25</v>
      </c>
      <c r="E11" s="13" t="s">
        <v>349</v>
      </c>
      <c r="F11" s="18" t="n">
        <f aca="false">MATCH(E11,{"Misma locación","0.15 - 5 km","5 - 10 km","10+ km"},0)</f>
        <v>2</v>
      </c>
      <c r="G11" s="18" t="n">
        <f aca="false">MONTH(B11)</f>
        <v>1</v>
      </c>
      <c r="H11" s="18" t="n">
        <f aca="false">COUNTIF($G$8:G11,G11)</f>
        <v>4</v>
      </c>
      <c r="I11" s="41"/>
      <c r="J11" s="42" t="n">
        <f aca="false">INDEX(Simulador!$C$39:$F$39,F11)</f>
        <v>18</v>
      </c>
      <c r="K11" s="43" t="str">
        <f aca="false">IF(I11="","",I11-J11)</f>
        <v/>
      </c>
      <c r="L11" s="44" t="n">
        <f aca="false">INDEX(Simulador!$C$51:$F$51,F11)</f>
        <v>99473.8108108108</v>
      </c>
      <c r="M11" s="24" t="n">
        <f aca="false">IF(H11&gt;=Simulador!$C$19,INDEX(Simulador!$C$63:$F$63,F11),INDEX(Simulador!$C$62:$F$62,F11))</f>
        <v>88600.7254054054</v>
      </c>
      <c r="N11" s="24" t="n">
        <f aca="false">INDEX(Simulador!$C$64:$F$64,F11)</f>
        <v>111149.808108108</v>
      </c>
      <c r="O11" s="24" t="n">
        <f aca="false">IF(H11&gt;=Simulador!$C$19,INDEX(Simulador!$C$65:$F$65,F11),INDEX(Simulador!$C$64:$F$64,F11))</f>
        <v>111149.808108108</v>
      </c>
      <c r="P11" s="24" t="n">
        <f aca="false">IF(H11&gt;=Simulador!$C$19,INDEX(Simulador!$C$67:$F$67,F11),INDEX(Simulador!$C$66:$F$66,F11))</f>
        <v>85046.6491891892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88600.7254054054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111149.808108108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85046.6491891892</v>
      </c>
      <c r="U11" s="2" t="s">
        <v>354</v>
      </c>
      <c r="W11" s="45" t="s">
        <v>355</v>
      </c>
      <c r="X11" s="46" t="n">
        <f aca="false">X9/X10</f>
        <v>6.36363636363636</v>
      </c>
    </row>
    <row r="12" customFormat="false" ht="15" hidden="false" customHeight="false" outlineLevel="0" collapsed="false">
      <c r="B12" s="40" t="n">
        <v>45312</v>
      </c>
      <c r="C12" s="13" t="s">
        <v>356</v>
      </c>
      <c r="D12" s="41" t="n">
        <v>4.9</v>
      </c>
      <c r="E12" s="13" t="s">
        <v>349</v>
      </c>
      <c r="F12" s="18" t="n">
        <f aca="false">MATCH(E12,{"Misma locación","0.15 - 5 km","5 - 10 km","10+ km"},0)</f>
        <v>2</v>
      </c>
      <c r="G12" s="18" t="n">
        <f aca="false">MONTH(B12)</f>
        <v>1</v>
      </c>
      <c r="H12" s="18" t="n">
        <f aca="false">COUNTIF($G$8:G12,G12)</f>
        <v>5</v>
      </c>
      <c r="I12" s="41" t="n">
        <v>20</v>
      </c>
      <c r="J12" s="42" t="n">
        <f aca="false">INDEX(Simulador!$C$39:$F$39,F12)</f>
        <v>18</v>
      </c>
      <c r="K12" s="43" t="n">
        <f aca="false">IF(I12="","",I12-J12)</f>
        <v>2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91512.7254054054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114061.808108108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87958.6491891892</v>
      </c>
      <c r="U12" s="2"/>
      <c r="W12" s="45" t="s">
        <v>357</v>
      </c>
      <c r="X12" s="45" t="n">
        <f aca="false">COUNTIF(C84:C94,"&gt;=6")</f>
        <v>9</v>
      </c>
    </row>
    <row r="13" customFormat="false" ht="15" hidden="false" customHeight="false" outlineLevel="0" collapsed="false">
      <c r="B13" s="40" t="n">
        <v>45317</v>
      </c>
      <c r="C13" s="13" t="s">
        <v>358</v>
      </c>
      <c r="D13" s="41" t="n">
        <v>0.4</v>
      </c>
      <c r="E13" s="13" t="s">
        <v>349</v>
      </c>
      <c r="F13" s="18" t="n">
        <f aca="false">MATCH(E13,{"Misma locación","0.15 - 5 km","5 - 10 km","10+ km"},0)</f>
        <v>2</v>
      </c>
      <c r="G13" s="18" t="n">
        <f aca="false">MONTH(B13)</f>
        <v>1</v>
      </c>
      <c r="H13" s="18" t="n">
        <f aca="false">COUNTIF($G$8:G13,G13)</f>
        <v>6</v>
      </c>
      <c r="I13" s="41" t="n">
        <v>12.5</v>
      </c>
      <c r="J13" s="42" t="n">
        <f aca="false">INDEX(Simulador!$C$39:$F$39,F13)</f>
        <v>18</v>
      </c>
      <c r="K13" s="43" t="n">
        <f aca="false">IF(I13="","",I13-J13)</f>
        <v>-5.5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58755.7140540541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70030.2554054054</v>
      </c>
      <c r="P13" s="24" t="n">
        <f aca="false">IF(H13&gt;=Simulador!$C$19,INDEX(Simulador!$C$67:$F$67,F13),INDEX(Simulador!$C$66:$F$66,F13))</f>
        <v>62202.5945945946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50747.7140540541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103141.808108108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62022.2554054054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54194.5945945946</v>
      </c>
      <c r="U13" s="2"/>
      <c r="W13" s="45" t="s">
        <v>359</v>
      </c>
      <c r="X13" s="45" t="n">
        <f aca="false">COUNTIF(C84:C94,"&lt;5")</f>
        <v>2</v>
      </c>
    </row>
    <row r="14" customFormat="false" ht="15" hidden="false" customHeight="false" outlineLevel="0" collapsed="false">
      <c r="B14" s="40" t="n">
        <v>45321</v>
      </c>
      <c r="C14" s="13" t="s">
        <v>360</v>
      </c>
      <c r="D14" s="41" t="n">
        <v>5.2</v>
      </c>
      <c r="E14" s="13" t="s">
        <v>361</v>
      </c>
      <c r="F14" s="18" t="n">
        <f aca="false">MATCH(E14,{"Misma locación","0.15 - 5 km","5 - 10 km","10+ km"},0)</f>
        <v>3</v>
      </c>
      <c r="G14" s="18" t="n">
        <f aca="false">MONTH(B14)</f>
        <v>1</v>
      </c>
      <c r="H14" s="18" t="n">
        <f aca="false">COUNTIF($G$8:G14,G14)</f>
        <v>7</v>
      </c>
      <c r="I14" s="41" t="n">
        <v>16</v>
      </c>
      <c r="J14" s="42" t="n">
        <f aca="false">INDEX(Simulador!$C$39:$F$39,F14)</f>
        <v>24</v>
      </c>
      <c r="K14" s="43" t="n">
        <f aca="false">IF(I14="","",I14-J14)</f>
        <v>-8</v>
      </c>
      <c r="L14" s="44" t="n">
        <f aca="false">INDEX(Simulador!$C$51:$F$51,F14)</f>
        <v>96184.8108108108</v>
      </c>
      <c r="M14" s="24" t="n">
        <f aca="false">IF(H14&gt;=Simulador!$C$19,INDEX(Simulador!$C$63:$F$63,F14),INDEX(Simulador!$C$62:$F$62,F14))</f>
        <v>69871.4321621622</v>
      </c>
      <c r="N14" s="24" t="n">
        <f aca="false">INDEX(Simulador!$C$64:$F$64,F14)</f>
        <v>138633.155135135</v>
      </c>
      <c r="O14" s="24" t="n">
        <f aca="false">IF(H14&gt;=Simulador!$C$19,INDEX(Simulador!$C$65:$F$65,F14),INDEX(Simulador!$C$64:$F$64,F14))</f>
        <v>88139.9289189189</v>
      </c>
      <c r="P14" s="24" t="n">
        <f aca="false">IF(H14&gt;=Simulador!$C$19,INDEX(Simulador!$C$67:$F$67,F14),INDEX(Simulador!$C$66:$F$66,F14))</f>
        <v>75215.6216216216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58223.4321621622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126985.155135135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76491.9289189189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63567.6216216216</v>
      </c>
      <c r="U14" s="2"/>
    </row>
    <row r="15" customFormat="false" ht="15" hidden="false" customHeight="false" outlineLevel="0" collapsed="false">
      <c r="B15" s="40" t="n">
        <v>45325</v>
      </c>
      <c r="C15" s="13" t="s">
        <v>362</v>
      </c>
      <c r="D15" s="41" t="n">
        <v>0.00640079979517441</v>
      </c>
      <c r="E15" s="13" t="s">
        <v>363</v>
      </c>
      <c r="F15" s="18" t="n">
        <f aca="false">MATCH(E15,{"Misma locación","0.15 - 5 km","5 - 10 km","10+ km"},0)</f>
        <v>1</v>
      </c>
      <c r="G15" s="18" t="n">
        <f aca="false">MONTH(B15)</f>
        <v>2</v>
      </c>
      <c r="H15" s="18" t="n">
        <f aca="false">COUNTIF($G$8:G15,G15)</f>
        <v>1</v>
      </c>
      <c r="I15" s="41" t="n">
        <v>8</v>
      </c>
      <c r="J15" s="42" t="n">
        <f aca="false">INDEX(Simulador!$C$39:$F$39,F15)</f>
        <v>12</v>
      </c>
      <c r="K15" s="43" t="n">
        <f aca="false">IF(I15="","",I15-J15)</f>
        <v>-4</v>
      </c>
      <c r="L15" s="44" t="n">
        <f aca="false">INDEX(Simulador!$C$51:$F$51,F15)</f>
        <v>76047.4054054054</v>
      </c>
      <c r="M15" s="24" t="n">
        <f aca="false">IF(H15&gt;=Simulador!$C$19,INDEX(Simulador!$C$63:$F$63,F15),INDEX(Simulador!$C$62:$F$62,F15))</f>
        <v>58116.7137837838</v>
      </c>
      <c r="N15" s="24" t="n">
        <f aca="false">INDEX(Simulador!$C$64:$F$64,F15)</f>
        <v>68381.1581081081</v>
      </c>
      <c r="O15" s="24" t="n">
        <f aca="false">IF(H15&gt;=Simulador!$C$19,INDEX(Simulador!$C$65:$F$65,F15),INDEX(Simulador!$C$64:$F$64,F15))</f>
        <v>68381.1581081081</v>
      </c>
      <c r="P15" s="24" t="n">
        <f aca="false">IF(H15&gt;=Simulador!$C$19,INDEX(Simulador!$C$67:$F$67,F15),INDEX(Simulador!$C$66:$F$66,F15))</f>
        <v>58075.5140540541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52292.7137837838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62557.1581081081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52251.5140540541</v>
      </c>
      <c r="U15" s="2"/>
    </row>
    <row r="16" customFormat="false" ht="15" hidden="false" customHeight="false" outlineLevel="0" collapsed="false">
      <c r="B16" s="40" t="n">
        <v>45328</v>
      </c>
      <c r="C16" s="13" t="s">
        <v>364</v>
      </c>
      <c r="D16" s="41" t="n">
        <v>3</v>
      </c>
      <c r="E16" s="13" t="s">
        <v>349</v>
      </c>
      <c r="F16" s="18" t="n">
        <f aca="false">MATCH(E16,{"Misma locación","0.15 - 5 km","5 - 10 km","10+ km"},0)</f>
        <v>2</v>
      </c>
      <c r="G16" s="18" t="n">
        <f aca="false">MONTH(B16)</f>
        <v>2</v>
      </c>
      <c r="H16" s="18" t="n">
        <f aca="false">COUNTIF($G$8:G16,G16)</f>
        <v>2</v>
      </c>
      <c r="I16" s="41" t="n">
        <v>22</v>
      </c>
      <c r="J16" s="42" t="n">
        <f aca="false">INDEX(Simulador!$C$39:$F$39,F16)</f>
        <v>18</v>
      </c>
      <c r="K16" s="43" t="n">
        <f aca="false">IF(I16="","",I16-J16)</f>
        <v>4</v>
      </c>
      <c r="L16" s="44" t="n">
        <f aca="false">INDEX(Simulador!$C$51:$F$51,F16)</f>
        <v>99473.8108108108</v>
      </c>
      <c r="M16" s="24" t="n">
        <f aca="false">IF(H16&gt;=Simulador!$C$19,INDEX(Simulador!$C$63:$F$63,F16),INDEX(Simulador!$C$62:$F$62,F16))</f>
        <v>88600.7254054054</v>
      </c>
      <c r="N16" s="24" t="n">
        <f aca="false">INDEX(Simulador!$C$64:$F$64,F16)</f>
        <v>111149.808108108</v>
      </c>
      <c r="O16" s="24" t="n">
        <f aca="false">IF(H16&gt;=Simulador!$C$19,INDEX(Simulador!$C$65:$F$65,F16),INDEX(Simulador!$C$64:$F$64,F16))</f>
        <v>111149.808108108</v>
      </c>
      <c r="P16" s="24" t="n">
        <f aca="false">IF(H16&gt;=Simulador!$C$19,INDEX(Simulador!$C$67:$F$67,F16),INDEX(Simulador!$C$66:$F$66,F16))</f>
        <v>85046.6491891892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94424.7254054054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116973.808108108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90870.6491891892</v>
      </c>
      <c r="U16" s="2"/>
    </row>
    <row r="17" customFormat="false" ht="15" hidden="false" customHeight="false" outlineLevel="0" collapsed="false">
      <c r="B17" s="40" t="n">
        <v>45331</v>
      </c>
      <c r="C17" s="13" t="s">
        <v>365</v>
      </c>
      <c r="D17" s="41" t="n">
        <v>0.02</v>
      </c>
      <c r="E17" s="13" t="s">
        <v>363</v>
      </c>
      <c r="F17" s="18" t="n">
        <f aca="false">MATCH(E17,{"Misma locación","0.15 - 5 km","5 - 10 km","10+ km"},0)</f>
        <v>1</v>
      </c>
      <c r="G17" s="18" t="n">
        <f aca="false">MONTH(B17)</f>
        <v>2</v>
      </c>
      <c r="H17" s="18" t="n">
        <f aca="false">COUNTIF($G$8:G17,G17)</f>
        <v>3</v>
      </c>
      <c r="I17" s="41" t="n">
        <v>10</v>
      </c>
      <c r="J17" s="42" t="n">
        <f aca="false">INDEX(Simulador!$C$39:$F$39,F17)</f>
        <v>12</v>
      </c>
      <c r="K17" s="43" t="n">
        <f aca="false">IF(I17="","",I17-J17)</f>
        <v>-2</v>
      </c>
      <c r="L17" s="44" t="n">
        <f aca="false">INDEX(Simulador!$C$51:$F$51,F17)</f>
        <v>76047.4054054054</v>
      </c>
      <c r="M17" s="24" t="n">
        <f aca="false">IF(H17&gt;=Simulador!$C$19,INDEX(Simulador!$C$63:$F$63,F17),INDEX(Simulador!$C$62:$F$62,F17))</f>
        <v>58116.7137837838</v>
      </c>
      <c r="N17" s="24" t="n">
        <f aca="false">INDEX(Simulador!$C$64:$F$64,F17)</f>
        <v>68381.1581081081</v>
      </c>
      <c r="O17" s="24" t="n">
        <f aca="false">IF(H17&gt;=Simulador!$C$19,INDEX(Simulador!$C$65:$F$65,F17),INDEX(Simulador!$C$64:$F$64,F17))</f>
        <v>68381.1581081081</v>
      </c>
      <c r="P17" s="24" t="n">
        <f aca="false">IF(H17&gt;=Simulador!$C$19,INDEX(Simulador!$C$67:$F$67,F17),INDEX(Simulador!$C$66:$F$66,F17))</f>
        <v>58075.5140540541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55204.7137837838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65469.1581081081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55163.5140540541</v>
      </c>
      <c r="U17" s="2"/>
    </row>
    <row r="18" customFormat="false" ht="15" hidden="false" customHeight="false" outlineLevel="0" collapsed="false">
      <c r="B18" s="40" t="n">
        <v>45334</v>
      </c>
      <c r="C18" s="13" t="s">
        <v>366</v>
      </c>
      <c r="D18" s="41" t="n">
        <v>0.02</v>
      </c>
      <c r="E18" s="13" t="s">
        <v>363</v>
      </c>
      <c r="F18" s="18" t="n">
        <f aca="false">MATCH(E18,{"Misma locación","0.15 - 5 km","5 - 10 km","10+ km"},0)</f>
        <v>1</v>
      </c>
      <c r="G18" s="18" t="n">
        <f aca="false">MONTH(B18)</f>
        <v>2</v>
      </c>
      <c r="H18" s="18" t="n">
        <f aca="false">COUNTIF($G$8:G18,G18)</f>
        <v>4</v>
      </c>
      <c r="I18" s="41" t="n">
        <v>10</v>
      </c>
      <c r="J18" s="42" t="n">
        <f aca="false">INDEX(Simulador!$C$39:$F$39,F18)</f>
        <v>12</v>
      </c>
      <c r="K18" s="43" t="n">
        <f aca="false">IF(I18="","",I18-J18)</f>
        <v>-2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58116.7137837838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68381.1581081081</v>
      </c>
      <c r="P18" s="24" t="n">
        <f aca="false">IF(H18&gt;=Simulador!$C$19,INDEX(Simulador!$C$67:$F$67,F18),INDEX(Simulador!$C$66:$F$66,F18))</f>
        <v>58075.5140540541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55204.7137837838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65469.1581081081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55163.5140540541</v>
      </c>
      <c r="U18" s="2"/>
    </row>
    <row r="19" customFormat="false" ht="15" hidden="false" customHeight="false" outlineLevel="0" collapsed="false">
      <c r="B19" s="40" t="n">
        <v>45337</v>
      </c>
      <c r="C19" s="13" t="s">
        <v>367</v>
      </c>
      <c r="D19" s="41" t="n">
        <v>3.4</v>
      </c>
      <c r="E19" s="13" t="s">
        <v>349</v>
      </c>
      <c r="F19" s="18" t="n">
        <f aca="false">MATCH(E19,{"Misma locación","0.15 - 5 km","5 - 10 km","10+ km"},0)</f>
        <v>2</v>
      </c>
      <c r="G19" s="18" t="n">
        <f aca="false">MONTH(B19)</f>
        <v>2</v>
      </c>
      <c r="H19" s="18" t="n">
        <f aca="false">COUNTIF($G$8:G19,G19)</f>
        <v>5</v>
      </c>
      <c r="I19" s="41" t="n">
        <v>12</v>
      </c>
      <c r="J19" s="42" t="n">
        <f aca="false">INDEX(Simulador!$C$39:$F$39,F19)</f>
        <v>18</v>
      </c>
      <c r="K19" s="43" t="n">
        <f aca="false">IF(I19="","",I19-J19)</f>
        <v>-6</v>
      </c>
      <c r="L19" s="44" t="n">
        <f aca="false">INDEX(Simulador!$C$51:$F$51,F19)</f>
        <v>99473.8108108108</v>
      </c>
      <c r="M19" s="24" t="n">
        <f aca="false">IF(H19&gt;=Simulador!$C$19,INDEX(Simulador!$C$63:$F$63,F19),INDEX(Simulador!$C$62:$F$62,F19))</f>
        <v>88600.7254054054</v>
      </c>
      <c r="N19" s="24" t="n">
        <f aca="false">INDEX(Simulador!$C$64:$F$64,F19)</f>
        <v>111149.808108108</v>
      </c>
      <c r="O19" s="24" t="n">
        <f aca="false">IF(H19&gt;=Simulador!$C$19,INDEX(Simulador!$C$65:$F$65,F19),INDEX(Simulador!$C$64:$F$64,F19))</f>
        <v>111149.808108108</v>
      </c>
      <c r="P19" s="24" t="n">
        <f aca="false">IF(H19&gt;=Simulador!$C$19,INDEX(Simulador!$C$67:$F$67,F19),INDEX(Simulador!$C$66:$F$66,F19))</f>
        <v>85046.6491891892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79864.7254054054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102413.808108108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76310.6491891892</v>
      </c>
      <c r="U19" s="2"/>
    </row>
    <row r="20" customFormat="false" ht="15" hidden="false" customHeight="false" outlineLevel="0" collapsed="false">
      <c r="B20" s="40" t="n">
        <v>45342</v>
      </c>
      <c r="C20" s="13" t="s">
        <v>368</v>
      </c>
      <c r="D20" s="41" t="n">
        <v>0.0192023993855232</v>
      </c>
      <c r="E20" s="13" t="s">
        <v>363</v>
      </c>
      <c r="F20" s="18" t="n">
        <f aca="false">MATCH(E20,{"Misma locación","0.15 - 5 km","5 - 10 km","10+ km"},0)</f>
        <v>1</v>
      </c>
      <c r="G20" s="18" t="n">
        <f aca="false">MONTH(B20)</f>
        <v>2</v>
      </c>
      <c r="H20" s="18" t="n">
        <f aca="false">COUNTIF($G$8:G20,G20)</f>
        <v>6</v>
      </c>
      <c r="I20" s="41" t="n">
        <v>14</v>
      </c>
      <c r="J20" s="42" t="n">
        <f aca="false">INDEX(Simulador!$C$39:$F$39,F20)</f>
        <v>12</v>
      </c>
      <c r="K20" s="43" t="n">
        <f aca="false">IF(I20="","",I20-J20)</f>
        <v>2</v>
      </c>
      <c r="L20" s="44" t="n">
        <f aca="false">INDEX(Simulador!$C$51:$F$51,F20)</f>
        <v>76047.4054054054</v>
      </c>
      <c r="M20" s="24" t="n">
        <f aca="false">IF(H20&gt;=Simulador!$C$19,INDEX(Simulador!$C$63:$F$63,F20),INDEX(Simulador!$C$62:$F$62,F20))</f>
        <v>39145.7082432432</v>
      </c>
      <c r="N20" s="24" t="n">
        <f aca="false">INDEX(Simulador!$C$64:$F$64,F20)</f>
        <v>68381.1581081081</v>
      </c>
      <c r="O20" s="24" t="n">
        <f aca="false">IF(H20&gt;=Simulador!$C$19,INDEX(Simulador!$C$65:$F$65,F20),INDEX(Simulador!$C$64:$F$64,F20))</f>
        <v>44277.9304054054</v>
      </c>
      <c r="P20" s="24" t="n">
        <f aca="false">IF(H20&gt;=Simulador!$C$19,INDEX(Simulador!$C$67:$F$67,F20),INDEX(Simulador!$C$66:$F$66,F20))</f>
        <v>53466.5945945946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44772.0325675676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74007.4824324324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49904.2547297297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59092.9189189189</v>
      </c>
      <c r="U20" s="2"/>
    </row>
    <row r="21" customFormat="false" ht="15" hidden="false" customHeight="false" outlineLevel="0" collapsed="false">
      <c r="B21" s="40" t="n">
        <v>45346</v>
      </c>
      <c r="C21" s="13" t="s">
        <v>369</v>
      </c>
      <c r="D21" s="41" t="n">
        <v>2.8</v>
      </c>
      <c r="E21" s="13" t="s">
        <v>349</v>
      </c>
      <c r="F21" s="18" t="n">
        <f aca="false">MATCH(E21,{"Misma locación","0.15 - 5 km","5 - 10 km","10+ km"},0)</f>
        <v>2</v>
      </c>
      <c r="G21" s="18" t="n">
        <f aca="false">MONTH(B21)</f>
        <v>2</v>
      </c>
      <c r="H21" s="18" t="n">
        <f aca="false">COUNTIF($G$8:G21,G21)</f>
        <v>7</v>
      </c>
      <c r="I21" s="41" t="n">
        <v>17</v>
      </c>
      <c r="J21" s="42" t="n">
        <f aca="false">INDEX(Simulador!$C$39:$F$39,F21)</f>
        <v>18</v>
      </c>
      <c r="K21" s="43" t="n">
        <f aca="false">IF(I21="","",I21-J21)</f>
        <v>-1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58755.7140540541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70030.2554054054</v>
      </c>
      <c r="P21" s="24" t="n">
        <f aca="false">IF(H21&gt;=Simulador!$C$19,INDEX(Simulador!$C$67:$F$67,F21),INDEX(Simulador!$C$66:$F$66,F21))</f>
        <v>62202.5945945946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57299.7140540541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109693.808108108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68574.2554054054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60746.5945945946</v>
      </c>
      <c r="U21" s="2"/>
    </row>
    <row r="22" customFormat="false" ht="15" hidden="false" customHeight="false" outlineLevel="0" collapsed="false">
      <c r="B22" s="40" t="n">
        <v>45351</v>
      </c>
      <c r="C22" s="13" t="s">
        <v>370</v>
      </c>
      <c r="D22" s="41" t="n">
        <v>2.8</v>
      </c>
      <c r="E22" s="13" t="s">
        <v>349</v>
      </c>
      <c r="F22" s="18" t="n">
        <f aca="false">MATCH(E22,{"Misma locación","0.15 - 5 km","5 - 10 km","10+ km"},0)</f>
        <v>2</v>
      </c>
      <c r="G22" s="18" t="n">
        <f aca="false">MONTH(B22)</f>
        <v>2</v>
      </c>
      <c r="H22" s="18" t="n">
        <f aca="false">COUNTIF($G$8:G22,G22)</f>
        <v>8</v>
      </c>
      <c r="I22" s="41" t="n">
        <v>22</v>
      </c>
      <c r="J22" s="42" t="n">
        <f aca="false">INDEX(Simulador!$C$39:$F$39,F22)</f>
        <v>18</v>
      </c>
      <c r="K22" s="43" t="n">
        <f aca="false">IF(I22="","",I22-J22)</f>
        <v>4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58755.7140540541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70030.2554054054</v>
      </c>
      <c r="P22" s="24" t="n">
        <f aca="false">IF(H22&gt;=Simulador!$C$19,INDEX(Simulador!$C$67:$F$67,F22),INDEX(Simulador!$C$66:$F$66,F22))</f>
        <v>62202.5945945946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64579.7140540541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116973.808108108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75854.2554054054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68026.5945945946</v>
      </c>
      <c r="U22" s="2"/>
    </row>
    <row r="23" customFormat="false" ht="15" hidden="false" customHeight="false" outlineLevel="0" collapsed="false">
      <c r="B23" s="40" t="n">
        <v>45355</v>
      </c>
      <c r="C23" s="13" t="s">
        <v>371</v>
      </c>
      <c r="D23" s="41" t="n">
        <v>2.7</v>
      </c>
      <c r="E23" s="13" t="s">
        <v>349</v>
      </c>
      <c r="F23" s="18" t="n">
        <f aca="false">MATCH(E23,{"Misma locación","0.15 - 5 km","5 - 10 km","10+ km"},0)</f>
        <v>2</v>
      </c>
      <c r="G23" s="18" t="n">
        <f aca="false">MONTH(B23)</f>
        <v>3</v>
      </c>
      <c r="H23" s="18" t="n">
        <f aca="false">COUNTIF($G$8:G23,G23)</f>
        <v>1</v>
      </c>
      <c r="I23" s="41" t="n">
        <v>16</v>
      </c>
      <c r="J23" s="42" t="n">
        <f aca="false">INDEX(Simulador!$C$39:$F$39,F23)</f>
        <v>18</v>
      </c>
      <c r="K23" s="43" t="n">
        <f aca="false">IF(I23="","",I23-J23)</f>
        <v>-2</v>
      </c>
      <c r="L23" s="44" t="n">
        <f aca="false">INDEX(Simulador!$C$51:$F$51,F23)</f>
        <v>99473.8108108108</v>
      </c>
      <c r="M23" s="24" t="n">
        <f aca="false">IF(H23&gt;=Simulador!$C$19,INDEX(Simulador!$C$63:$F$63,F23),INDEX(Simulador!$C$62:$F$62,F23))</f>
        <v>88600.7254054054</v>
      </c>
      <c r="N23" s="24" t="n">
        <f aca="false">INDEX(Simulador!$C$64:$F$64,F23)</f>
        <v>111149.808108108</v>
      </c>
      <c r="O23" s="24" t="n">
        <f aca="false">IF(H23&gt;=Simulador!$C$19,INDEX(Simulador!$C$65:$F$65,F23),INDEX(Simulador!$C$64:$F$64,F23))</f>
        <v>111149.808108108</v>
      </c>
      <c r="P23" s="24" t="n">
        <f aca="false">IF(H23&gt;=Simulador!$C$19,INDEX(Simulador!$C$67:$F$67,F23),INDEX(Simulador!$C$66:$F$66,F23))</f>
        <v>85046.6491891892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85688.7254054054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108237.808108108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82134.6491891892</v>
      </c>
      <c r="U23" s="2"/>
    </row>
    <row r="24" customFormat="false" ht="15" hidden="false" customHeight="false" outlineLevel="0" collapsed="false">
      <c r="B24" s="40" t="n">
        <v>45360</v>
      </c>
      <c r="C24" s="13" t="s">
        <v>372</v>
      </c>
      <c r="D24" s="41" t="n">
        <v>0.04</v>
      </c>
      <c r="E24" s="13" t="s">
        <v>363</v>
      </c>
      <c r="F24" s="18" t="n">
        <f aca="false">MATCH(E24,{"Misma locación","0.15 - 5 km","5 - 10 km","10+ km"},0)</f>
        <v>1</v>
      </c>
      <c r="G24" s="18" t="n">
        <f aca="false">MONTH(B24)</f>
        <v>3</v>
      </c>
      <c r="H24" s="18" t="n">
        <f aca="false">COUNTIF($G$8:G24,G24)</f>
        <v>2</v>
      </c>
      <c r="I24" s="41" t="n">
        <v>10.5</v>
      </c>
      <c r="J24" s="42" t="n">
        <f aca="false">INDEX(Simulador!$C$39:$F$39,F24)</f>
        <v>12</v>
      </c>
      <c r="K24" s="43" t="n">
        <f aca="false">IF(I24="","",I24-J24)</f>
        <v>-1.5</v>
      </c>
      <c r="L24" s="44" t="n">
        <f aca="false">INDEX(Simulador!$C$51:$F$51,F24)</f>
        <v>76047.4054054054</v>
      </c>
      <c r="M24" s="24" t="n">
        <f aca="false">IF(H24&gt;=Simulador!$C$19,INDEX(Simulador!$C$63:$F$63,F24),INDEX(Simulador!$C$62:$F$62,F24))</f>
        <v>58116.7137837838</v>
      </c>
      <c r="N24" s="24" t="n">
        <f aca="false">INDEX(Simulador!$C$64:$F$64,F24)</f>
        <v>68381.1581081081</v>
      </c>
      <c r="O24" s="24" t="n">
        <f aca="false">IF(H24&gt;=Simulador!$C$19,INDEX(Simulador!$C$65:$F$65,F24),INDEX(Simulador!$C$64:$F$64,F24))</f>
        <v>68381.1581081081</v>
      </c>
      <c r="P24" s="24" t="n">
        <f aca="false">IF(H24&gt;=Simulador!$C$19,INDEX(Simulador!$C$67:$F$67,F24),INDEX(Simulador!$C$66:$F$66,F24))</f>
        <v>58075.5140540541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55932.7137837838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66197.1581081081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55891.5140540541</v>
      </c>
      <c r="U24" s="2"/>
    </row>
    <row r="25" customFormat="false" ht="15" hidden="false" customHeight="false" outlineLevel="0" collapsed="false">
      <c r="B25" s="40" t="n">
        <v>45364</v>
      </c>
      <c r="C25" s="13" t="s">
        <v>373</v>
      </c>
      <c r="D25" s="41" t="n">
        <v>0.04</v>
      </c>
      <c r="E25" s="13" t="s">
        <v>363</v>
      </c>
      <c r="F25" s="18" t="n">
        <f aca="false">MATCH(E25,{"Misma locación","0.15 - 5 km","5 - 10 km","10+ km"},0)</f>
        <v>1</v>
      </c>
      <c r="G25" s="18" t="n">
        <f aca="false">MONTH(B25)</f>
        <v>3</v>
      </c>
      <c r="H25" s="18" t="n">
        <f aca="false">COUNTIF($G$8:G25,G25)</f>
        <v>3</v>
      </c>
      <c r="I25" s="41" t="n">
        <v>10.5</v>
      </c>
      <c r="J25" s="42" t="n">
        <f aca="false">INDEX(Simulador!$C$39:$F$39,F25)</f>
        <v>12</v>
      </c>
      <c r="K25" s="43" t="n">
        <f aca="false">IF(I25="","",I25-J25)</f>
        <v>-1.5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55932.7137837838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66197.1581081081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55891.5140540541</v>
      </c>
      <c r="U25" s="2"/>
    </row>
    <row r="26" customFormat="false" ht="15" hidden="false" customHeight="false" outlineLevel="0" collapsed="false">
      <c r="B26" s="40" t="n">
        <v>45367</v>
      </c>
      <c r="C26" s="13" t="s">
        <v>374</v>
      </c>
      <c r="D26" s="41" t="n">
        <v>0.8</v>
      </c>
      <c r="E26" s="13" t="s">
        <v>349</v>
      </c>
      <c r="F26" s="18" t="n">
        <f aca="false">MATCH(E26,{"Misma locación","0.15 - 5 km","5 - 10 km","10+ km"},0)</f>
        <v>2</v>
      </c>
      <c r="G26" s="18" t="n">
        <f aca="false">MONTH(B26)</f>
        <v>3</v>
      </c>
      <c r="H26" s="18" t="n">
        <f aca="false">COUNTIF($G$8:G26,G26)</f>
        <v>4</v>
      </c>
      <c r="I26" s="41" t="n">
        <v>21</v>
      </c>
      <c r="J26" s="42" t="n">
        <f aca="false">INDEX(Simulador!$C$39:$F$39,F26)</f>
        <v>18</v>
      </c>
      <c r="K26" s="43" t="n">
        <f aca="false">IF(I26="","",I26-J26)</f>
        <v>3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92968.7254054054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115517.808108108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89414.6491891892</v>
      </c>
      <c r="U26" s="2"/>
    </row>
    <row r="27" customFormat="false" ht="15" hidden="false" customHeight="false" outlineLevel="0" collapsed="false">
      <c r="B27" s="40" t="n">
        <v>45370</v>
      </c>
      <c r="C27" s="13" t="s">
        <v>375</v>
      </c>
      <c r="D27" s="41" t="n">
        <v>0.04</v>
      </c>
      <c r="E27" s="13" t="s">
        <v>363</v>
      </c>
      <c r="F27" s="18" t="n">
        <f aca="false">MATCH(E27,{"Misma locación","0.15 - 5 km","5 - 10 km","10+ km"},0)</f>
        <v>1</v>
      </c>
      <c r="G27" s="18" t="n">
        <f aca="false">MONTH(B27)</f>
        <v>3</v>
      </c>
      <c r="H27" s="18" t="n">
        <f aca="false">COUNTIF($G$8:G27,G27)</f>
        <v>5</v>
      </c>
      <c r="I27" s="41" t="n">
        <v>52.75</v>
      </c>
      <c r="J27" s="42" t="n">
        <f aca="false">INDEX(Simulador!$C$39:$F$39,F27)</f>
        <v>12</v>
      </c>
      <c r="K27" s="43" t="n">
        <f aca="false">IF(I27="","",I27-J27)</f>
        <v>40.75</v>
      </c>
      <c r="L27" s="44" t="n">
        <f aca="false">INDEX(Simulador!$C$51:$F$51,F27)</f>
        <v>76047.4054054054</v>
      </c>
      <c r="M27" s="24" t="n">
        <f aca="false">IF(H27&gt;=Simulador!$C$19,INDEX(Simulador!$C$63:$F$63,F27),INDEX(Simulador!$C$62:$F$62,F27))</f>
        <v>58116.7137837838</v>
      </c>
      <c r="N27" s="24" t="n">
        <f aca="false">INDEX(Simulador!$C$64:$F$64,F27)</f>
        <v>68381.1581081081</v>
      </c>
      <c r="O27" s="24" t="n">
        <f aca="false">IF(H27&gt;=Simulador!$C$19,INDEX(Simulador!$C$65:$F$65,F27),INDEX(Simulador!$C$64:$F$64,F27))</f>
        <v>68381.1581081081</v>
      </c>
      <c r="P27" s="24" t="n">
        <f aca="false">IF(H27&gt;=Simulador!$C$19,INDEX(Simulador!$C$67:$F$67,F27),INDEX(Simulador!$C$66:$F$66,F27))</f>
        <v>58075.5140540541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172753.071891892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183017.516216216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172711.872162162</v>
      </c>
      <c r="U27" s="2"/>
    </row>
    <row r="28" customFormat="false" ht="15" hidden="false" customHeight="false" outlineLevel="0" collapsed="false">
      <c r="B28" s="40" t="n">
        <v>45375</v>
      </c>
      <c r="C28" s="13" t="s">
        <v>376</v>
      </c>
      <c r="D28" s="41" t="n">
        <v>6.5</v>
      </c>
      <c r="E28" s="13" t="s">
        <v>361</v>
      </c>
      <c r="F28" s="18" t="n">
        <f aca="false">MATCH(E28,{"Misma locación","0.15 - 5 km","5 - 10 km","10+ km"},0)</f>
        <v>3</v>
      </c>
      <c r="G28" s="18" t="n">
        <f aca="false">MONTH(B28)</f>
        <v>3</v>
      </c>
      <c r="H28" s="18" t="n">
        <f aca="false">COUNTIF($G$8:G28,G28)</f>
        <v>6</v>
      </c>
      <c r="I28" s="41" t="n">
        <v>21.75</v>
      </c>
      <c r="J28" s="42" t="n">
        <f aca="false">INDEX(Simulador!$C$39:$F$39,F28)</f>
        <v>24</v>
      </c>
      <c r="K28" s="43" t="n">
        <f aca="false">IF(I28="","",I28-J28)</f>
        <v>-2.25</v>
      </c>
      <c r="L28" s="44" t="n">
        <f aca="false">INDEX(Simulador!$C$51:$F$51,F28)</f>
        <v>96184.8108108108</v>
      </c>
      <c r="M28" s="24" t="n">
        <f aca="false">IF(H28&gt;=Simulador!$C$19,INDEX(Simulador!$C$63:$F$63,F28),INDEX(Simulador!$C$62:$F$62,F28))</f>
        <v>69871.4321621622</v>
      </c>
      <c r="N28" s="24" t="n">
        <f aca="false">INDEX(Simulador!$C$64:$F$64,F28)</f>
        <v>138633.155135135</v>
      </c>
      <c r="O28" s="24" t="n">
        <f aca="false">IF(H28&gt;=Simulador!$C$19,INDEX(Simulador!$C$65:$F$65,F28),INDEX(Simulador!$C$64:$F$64,F28))</f>
        <v>88139.9289189189</v>
      </c>
      <c r="P28" s="24" t="n">
        <f aca="false">IF(H28&gt;=Simulador!$C$19,INDEX(Simulador!$C$67:$F$67,F28),INDEX(Simulador!$C$66:$F$66,F28))</f>
        <v>75215.6216216216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66595.4321621622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135357.155135135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84863.9289189189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71939.6216216216</v>
      </c>
      <c r="U28" s="2"/>
    </row>
    <row r="29" customFormat="false" ht="15" hidden="false" customHeight="false" outlineLevel="0" collapsed="false">
      <c r="B29" s="40" t="n">
        <v>45379</v>
      </c>
      <c r="C29" s="13" t="s">
        <v>377</v>
      </c>
      <c r="D29" s="41" t="n">
        <v>0.9</v>
      </c>
      <c r="E29" s="13" t="s">
        <v>349</v>
      </c>
      <c r="F29" s="18" t="n">
        <f aca="false">MATCH(E29,{"Misma locación","0.15 - 5 km","5 - 10 km","10+ km"},0)</f>
        <v>2</v>
      </c>
      <c r="G29" s="18" t="n">
        <f aca="false">MONTH(B29)</f>
        <v>3</v>
      </c>
      <c r="H29" s="18" t="n">
        <f aca="false">COUNTIF($G$8:G29,G29)</f>
        <v>7</v>
      </c>
      <c r="I29" s="41" t="n">
        <v>15.75</v>
      </c>
      <c r="J29" s="42" t="n">
        <f aca="false">INDEX(Simulador!$C$39:$F$39,F29)</f>
        <v>18</v>
      </c>
      <c r="K29" s="43" t="n">
        <f aca="false">IF(I29="","",I29-J29)</f>
        <v>-2.25</v>
      </c>
      <c r="L29" s="44" t="n">
        <f aca="false">INDEX(Simulador!$C$51:$F$51,F29)</f>
        <v>99473.8108108108</v>
      </c>
      <c r="M29" s="24" t="n">
        <f aca="false">IF(H29&gt;=Simulador!$C$19,INDEX(Simulador!$C$63:$F$63,F29),INDEX(Simulador!$C$62:$F$62,F29))</f>
        <v>58755.7140540541</v>
      </c>
      <c r="N29" s="24" t="n">
        <f aca="false">INDEX(Simulador!$C$64:$F$64,F29)</f>
        <v>111149.808108108</v>
      </c>
      <c r="O29" s="24" t="n">
        <f aca="false">IF(H29&gt;=Simulador!$C$19,INDEX(Simulador!$C$65:$F$65,F29),INDEX(Simulador!$C$64:$F$64,F29))</f>
        <v>70030.2554054054</v>
      </c>
      <c r="P29" s="24" t="n">
        <f aca="false">IF(H29&gt;=Simulador!$C$19,INDEX(Simulador!$C$67:$F$67,F29),INDEX(Simulador!$C$66:$F$66,F29))</f>
        <v>62202.5945945946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55479.7140540541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107873.808108108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66754.2554054054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58926.5945945946</v>
      </c>
      <c r="U29" s="2"/>
    </row>
    <row r="30" customFormat="false" ht="15" hidden="false" customHeight="false" outlineLevel="0" collapsed="false">
      <c r="B30" s="40" t="n">
        <v>45383</v>
      </c>
      <c r="C30" s="13" t="s">
        <v>378</v>
      </c>
      <c r="D30" s="41" t="n">
        <v>4.8</v>
      </c>
      <c r="E30" s="13" t="s">
        <v>349</v>
      </c>
      <c r="F30" s="18" t="n">
        <f aca="false">MATCH(E30,{"Misma locación","0.15 - 5 km","5 - 10 km","10+ km"},0)</f>
        <v>2</v>
      </c>
      <c r="G30" s="18" t="n">
        <f aca="false">MONTH(B30)</f>
        <v>4</v>
      </c>
      <c r="H30" s="18" t="n">
        <f aca="false">COUNTIF($G$8:G30,G30)</f>
        <v>1</v>
      </c>
      <c r="I30" s="41" t="n">
        <v>14</v>
      </c>
      <c r="J30" s="42" t="n">
        <f aca="false">INDEX(Simulador!$C$39:$F$39,F30)</f>
        <v>18</v>
      </c>
      <c r="K30" s="43" t="n">
        <f aca="false">IF(I30="","",I30-J30)</f>
        <v>-4</v>
      </c>
      <c r="L30" s="44" t="n">
        <f aca="false">INDEX(Simulador!$C$51:$F$51,F30)</f>
        <v>99473.8108108108</v>
      </c>
      <c r="M30" s="24" t="n">
        <f aca="false">IF(H30&gt;=Simulador!$C$19,INDEX(Simulador!$C$63:$F$63,F30),INDEX(Simulador!$C$62:$F$62,F30))</f>
        <v>88600.7254054054</v>
      </c>
      <c r="N30" s="24" t="n">
        <f aca="false">INDEX(Simulador!$C$64:$F$64,F30)</f>
        <v>111149.808108108</v>
      </c>
      <c r="O30" s="24" t="n">
        <f aca="false">IF(H30&gt;=Simulador!$C$19,INDEX(Simulador!$C$65:$F$65,F30),INDEX(Simulador!$C$64:$F$64,F30))</f>
        <v>111149.808108108</v>
      </c>
      <c r="P30" s="24" t="n">
        <f aca="false">IF(H30&gt;=Simulador!$C$19,INDEX(Simulador!$C$67:$F$67,F30),INDEX(Simulador!$C$66:$F$66,F30))</f>
        <v>85046.6491891892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82776.7254054054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105325.808108108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79222.6491891892</v>
      </c>
      <c r="U30" s="2"/>
    </row>
    <row r="31" customFormat="false" ht="15" hidden="false" customHeight="false" outlineLevel="0" collapsed="false">
      <c r="B31" s="40" t="n">
        <v>45386</v>
      </c>
      <c r="C31" s="13" t="s">
        <v>379</v>
      </c>
      <c r="D31" s="41" t="n">
        <v>5.1</v>
      </c>
      <c r="E31" s="13" t="s">
        <v>361</v>
      </c>
      <c r="F31" s="18" t="n">
        <f aca="false">MATCH(E31,{"Misma locación","0.15 - 5 km","5 - 10 km","10+ km"},0)</f>
        <v>3</v>
      </c>
      <c r="G31" s="18" t="n">
        <f aca="false">MONTH(B31)</f>
        <v>4</v>
      </c>
      <c r="H31" s="18" t="n">
        <f aca="false">COUNTIF($G$8:G31,G31)</f>
        <v>2</v>
      </c>
      <c r="I31" s="41" t="n">
        <v>13.75</v>
      </c>
      <c r="J31" s="42" t="n">
        <f aca="false">INDEX(Simulador!$C$39:$F$39,F31)</f>
        <v>24</v>
      </c>
      <c r="K31" s="43" t="n">
        <f aca="false">IF(I31="","",I31-J31)</f>
        <v>-10.25</v>
      </c>
      <c r="L31" s="44" t="n">
        <f aca="false">INDEX(Simulador!$C$51:$F$51,F31)</f>
        <v>96184.8108108108</v>
      </c>
      <c r="M31" s="24" t="n">
        <f aca="false">IF(H31&gt;=Simulador!$C$19,INDEX(Simulador!$C$63:$F$63,F31),INDEX(Simulador!$C$62:$F$62,F31))</f>
        <v>102096.161621622</v>
      </c>
      <c r="N31" s="24" t="n">
        <f aca="false">INDEX(Simulador!$C$64:$F$64,F31)</f>
        <v>138633.155135135</v>
      </c>
      <c r="O31" s="24" t="n">
        <f aca="false">IF(H31&gt;=Simulador!$C$19,INDEX(Simulador!$C$65:$F$65,F31),INDEX(Simulador!$C$64:$F$64,F31))</f>
        <v>138633.155135135</v>
      </c>
      <c r="P31" s="24" t="n">
        <f aca="false">IF(H31&gt;=Simulador!$C$19,INDEX(Simulador!$C$67:$F$67,F31),INDEX(Simulador!$C$66:$F$66,F31))</f>
        <v>104944.811351351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87172.1616216216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123709.155135135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90020.8113513514</v>
      </c>
      <c r="U31" s="2"/>
    </row>
    <row r="32" customFormat="false" ht="15" hidden="false" customHeight="false" outlineLevel="0" collapsed="false">
      <c r="B32" s="40" t="n">
        <v>45390</v>
      </c>
      <c r="C32" s="13" t="s">
        <v>380</v>
      </c>
      <c r="D32" s="41" t="n">
        <v>5.2</v>
      </c>
      <c r="E32" s="13" t="s">
        <v>361</v>
      </c>
      <c r="F32" s="18" t="n">
        <f aca="false">MATCH(E32,{"Misma locación","0.15 - 5 km","5 - 10 km","10+ km"},0)</f>
        <v>3</v>
      </c>
      <c r="G32" s="18" t="n">
        <f aca="false">MONTH(B32)</f>
        <v>4</v>
      </c>
      <c r="H32" s="18" t="n">
        <f aca="false">COUNTIF($G$8:G32,G32)</f>
        <v>3</v>
      </c>
      <c r="I32" s="41" t="n">
        <v>20.25</v>
      </c>
      <c r="J32" s="42" t="n">
        <f aca="false">INDEX(Simulador!$C$39:$F$39,F32)</f>
        <v>24</v>
      </c>
      <c r="K32" s="43" t="n">
        <f aca="false">IF(I32="","",I32-J32)</f>
        <v>-3.75</v>
      </c>
      <c r="L32" s="44" t="n">
        <f aca="false">INDEX(Simulador!$C$51:$F$51,F32)</f>
        <v>96184.8108108108</v>
      </c>
      <c r="M32" s="24" t="n">
        <f aca="false">IF(H32&gt;=Simulador!$C$19,INDEX(Simulador!$C$63:$F$63,F32),INDEX(Simulador!$C$62:$F$62,F32))</f>
        <v>102096.161621622</v>
      </c>
      <c r="N32" s="24" t="n">
        <f aca="false">INDEX(Simulador!$C$64:$F$64,F32)</f>
        <v>138633.155135135</v>
      </c>
      <c r="O32" s="24" t="n">
        <f aca="false">IF(H32&gt;=Simulador!$C$19,INDEX(Simulador!$C$65:$F$65,F32),INDEX(Simulador!$C$64:$F$64,F32))</f>
        <v>138633.155135135</v>
      </c>
      <c r="P32" s="24" t="n">
        <f aca="false">IF(H32&gt;=Simulador!$C$19,INDEX(Simulador!$C$67:$F$67,F32),INDEX(Simulador!$C$66:$F$66,F32))</f>
        <v>104944.811351351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96636.1616216216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133173.155135135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99484.8113513514</v>
      </c>
      <c r="U32" s="2"/>
    </row>
    <row r="33" customFormat="false" ht="15" hidden="false" customHeight="false" outlineLevel="0" collapsed="false">
      <c r="B33" s="40" t="n">
        <v>45393</v>
      </c>
      <c r="C33" s="13" t="s">
        <v>381</v>
      </c>
      <c r="D33" s="41" t="n">
        <v>0.6</v>
      </c>
      <c r="E33" s="13" t="s">
        <v>349</v>
      </c>
      <c r="F33" s="18" t="n">
        <f aca="false">MATCH(E33,{"Misma locación","0.15 - 5 km","5 - 10 km","10+ km"},0)</f>
        <v>2</v>
      </c>
      <c r="G33" s="18" t="n">
        <f aca="false">MONTH(B33)</f>
        <v>4</v>
      </c>
      <c r="H33" s="18" t="n">
        <f aca="false">COUNTIF($G$8:G33,G33)</f>
        <v>4</v>
      </c>
      <c r="I33" s="41" t="n">
        <v>17.25</v>
      </c>
      <c r="J33" s="42" t="n">
        <f aca="false">INDEX(Simulador!$C$39:$F$39,F33)</f>
        <v>18</v>
      </c>
      <c r="K33" s="43" t="n">
        <f aca="false">IF(I33="","",I33-J33)</f>
        <v>-0.75</v>
      </c>
      <c r="L33" s="44" t="n">
        <f aca="false">INDEX(Simulador!$C$51:$F$51,F33)</f>
        <v>99473.8108108108</v>
      </c>
      <c r="M33" s="24" t="n">
        <f aca="false">IF(H33&gt;=Simulador!$C$19,INDEX(Simulador!$C$63:$F$63,F33),INDEX(Simulador!$C$62:$F$62,F33))</f>
        <v>88600.7254054054</v>
      </c>
      <c r="N33" s="24" t="n">
        <f aca="false">INDEX(Simulador!$C$64:$F$64,F33)</f>
        <v>111149.808108108</v>
      </c>
      <c r="O33" s="24" t="n">
        <f aca="false">IF(H33&gt;=Simulador!$C$19,INDEX(Simulador!$C$65:$F$65,F33),INDEX(Simulador!$C$64:$F$64,F33))</f>
        <v>111149.808108108</v>
      </c>
      <c r="P33" s="24" t="n">
        <f aca="false">IF(H33&gt;=Simulador!$C$19,INDEX(Simulador!$C$67:$F$67,F33),INDEX(Simulador!$C$66:$F$66,F33))</f>
        <v>85046.6491891892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87508.7254054054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110057.808108108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83954.6491891892</v>
      </c>
      <c r="U33" s="2"/>
    </row>
    <row r="34" customFormat="false" ht="15" hidden="false" customHeight="false" outlineLevel="0" collapsed="false">
      <c r="B34" s="40" t="n">
        <v>45401</v>
      </c>
      <c r="C34" s="13" t="s">
        <v>382</v>
      </c>
      <c r="D34" s="41" t="n">
        <v>0.0448055985662208</v>
      </c>
      <c r="E34" s="13" t="s">
        <v>363</v>
      </c>
      <c r="F34" s="18" t="n">
        <f aca="false">MATCH(E34,{"Misma locación","0.15 - 5 km","5 - 10 km","10+ km"},0)</f>
        <v>1</v>
      </c>
      <c r="G34" s="18" t="n">
        <f aca="false">MONTH(B34)</f>
        <v>4</v>
      </c>
      <c r="H34" s="18" t="n">
        <f aca="false">COUNTIF($G$8:G34,G34)</f>
        <v>5</v>
      </c>
      <c r="I34" s="41" t="n">
        <v>14</v>
      </c>
      <c r="J34" s="42" t="n">
        <f aca="false">INDEX(Simulador!$C$39:$F$39,F34)</f>
        <v>12</v>
      </c>
      <c r="K34" s="43" t="n">
        <f aca="false">IF(I34="","",I34-J34)</f>
        <v>2</v>
      </c>
      <c r="L34" s="44" t="n">
        <f aca="false">INDEX(Simulador!$C$51:$F$51,F34)</f>
        <v>76047.4054054054</v>
      </c>
      <c r="M34" s="24" t="n">
        <f aca="false">IF(H34&gt;=Simulador!$C$19,INDEX(Simulador!$C$63:$F$63,F34),INDEX(Simulador!$C$62:$F$62,F34))</f>
        <v>58116.7137837838</v>
      </c>
      <c r="N34" s="24" t="n">
        <f aca="false">INDEX(Simulador!$C$64:$F$64,F34)</f>
        <v>68381.1581081081</v>
      </c>
      <c r="O34" s="24" t="n">
        <f aca="false">IF(H34&gt;=Simulador!$C$19,INDEX(Simulador!$C$65:$F$65,F34),INDEX(Simulador!$C$64:$F$64,F34))</f>
        <v>68381.1581081081</v>
      </c>
      <c r="P34" s="24" t="n">
        <f aca="false">IF(H34&gt;=Simulador!$C$19,INDEX(Simulador!$C$67:$F$67,F34),INDEX(Simulador!$C$66:$F$66,F34))</f>
        <v>58075.5140540541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63743.0381081081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74007.4824324324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63701.8383783784</v>
      </c>
      <c r="U34" s="2"/>
    </row>
    <row r="35" customFormat="false" ht="15" hidden="false" customHeight="false" outlineLevel="0" collapsed="false">
      <c r="B35" s="40" t="n">
        <v>45405</v>
      </c>
      <c r="C35" s="13" t="s">
        <v>383</v>
      </c>
      <c r="D35" s="41" t="n">
        <v>4.4</v>
      </c>
      <c r="E35" s="13" t="s">
        <v>349</v>
      </c>
      <c r="F35" s="18" t="n">
        <f aca="false">MATCH(E35,{"Misma locación","0.15 - 5 km","5 - 10 km","10+ km"},0)</f>
        <v>2</v>
      </c>
      <c r="G35" s="18" t="n">
        <f aca="false">MONTH(B35)</f>
        <v>4</v>
      </c>
      <c r="H35" s="18" t="n">
        <f aca="false">COUNTIF($G$8:G35,G35)</f>
        <v>6</v>
      </c>
      <c r="I35" s="41" t="n">
        <v>18.5</v>
      </c>
      <c r="J35" s="42" t="n">
        <f aca="false">INDEX(Simulador!$C$39:$F$39,F35)</f>
        <v>18</v>
      </c>
      <c r="K35" s="43" t="n">
        <f aca="false">IF(I35="","",I35-J35)</f>
        <v>0.5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58755.7140540541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70030.2554054054</v>
      </c>
      <c r="P35" s="24" t="n">
        <f aca="false">IF(H35&gt;=Simulador!$C$19,INDEX(Simulador!$C$67:$F$67,F35),INDEX(Simulador!$C$66:$F$66,F35))</f>
        <v>62202.5945945946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59483.7140540541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111877.808108108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70758.2554054054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62930.5945945946</v>
      </c>
      <c r="U35" s="2"/>
    </row>
    <row r="36" customFormat="false" ht="15" hidden="false" customHeight="false" outlineLevel="0" collapsed="false">
      <c r="B36" s="40" t="n">
        <v>45412</v>
      </c>
      <c r="C36" s="13" t="s">
        <v>384</v>
      </c>
      <c r="D36" s="41" t="n">
        <v>5.1</v>
      </c>
      <c r="E36" s="13" t="s">
        <v>361</v>
      </c>
      <c r="F36" s="18" t="n">
        <f aca="false">MATCH(E36,{"Misma locación","0.15 - 5 km","5 - 10 km","10+ km"},0)</f>
        <v>3</v>
      </c>
      <c r="G36" s="18" t="n">
        <f aca="false">MONTH(B36)</f>
        <v>4</v>
      </c>
      <c r="H36" s="18" t="n">
        <f aca="false">COUNTIF($G$8:G36,G36)</f>
        <v>7</v>
      </c>
      <c r="I36" s="41" t="n">
        <v>17</v>
      </c>
      <c r="J36" s="42" t="n">
        <f aca="false">INDEX(Simulador!$C$39:$F$39,F36)</f>
        <v>24</v>
      </c>
      <c r="K36" s="43" t="n">
        <f aca="false">IF(I36="","",I36-J36)</f>
        <v>-7</v>
      </c>
      <c r="L36" s="44" t="n">
        <f aca="false">INDEX(Simulador!$C$51:$F$51,F36)</f>
        <v>96184.8108108108</v>
      </c>
      <c r="M36" s="24" t="n">
        <f aca="false">IF(H36&gt;=Simulador!$C$19,INDEX(Simulador!$C$63:$F$63,F36),INDEX(Simulador!$C$62:$F$62,F36))</f>
        <v>69871.4321621622</v>
      </c>
      <c r="N36" s="24" t="n">
        <f aca="false">INDEX(Simulador!$C$64:$F$64,F36)</f>
        <v>138633.155135135</v>
      </c>
      <c r="O36" s="24" t="n">
        <f aca="false">IF(H36&gt;=Simulador!$C$19,INDEX(Simulador!$C$65:$F$65,F36),INDEX(Simulador!$C$64:$F$64,F36))</f>
        <v>88139.9289189189</v>
      </c>
      <c r="P36" s="24" t="n">
        <f aca="false">IF(H36&gt;=Simulador!$C$19,INDEX(Simulador!$C$67:$F$67,F36),INDEX(Simulador!$C$66:$F$66,F36))</f>
        <v>75215.6216216216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59679.4321621622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128441.155135135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77947.9289189189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65023.6216216216</v>
      </c>
      <c r="U36" s="2"/>
    </row>
    <row r="37" customFormat="false" ht="15" hidden="false" customHeight="false" outlineLevel="0" collapsed="false">
      <c r="B37" s="40" t="n">
        <v>45416</v>
      </c>
      <c r="C37" s="13" t="s">
        <v>385</v>
      </c>
      <c r="D37" s="41" t="n">
        <v>0.7</v>
      </c>
      <c r="E37" s="13" t="s">
        <v>349</v>
      </c>
      <c r="F37" s="18" t="n">
        <f aca="false">MATCH(E37,{"Misma locación","0.15 - 5 km","5 - 10 km","10+ km"},0)</f>
        <v>2</v>
      </c>
      <c r="G37" s="18" t="n">
        <f aca="false">MONTH(B37)</f>
        <v>5</v>
      </c>
      <c r="H37" s="18" t="n">
        <f aca="false">COUNTIF($G$8:G37,G37)</f>
        <v>1</v>
      </c>
      <c r="I37" s="41" t="n">
        <v>11.5</v>
      </c>
      <c r="J37" s="42" t="n">
        <f aca="false">INDEX(Simulador!$C$39:$F$39,F37)</f>
        <v>18</v>
      </c>
      <c r="K37" s="43" t="n">
        <f aca="false">IF(I37="","",I37-J37)</f>
        <v>-6.5</v>
      </c>
      <c r="L37" s="44" t="n">
        <f aca="false">INDEX(Simulador!$C$51:$F$51,F37)</f>
        <v>99473.8108108108</v>
      </c>
      <c r="M37" s="24" t="n">
        <f aca="false">IF(H37&gt;=Simulador!$C$19,INDEX(Simulador!$C$63:$F$63,F37),INDEX(Simulador!$C$62:$F$62,F37))</f>
        <v>88600.7254054054</v>
      </c>
      <c r="N37" s="24" t="n">
        <f aca="false">INDEX(Simulador!$C$64:$F$64,F37)</f>
        <v>111149.808108108</v>
      </c>
      <c r="O37" s="24" t="n">
        <f aca="false">IF(H37&gt;=Simulador!$C$19,INDEX(Simulador!$C$65:$F$65,F37),INDEX(Simulador!$C$64:$F$64,F37))</f>
        <v>111149.808108108</v>
      </c>
      <c r="P37" s="24" t="n">
        <f aca="false">IF(H37&gt;=Simulador!$C$19,INDEX(Simulador!$C$67:$F$67,F37),INDEX(Simulador!$C$66:$F$66,F37))</f>
        <v>85046.6491891892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79136.7254054054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101685.808108108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75582.6491891892</v>
      </c>
      <c r="U37" s="2"/>
    </row>
    <row r="38" customFormat="false" ht="15" hidden="false" customHeight="false" outlineLevel="0" collapsed="false">
      <c r="B38" s="40" t="n">
        <v>45420</v>
      </c>
      <c r="C38" s="13" t="s">
        <v>386</v>
      </c>
      <c r="D38" s="41" t="n">
        <v>0.03</v>
      </c>
      <c r="E38" s="13" t="s">
        <v>363</v>
      </c>
      <c r="F38" s="18" t="n">
        <f aca="false">MATCH(E38,{"Misma locación","0.15 - 5 km","5 - 10 km","10+ km"},0)</f>
        <v>1</v>
      </c>
      <c r="G38" s="18" t="n">
        <f aca="false">MONTH(B38)</f>
        <v>5</v>
      </c>
      <c r="H38" s="18" t="n">
        <f aca="false">COUNTIF($G$8:G38,G38)</f>
        <v>2</v>
      </c>
      <c r="I38" s="41" t="n">
        <v>17.5</v>
      </c>
      <c r="J38" s="42" t="n">
        <f aca="false">INDEX(Simulador!$C$39:$F$39,F38)</f>
        <v>12</v>
      </c>
      <c r="K38" s="43" t="n">
        <f aca="false">IF(I38="","",I38-J38)</f>
        <v>5.5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73589.1056756757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83853.55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73547.9059459459</v>
      </c>
      <c r="U38" s="2"/>
    </row>
    <row r="39" customFormat="false" ht="15" hidden="false" customHeight="false" outlineLevel="0" collapsed="false">
      <c r="B39" s="40" t="n">
        <v>45423</v>
      </c>
      <c r="C39" s="13" t="s">
        <v>387</v>
      </c>
      <c r="D39" s="41" t="n">
        <v>1.3</v>
      </c>
      <c r="E39" s="13" t="s">
        <v>349</v>
      </c>
      <c r="F39" s="18" t="n">
        <f aca="false">MATCH(E39,{"Misma locación","0.15 - 5 km","5 - 10 km","10+ km"},0)</f>
        <v>2</v>
      </c>
      <c r="G39" s="18" t="n">
        <f aca="false">MONTH(B39)</f>
        <v>5</v>
      </c>
      <c r="H39" s="18" t="n">
        <f aca="false">COUNTIF($G$8:G39,G39)</f>
        <v>3</v>
      </c>
      <c r="I39" s="41" t="n">
        <v>11</v>
      </c>
      <c r="J39" s="42" t="n">
        <f aca="false">INDEX(Simulador!$C$39:$F$39,F39)</f>
        <v>18</v>
      </c>
      <c r="K39" s="43" t="n">
        <f aca="false">IF(I39="","",I39-J39)</f>
        <v>-7</v>
      </c>
      <c r="L39" s="44" t="n">
        <f aca="false">INDEX(Simulador!$C$51:$F$51,F39)</f>
        <v>99473.8108108108</v>
      </c>
      <c r="M39" s="24" t="n">
        <f aca="false">IF(H39&gt;=Simulador!$C$19,INDEX(Simulador!$C$63:$F$63,F39),INDEX(Simulador!$C$62:$F$62,F39))</f>
        <v>88600.7254054054</v>
      </c>
      <c r="N39" s="24" t="n">
        <f aca="false">INDEX(Simulador!$C$64:$F$64,F39)</f>
        <v>111149.808108108</v>
      </c>
      <c r="O39" s="24" t="n">
        <f aca="false">IF(H39&gt;=Simulador!$C$19,INDEX(Simulador!$C$65:$F$65,F39),INDEX(Simulador!$C$64:$F$64,F39))</f>
        <v>111149.808108108</v>
      </c>
      <c r="P39" s="24" t="n">
        <f aca="false">IF(H39&gt;=Simulador!$C$19,INDEX(Simulador!$C$67:$F$67,F39),INDEX(Simulador!$C$66:$F$66,F39))</f>
        <v>85046.6491891892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78408.7254054054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100957.808108108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74854.6491891892</v>
      </c>
      <c r="U39" s="2"/>
    </row>
    <row r="40" customFormat="false" ht="15" hidden="false" customHeight="false" outlineLevel="0" collapsed="false">
      <c r="B40" s="40" t="n">
        <v>45427</v>
      </c>
      <c r="C40" s="13" t="s">
        <v>388</v>
      </c>
      <c r="D40" s="41" t="n">
        <v>0.0384047987710464</v>
      </c>
      <c r="E40" s="13" t="s">
        <v>363</v>
      </c>
      <c r="F40" s="18" t="n">
        <f aca="false">MATCH(E40,{"Misma locación","0.15 - 5 km","5 - 10 km","10+ km"},0)</f>
        <v>1</v>
      </c>
      <c r="G40" s="18" t="n">
        <f aca="false">MONTH(B40)</f>
        <v>5</v>
      </c>
      <c r="H40" s="18" t="n">
        <f aca="false">COUNTIF($G$8:G40,G40)</f>
        <v>4</v>
      </c>
      <c r="I40" s="41" t="n">
        <v>18.75</v>
      </c>
      <c r="J40" s="42" t="n">
        <f aca="false">INDEX(Simulador!$C$39:$F$39,F40)</f>
        <v>12</v>
      </c>
      <c r="K40" s="43" t="n">
        <f aca="false">IF(I40="","",I40-J40)</f>
        <v>6.75</v>
      </c>
      <c r="L40" s="44" t="n">
        <f aca="false">INDEX(Simulador!$C$51:$F$51,F40)</f>
        <v>76047.4054054054</v>
      </c>
      <c r="M40" s="24" t="n">
        <f aca="false">IF(H40&gt;=Simulador!$C$19,INDEX(Simulador!$C$63:$F$63,F40),INDEX(Simulador!$C$62:$F$62,F40))</f>
        <v>58116.7137837838</v>
      </c>
      <c r="N40" s="24" t="n">
        <f aca="false">INDEX(Simulador!$C$64:$F$64,F40)</f>
        <v>68381.1581081081</v>
      </c>
      <c r="O40" s="24" t="n">
        <f aca="false">IF(H40&gt;=Simulador!$C$19,INDEX(Simulador!$C$65:$F$65,F40),INDEX(Simulador!$C$64:$F$64,F40))</f>
        <v>68381.1581081081</v>
      </c>
      <c r="P40" s="24" t="n">
        <f aca="false">IF(H40&gt;=Simulador!$C$19,INDEX(Simulador!$C$67:$F$67,F40),INDEX(Simulador!$C$66:$F$66,F40))</f>
        <v>58075.5140540541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77105.5583783784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87370.0027027027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77064.3586486487</v>
      </c>
      <c r="U40" s="2"/>
    </row>
    <row r="41" customFormat="false" ht="15" hidden="false" customHeight="false" outlineLevel="0" collapsed="false">
      <c r="B41" s="40" t="n">
        <v>45433</v>
      </c>
      <c r="C41" s="13" t="s">
        <v>389</v>
      </c>
      <c r="D41" s="41" t="n">
        <v>6.3</v>
      </c>
      <c r="E41" s="13" t="s">
        <v>361</v>
      </c>
      <c r="F41" s="18" t="n">
        <f aca="false">MATCH(E41,{"Misma locación","0.15 - 5 km","5 - 10 km","10+ km"},0)</f>
        <v>3</v>
      </c>
      <c r="G41" s="18" t="n">
        <f aca="false">MONTH(B41)</f>
        <v>5</v>
      </c>
      <c r="H41" s="18" t="n">
        <f aca="false">COUNTIF($G$8:G41,G41)</f>
        <v>5</v>
      </c>
      <c r="I41" s="41" t="n">
        <v>11.5</v>
      </c>
      <c r="J41" s="42" t="n">
        <f aca="false">INDEX(Simulador!$C$39:$F$39,F41)</f>
        <v>24</v>
      </c>
      <c r="K41" s="43" t="n">
        <f aca="false">IF(I41="","",I41-J41)</f>
        <v>-12.5</v>
      </c>
      <c r="L41" s="44" t="n">
        <f aca="false">INDEX(Simulador!$C$51:$F$51,F41)</f>
        <v>96184.8108108108</v>
      </c>
      <c r="M41" s="24" t="n">
        <f aca="false">IF(H41&gt;=Simulador!$C$19,INDEX(Simulador!$C$63:$F$63,F41),INDEX(Simulador!$C$62:$F$62,F41))</f>
        <v>102096.161621622</v>
      </c>
      <c r="N41" s="24" t="n">
        <f aca="false">INDEX(Simulador!$C$64:$F$64,F41)</f>
        <v>138633.155135135</v>
      </c>
      <c r="O41" s="24" t="n">
        <f aca="false">IF(H41&gt;=Simulador!$C$19,INDEX(Simulador!$C$65:$F$65,F41),INDEX(Simulador!$C$64:$F$64,F41))</f>
        <v>138633.155135135</v>
      </c>
      <c r="P41" s="24" t="n">
        <f aca="false">IF(H41&gt;=Simulador!$C$19,INDEX(Simulador!$C$67:$F$67,F41),INDEX(Simulador!$C$66:$F$66,F41))</f>
        <v>104944.811351351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83896.1616216216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120433.155135135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86744.8113513514</v>
      </c>
      <c r="U41" s="2"/>
    </row>
    <row r="42" customFormat="false" ht="15" hidden="false" customHeight="false" outlineLevel="0" collapsed="false">
      <c r="B42" s="40" t="n">
        <v>45437</v>
      </c>
      <c r="C42" s="13" t="s">
        <v>390</v>
      </c>
      <c r="D42" s="41" t="n">
        <v>0.00640079979517441</v>
      </c>
      <c r="E42" s="13" t="s">
        <v>363</v>
      </c>
      <c r="F42" s="18" t="n">
        <f aca="false">MATCH(E42,{"Misma locación","0.15 - 5 km","5 - 10 km","10+ km"},0)</f>
        <v>1</v>
      </c>
      <c r="G42" s="18" t="n">
        <f aca="false">MONTH(B42)</f>
        <v>5</v>
      </c>
      <c r="H42" s="18" t="n">
        <f aca="false">COUNTIF($G$8:G42,G42)</f>
        <v>6</v>
      </c>
      <c r="I42" s="41" t="n">
        <v>12</v>
      </c>
      <c r="J42" s="42" t="n">
        <f aca="false">INDEX(Simulador!$C$39:$F$39,F42)</f>
        <v>12</v>
      </c>
      <c r="K42" s="43" t="n">
        <f aca="false">IF(I42="","",I42-J42)</f>
        <v>0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39145.7082432432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44277.9304054054</v>
      </c>
      <c r="P42" s="24" t="n">
        <f aca="false">IF(H42&gt;=Simulador!$C$19,INDEX(Simulador!$C$67:$F$67,F42),INDEX(Simulador!$C$66:$F$66,F42))</f>
        <v>53466.5945945946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39145.7082432432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68381.1581081081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44277.9304054054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53466.5945945946</v>
      </c>
      <c r="U42" s="2"/>
    </row>
    <row r="43" customFormat="false" ht="15" hidden="false" customHeight="false" outlineLevel="0" collapsed="false">
      <c r="B43" s="40" t="n">
        <v>45441</v>
      </c>
      <c r="C43" s="13" t="s">
        <v>391</v>
      </c>
      <c r="D43" s="41" t="n">
        <v>4.9</v>
      </c>
      <c r="E43" s="13" t="s">
        <v>349</v>
      </c>
      <c r="F43" s="18" t="n">
        <f aca="false">MATCH(E43,{"Misma locación","0.15 - 5 km","5 - 10 km","10+ km"},0)</f>
        <v>2</v>
      </c>
      <c r="G43" s="18" t="n">
        <f aca="false">MONTH(B43)</f>
        <v>5</v>
      </c>
      <c r="H43" s="18" t="n">
        <f aca="false">COUNTIF($G$8:G43,G43)</f>
        <v>7</v>
      </c>
      <c r="I43" s="41" t="n">
        <v>15.5</v>
      </c>
      <c r="J43" s="42" t="n">
        <f aca="false">INDEX(Simulador!$C$39:$F$39,F43)</f>
        <v>18</v>
      </c>
      <c r="K43" s="43" t="n">
        <f aca="false">IF(I43="","",I43-J43)</f>
        <v>-2.5</v>
      </c>
      <c r="L43" s="44" t="n">
        <f aca="false">INDEX(Simulador!$C$51:$F$51,F43)</f>
        <v>99473.8108108108</v>
      </c>
      <c r="M43" s="24" t="n">
        <f aca="false">IF(H43&gt;=Simulador!$C$19,INDEX(Simulador!$C$63:$F$63,F43),INDEX(Simulador!$C$62:$F$62,F43))</f>
        <v>58755.7140540541</v>
      </c>
      <c r="N43" s="24" t="n">
        <f aca="false">INDEX(Simulador!$C$64:$F$64,F43)</f>
        <v>111149.808108108</v>
      </c>
      <c r="O43" s="24" t="n">
        <f aca="false">IF(H43&gt;=Simulador!$C$19,INDEX(Simulador!$C$65:$F$65,F43),INDEX(Simulador!$C$64:$F$64,F43))</f>
        <v>70030.2554054054</v>
      </c>
      <c r="P43" s="24" t="n">
        <f aca="false">IF(H43&gt;=Simulador!$C$19,INDEX(Simulador!$C$67:$F$67,F43),INDEX(Simulador!$C$66:$F$66,F43))</f>
        <v>62202.5945945946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55115.7140540541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107509.808108108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66390.2554054054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58562.5945945946</v>
      </c>
      <c r="U43" s="2"/>
    </row>
    <row r="44" customFormat="false" ht="15" hidden="false" customHeight="false" outlineLevel="0" collapsed="false">
      <c r="B44" s="40" t="n">
        <v>45444</v>
      </c>
      <c r="C44" s="13" t="s">
        <v>392</v>
      </c>
      <c r="D44" s="41" t="n">
        <v>4.5</v>
      </c>
      <c r="E44" s="13" t="s">
        <v>349</v>
      </c>
      <c r="F44" s="18" t="n">
        <f aca="false">MATCH(E44,{"Misma locación","0.15 - 5 km","5 - 10 km","10+ km"},0)</f>
        <v>2</v>
      </c>
      <c r="G44" s="18" t="n">
        <f aca="false">MONTH(B44)</f>
        <v>6</v>
      </c>
      <c r="H44" s="18" t="n">
        <f aca="false">COUNTIF($G$8:G44,G44)</f>
        <v>1</v>
      </c>
      <c r="I44" s="41" t="n">
        <v>19.75</v>
      </c>
      <c r="J44" s="42" t="n">
        <f aca="false">INDEX(Simulador!$C$39:$F$39,F44)</f>
        <v>18</v>
      </c>
      <c r="K44" s="43" t="n">
        <f aca="false">IF(I44="","",I44-J44)</f>
        <v>1.75</v>
      </c>
      <c r="L44" s="44" t="n">
        <f aca="false">INDEX(Simulador!$C$51:$F$51,F44)</f>
        <v>99473.8108108108</v>
      </c>
      <c r="M44" s="24" t="n">
        <f aca="false">IF(H44&gt;=Simulador!$C$19,INDEX(Simulador!$C$63:$F$63,F44),INDEX(Simulador!$C$62:$F$62,F44))</f>
        <v>88600.7254054054</v>
      </c>
      <c r="N44" s="24" t="n">
        <f aca="false">INDEX(Simulador!$C$64:$F$64,F44)</f>
        <v>111149.808108108</v>
      </c>
      <c r="O44" s="24" t="n">
        <f aca="false">IF(H44&gt;=Simulador!$C$19,INDEX(Simulador!$C$65:$F$65,F44),INDEX(Simulador!$C$64:$F$64,F44))</f>
        <v>111149.808108108</v>
      </c>
      <c r="P44" s="24" t="n">
        <f aca="false">IF(H44&gt;=Simulador!$C$19,INDEX(Simulador!$C$67:$F$67,F44),INDEX(Simulador!$C$66:$F$66,F44))</f>
        <v>85046.6491891892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91148.7254054054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113697.808108108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87594.6491891892</v>
      </c>
      <c r="U44" s="2"/>
    </row>
    <row r="45" customFormat="false" ht="15" hidden="false" customHeight="false" outlineLevel="0" collapsed="false">
      <c r="B45" s="40" t="n">
        <v>45448</v>
      </c>
      <c r="C45" s="13" t="s">
        <v>393</v>
      </c>
      <c r="D45" s="41" t="n">
        <v>0.0609599980492801</v>
      </c>
      <c r="E45" s="13" t="s">
        <v>363</v>
      </c>
      <c r="F45" s="18" t="n">
        <f aca="false">MATCH(E45,{"Misma locación","0.15 - 5 km","5 - 10 km","10+ km"},0)</f>
        <v>1</v>
      </c>
      <c r="G45" s="18" t="n">
        <f aca="false">MONTH(B45)</f>
        <v>6</v>
      </c>
      <c r="H45" s="18" t="n">
        <f aca="false">COUNTIF($G$8:G45,G45)</f>
        <v>2</v>
      </c>
      <c r="I45" s="41" t="n">
        <v>12.5</v>
      </c>
      <c r="J45" s="42" t="n">
        <f aca="false">INDEX(Simulador!$C$39:$F$39,F45)</f>
        <v>12</v>
      </c>
      <c r="K45" s="43" t="n">
        <f aca="false">IF(I45="","",I45-J45)</f>
        <v>0.5</v>
      </c>
      <c r="L45" s="44" t="n">
        <f aca="false">INDEX(Simulador!$C$51:$F$51,F45)</f>
        <v>76047.4054054054</v>
      </c>
      <c r="M45" s="24" t="n">
        <f aca="false">IF(H45&gt;=Simulador!$C$19,INDEX(Simulador!$C$63:$F$63,F45),INDEX(Simulador!$C$62:$F$62,F45))</f>
        <v>58116.7137837838</v>
      </c>
      <c r="N45" s="24" t="n">
        <f aca="false">INDEX(Simulador!$C$64:$F$64,F45)</f>
        <v>68381.1581081081</v>
      </c>
      <c r="O45" s="24" t="n">
        <f aca="false">IF(H45&gt;=Simulador!$C$19,INDEX(Simulador!$C$65:$F$65,F45),INDEX(Simulador!$C$64:$F$64,F45))</f>
        <v>68381.1581081081</v>
      </c>
      <c r="P45" s="24" t="n">
        <f aca="false">IF(H45&gt;=Simulador!$C$19,INDEX(Simulador!$C$67:$F$67,F45),INDEX(Simulador!$C$66:$F$66,F45))</f>
        <v>58075.5140540541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59523.2948648649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69787.7391891892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59482.0951351351</v>
      </c>
      <c r="U45" s="2"/>
    </row>
    <row r="46" customFormat="false" ht="15" hidden="false" customHeight="false" outlineLevel="0" collapsed="false">
      <c r="B46" s="40" t="n">
        <v>45451</v>
      </c>
      <c r="C46" s="13" t="s">
        <v>394</v>
      </c>
      <c r="D46" s="41" t="n">
        <v>0.0609599980492801</v>
      </c>
      <c r="E46" s="13" t="s">
        <v>363</v>
      </c>
      <c r="F46" s="18" t="n">
        <f aca="false">MATCH(E46,{"Misma locación","0.15 - 5 km","5 - 10 km","10+ km"},0)</f>
        <v>1</v>
      </c>
      <c r="G46" s="18" t="n">
        <f aca="false">MONTH(B46)</f>
        <v>6</v>
      </c>
      <c r="H46" s="18" t="n">
        <f aca="false">COUNTIF($G$8:G46,G46)</f>
        <v>3</v>
      </c>
      <c r="I46" s="41" t="n">
        <v>11.25</v>
      </c>
      <c r="J46" s="42" t="n">
        <f aca="false">INDEX(Simulador!$C$39:$F$39,F46)</f>
        <v>12</v>
      </c>
      <c r="K46" s="43" t="n">
        <f aca="false">IF(I46="","",I46-J46)</f>
        <v>-0.75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57024.7137837838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67289.1581081081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56983.5140540541</v>
      </c>
      <c r="U46" s="2"/>
    </row>
    <row r="47" customFormat="false" ht="15" hidden="false" customHeight="false" outlineLevel="0" collapsed="false">
      <c r="B47" s="40" t="n">
        <v>45455</v>
      </c>
      <c r="C47" s="13" t="s">
        <v>395</v>
      </c>
      <c r="D47" s="41" t="n">
        <v>6.6</v>
      </c>
      <c r="E47" s="13" t="s">
        <v>361</v>
      </c>
      <c r="F47" s="18" t="n">
        <f aca="false">MATCH(E47,{"Misma locación","0.15 - 5 km","5 - 10 km","10+ km"},0)</f>
        <v>3</v>
      </c>
      <c r="G47" s="18" t="n">
        <f aca="false">MONTH(B47)</f>
        <v>6</v>
      </c>
      <c r="H47" s="18" t="n">
        <f aca="false">COUNTIF($G$8:G47,G47)</f>
        <v>4</v>
      </c>
      <c r="I47" s="41" t="n">
        <v>15.25</v>
      </c>
      <c r="J47" s="42" t="n">
        <f aca="false">INDEX(Simulador!$C$39:$F$39,F47)</f>
        <v>24</v>
      </c>
      <c r="K47" s="43" t="n">
        <f aca="false">IF(I47="","",I47-J47)</f>
        <v>-8.75</v>
      </c>
      <c r="L47" s="44" t="n">
        <f aca="false">INDEX(Simulador!$C$51:$F$51,F47)</f>
        <v>96184.8108108108</v>
      </c>
      <c r="M47" s="24" t="n">
        <f aca="false">IF(H47&gt;=Simulador!$C$19,INDEX(Simulador!$C$63:$F$63,F47),INDEX(Simulador!$C$62:$F$62,F47))</f>
        <v>102096.161621622</v>
      </c>
      <c r="N47" s="24" t="n">
        <f aca="false">INDEX(Simulador!$C$64:$F$64,F47)</f>
        <v>138633.155135135</v>
      </c>
      <c r="O47" s="24" t="n">
        <f aca="false">IF(H47&gt;=Simulador!$C$19,INDEX(Simulador!$C$65:$F$65,F47),INDEX(Simulador!$C$64:$F$64,F47))</f>
        <v>138633.155135135</v>
      </c>
      <c r="P47" s="24" t="n">
        <f aca="false">IF(H47&gt;=Simulador!$C$19,INDEX(Simulador!$C$67:$F$67,F47),INDEX(Simulador!$C$66:$F$66,F47))</f>
        <v>104944.811351351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89356.1616216216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125893.155135135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92204.8113513514</v>
      </c>
      <c r="U47" s="2"/>
    </row>
    <row r="48" customFormat="false" ht="15" hidden="false" customHeight="false" outlineLevel="0" collapsed="false">
      <c r="B48" s="40" t="n">
        <v>45459</v>
      </c>
      <c r="C48" s="13" t="s">
        <v>396</v>
      </c>
      <c r="D48" s="41" t="n">
        <v>3.9</v>
      </c>
      <c r="E48" s="13" t="s">
        <v>349</v>
      </c>
      <c r="F48" s="18" t="n">
        <f aca="false">MATCH(E48,{"Misma locación","0.15 - 5 km","5 - 10 km","10+ km"},0)</f>
        <v>2</v>
      </c>
      <c r="G48" s="18" t="n">
        <f aca="false">MONTH(B48)</f>
        <v>6</v>
      </c>
      <c r="H48" s="18" t="n">
        <f aca="false">COUNTIF($G$8:G48,G48)</f>
        <v>5</v>
      </c>
      <c r="I48" s="41" t="n">
        <v>14.5</v>
      </c>
      <c r="J48" s="42" t="n">
        <f aca="false">INDEX(Simulador!$C$39:$F$39,F48)</f>
        <v>18</v>
      </c>
      <c r="K48" s="43" t="n">
        <f aca="false">IF(I48="","",I48-J48)</f>
        <v>-3.5</v>
      </c>
      <c r="L48" s="44" t="n">
        <f aca="false">INDEX(Simulador!$C$51:$F$51,F48)</f>
        <v>99473.8108108108</v>
      </c>
      <c r="M48" s="24" t="n">
        <f aca="false">IF(H48&gt;=Simulador!$C$19,INDEX(Simulador!$C$63:$F$63,F48),INDEX(Simulador!$C$62:$F$62,F48))</f>
        <v>88600.7254054054</v>
      </c>
      <c r="N48" s="24" t="n">
        <f aca="false">INDEX(Simulador!$C$64:$F$64,F48)</f>
        <v>111149.808108108</v>
      </c>
      <c r="O48" s="24" t="n">
        <f aca="false">IF(H48&gt;=Simulador!$C$19,INDEX(Simulador!$C$65:$F$65,F48),INDEX(Simulador!$C$64:$F$64,F48))</f>
        <v>111149.808108108</v>
      </c>
      <c r="P48" s="24" t="n">
        <f aca="false">IF(H48&gt;=Simulador!$C$19,INDEX(Simulador!$C$67:$F$67,F48),INDEX(Simulador!$C$66:$F$66,F48))</f>
        <v>85046.6491891892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83504.7254054054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106053.808108108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79950.6491891892</v>
      </c>
      <c r="U48" s="2"/>
    </row>
    <row r="49" customFormat="false" ht="15" hidden="false" customHeight="false" outlineLevel="0" collapsed="false">
      <c r="B49" s="40" t="n">
        <v>45463</v>
      </c>
      <c r="C49" s="13" t="s">
        <v>397</v>
      </c>
      <c r="D49" s="41" t="n">
        <v>1.7</v>
      </c>
      <c r="E49" s="13" t="s">
        <v>349</v>
      </c>
      <c r="F49" s="18" t="n">
        <f aca="false">MATCH(E49,{"Misma locación","0.15 - 5 km","5 - 10 km","10+ km"},0)</f>
        <v>2</v>
      </c>
      <c r="G49" s="18" t="n">
        <f aca="false">MONTH(B49)</f>
        <v>6</v>
      </c>
      <c r="H49" s="18" t="n">
        <f aca="false">COUNTIF($G$8:G49,G49)</f>
        <v>6</v>
      </c>
      <c r="I49" s="41" t="n">
        <v>22.75</v>
      </c>
      <c r="J49" s="42" t="n">
        <f aca="false">INDEX(Simulador!$C$39:$F$39,F49)</f>
        <v>18</v>
      </c>
      <c r="K49" s="43" t="n">
        <f aca="false">IF(I49="","",I49-J49)</f>
        <v>4.75</v>
      </c>
      <c r="L49" s="44" t="n">
        <f aca="false">INDEX(Simulador!$C$51:$F$51,F49)</f>
        <v>99473.8108108108</v>
      </c>
      <c r="M49" s="24" t="n">
        <f aca="false">IF(H49&gt;=Simulador!$C$19,INDEX(Simulador!$C$63:$F$63,F49),INDEX(Simulador!$C$62:$F$62,F49))</f>
        <v>58755.7140540541</v>
      </c>
      <c r="N49" s="24" t="n">
        <f aca="false">INDEX(Simulador!$C$64:$F$64,F49)</f>
        <v>111149.808108108</v>
      </c>
      <c r="O49" s="24" t="n">
        <f aca="false">IF(H49&gt;=Simulador!$C$19,INDEX(Simulador!$C$65:$F$65,F49),INDEX(Simulador!$C$64:$F$64,F49))</f>
        <v>70030.2554054054</v>
      </c>
      <c r="P49" s="24" t="n">
        <f aca="false">IF(H49&gt;=Simulador!$C$19,INDEX(Simulador!$C$67:$F$67,F49),INDEX(Simulador!$C$66:$F$66,F49))</f>
        <v>62202.5945945946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65671.7140540541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118065.808108108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76946.2554054054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69118.5945945946</v>
      </c>
      <c r="U49" s="2"/>
    </row>
    <row r="50" customFormat="false" ht="15" hidden="false" customHeight="false" outlineLevel="0" collapsed="false">
      <c r="B50" s="40" t="n">
        <v>45466</v>
      </c>
      <c r="C50" s="13" t="s">
        <v>398</v>
      </c>
      <c r="D50" s="41" t="n">
        <v>0.00640079979517441</v>
      </c>
      <c r="E50" s="13" t="s">
        <v>363</v>
      </c>
      <c r="F50" s="18" t="n">
        <f aca="false">MATCH(E50,{"Misma locación","0.15 - 5 km","5 - 10 km","10+ km"},0)</f>
        <v>1</v>
      </c>
      <c r="G50" s="18" t="n">
        <f aca="false">MONTH(B50)</f>
        <v>6</v>
      </c>
      <c r="H50" s="18" t="n">
        <f aca="false">COUNTIF($G$8:G50,G50)</f>
        <v>7</v>
      </c>
      <c r="I50" s="41" t="n">
        <v>13.5</v>
      </c>
      <c r="J50" s="42" t="n">
        <f aca="false">INDEX(Simulador!$C$39:$F$39,F50)</f>
        <v>12</v>
      </c>
      <c r="K50" s="43" t="n">
        <f aca="false">IF(I50="","",I50-J50)</f>
        <v>1.5</v>
      </c>
      <c r="L50" s="44" t="n">
        <f aca="false">INDEX(Simulador!$C$51:$F$51,F50)</f>
        <v>76047.4054054054</v>
      </c>
      <c r="M50" s="24" t="n">
        <f aca="false">IF(H50&gt;=Simulador!$C$19,INDEX(Simulador!$C$63:$F$63,F50),INDEX(Simulador!$C$62:$F$62,F50))</f>
        <v>39145.7082432432</v>
      </c>
      <c r="N50" s="24" t="n">
        <f aca="false">INDEX(Simulador!$C$64:$F$64,F50)</f>
        <v>68381.1581081081</v>
      </c>
      <c r="O50" s="24" t="n">
        <f aca="false">IF(H50&gt;=Simulador!$C$19,INDEX(Simulador!$C$65:$F$65,F50),INDEX(Simulador!$C$64:$F$64,F50))</f>
        <v>44277.9304054054</v>
      </c>
      <c r="P50" s="24" t="n">
        <f aca="false">IF(H50&gt;=Simulador!$C$19,INDEX(Simulador!$C$67:$F$67,F50),INDEX(Simulador!$C$66:$F$66,F50))</f>
        <v>53466.5945945946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43365.4514864865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72600.9013513514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48497.6736486487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57686.3378378378</v>
      </c>
      <c r="U50" s="2"/>
    </row>
    <row r="51" customFormat="false" ht="15" hidden="false" customHeight="false" outlineLevel="0" collapsed="false">
      <c r="B51" s="40" t="n">
        <v>45470</v>
      </c>
      <c r="C51" s="13" t="s">
        <v>399</v>
      </c>
      <c r="D51" s="41" t="n">
        <v>3.5</v>
      </c>
      <c r="E51" s="13" t="s">
        <v>349</v>
      </c>
      <c r="F51" s="18" t="n">
        <f aca="false">MATCH(E51,{"Misma locación","0.15 - 5 km","5 - 10 km","10+ km"},0)</f>
        <v>2</v>
      </c>
      <c r="G51" s="18" t="n">
        <f aca="false">MONTH(B51)</f>
        <v>6</v>
      </c>
      <c r="H51" s="18" t="n">
        <f aca="false">COUNTIF($G$8:G51,G51)</f>
        <v>8</v>
      </c>
      <c r="I51" s="41" t="n">
        <v>17.25</v>
      </c>
      <c r="J51" s="42" t="n">
        <f aca="false">INDEX(Simulador!$C$39:$F$39,F51)</f>
        <v>18</v>
      </c>
      <c r="K51" s="43" t="n">
        <f aca="false">IF(I51="","",I51-J51)</f>
        <v>-0.75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58755.7140540541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70030.2554054054</v>
      </c>
      <c r="P51" s="24" t="n">
        <f aca="false">IF(H51&gt;=Simulador!$C$19,INDEX(Simulador!$C$67:$F$67,F51),INDEX(Simulador!$C$66:$F$66,F51))</f>
        <v>62202.5945945946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57663.7140540541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110057.808108108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68938.2554054054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61110.5945945946</v>
      </c>
      <c r="U51" s="2"/>
    </row>
    <row r="52" customFormat="false" ht="15" hidden="false" customHeight="false" outlineLevel="0" collapsed="false">
      <c r="B52" s="40" t="n">
        <v>45473</v>
      </c>
      <c r="C52" s="13" t="s">
        <v>400</v>
      </c>
      <c r="D52" s="41" t="n">
        <v>0.0124967996001024</v>
      </c>
      <c r="E52" s="13" t="s">
        <v>363</v>
      </c>
      <c r="F52" s="18" t="n">
        <f aca="false">MATCH(E52,{"Misma locación","0.15 - 5 km","5 - 10 km","10+ km"},0)</f>
        <v>1</v>
      </c>
      <c r="G52" s="18" t="n">
        <f aca="false">MONTH(B52)</f>
        <v>6</v>
      </c>
      <c r="H52" s="18" t="n">
        <f aca="false">COUNTIF($G$8:G52,G52)</f>
        <v>9</v>
      </c>
      <c r="I52" s="41" t="n">
        <v>11</v>
      </c>
      <c r="J52" s="42" t="n">
        <f aca="false">INDEX(Simulador!$C$39:$F$39,F52)</f>
        <v>12</v>
      </c>
      <c r="K52" s="43" t="n">
        <f aca="false">IF(I52="","",I52-J52)</f>
        <v>-1</v>
      </c>
      <c r="L52" s="44" t="n">
        <f aca="false">INDEX(Simulador!$C$51:$F$51,F52)</f>
        <v>76047.4054054054</v>
      </c>
      <c r="M52" s="24" t="n">
        <f aca="false">IF(H52&gt;=Simulador!$C$19,INDEX(Simulador!$C$63:$F$63,F52),INDEX(Simulador!$C$62:$F$62,F52))</f>
        <v>39145.7082432432</v>
      </c>
      <c r="N52" s="24" t="n">
        <f aca="false">INDEX(Simulador!$C$64:$F$64,F52)</f>
        <v>68381.1581081081</v>
      </c>
      <c r="O52" s="24" t="n">
        <f aca="false">IF(H52&gt;=Simulador!$C$19,INDEX(Simulador!$C$65:$F$65,F52),INDEX(Simulador!$C$64:$F$64,F52))</f>
        <v>44277.9304054054</v>
      </c>
      <c r="P52" s="24" t="n">
        <f aca="false">IF(H52&gt;=Simulador!$C$19,INDEX(Simulador!$C$67:$F$67,F52),INDEX(Simulador!$C$66:$F$66,F52))</f>
        <v>53466.5945945946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37689.7082432432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66925.1581081081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42821.9304054054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52010.5945945946</v>
      </c>
      <c r="U52" s="2"/>
    </row>
    <row r="53" customFormat="false" ht="15" hidden="false" customHeight="false" outlineLevel="0" collapsed="false">
      <c r="B53" s="40" t="n">
        <v>45476</v>
      </c>
      <c r="C53" s="13" t="s">
        <v>401</v>
      </c>
      <c r="D53" s="41" t="n">
        <v>0.6</v>
      </c>
      <c r="E53" s="13" t="s">
        <v>349</v>
      </c>
      <c r="F53" s="18" t="n">
        <f aca="false">MATCH(E53,{"Misma locación","0.15 - 5 km","5 - 10 km","10+ km"},0)</f>
        <v>2</v>
      </c>
      <c r="G53" s="18" t="n">
        <f aca="false">MONTH(B53)</f>
        <v>7</v>
      </c>
      <c r="H53" s="18" t="n">
        <f aca="false">COUNTIF($G$8:G53,G53)</f>
        <v>1</v>
      </c>
      <c r="I53" s="41" t="n">
        <v>17.5</v>
      </c>
      <c r="J53" s="42" t="n">
        <f aca="false">INDEX(Simulador!$C$39:$F$39,F53)</f>
        <v>18</v>
      </c>
      <c r="K53" s="43" t="n">
        <f aca="false">IF(I53="","",I53-J53)</f>
        <v>-0.5</v>
      </c>
      <c r="L53" s="44" t="n">
        <f aca="false">INDEX(Simulador!$C$51:$F$51,F53)</f>
        <v>99473.8108108108</v>
      </c>
      <c r="M53" s="24" t="n">
        <f aca="false">IF(H53&gt;=Simulador!$C$19,INDEX(Simulador!$C$63:$F$63,F53),INDEX(Simulador!$C$62:$F$62,F53))</f>
        <v>88600.7254054054</v>
      </c>
      <c r="N53" s="24" t="n">
        <f aca="false">INDEX(Simulador!$C$64:$F$64,F53)</f>
        <v>111149.808108108</v>
      </c>
      <c r="O53" s="24" t="n">
        <f aca="false">IF(H53&gt;=Simulador!$C$19,INDEX(Simulador!$C$65:$F$65,F53),INDEX(Simulador!$C$64:$F$64,F53))</f>
        <v>111149.808108108</v>
      </c>
      <c r="P53" s="24" t="n">
        <f aca="false">IF(H53&gt;=Simulador!$C$19,INDEX(Simulador!$C$67:$F$67,F53),INDEX(Simulador!$C$66:$F$66,F53))</f>
        <v>85046.6491891892</v>
      </c>
      <c r="Q53" s="24" t="n">
        <f aca="false">M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87872.7254054054</v>
      </c>
      <c r="R53" s="24" t="n">
        <f aca="false">N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S53" s="24" t="n">
        <f aca="false">O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110421.808108108</v>
      </c>
      <c r="T53" s="24" t="n">
        <f aca="false">P53+(IF(I53="",J53+INDEX(Simulador!$C$40:$F$40,F53),I53)-J53-INDEX(Simulador!$C$40:$F$40,F53))*Simulador!$C$9-INDEX(Simulador!$C$69:$F$69,F53)+IF(Simulador!$N$7="Sí",MAX(0,IF(I53="",J53+INDEX(Simulador!$C$40:$F$40,F53),I53)-INDEX(Simulador!$C$41:$F$41,F53))*(INDEX(Simulador!$C$68:$F$68,F53)+Simulador!$N$8)/Simulador!$C$7,0)</f>
        <v>84318.6491891892</v>
      </c>
      <c r="U53" s="2"/>
    </row>
    <row r="54" customFormat="false" ht="15" hidden="false" customHeight="false" outlineLevel="0" collapsed="false">
      <c r="B54" s="40" t="n">
        <v>45481</v>
      </c>
      <c r="C54" s="13" t="s">
        <v>402</v>
      </c>
      <c r="D54" s="41" t="n">
        <v>0.5</v>
      </c>
      <c r="E54" s="13" t="s">
        <v>349</v>
      </c>
      <c r="F54" s="18" t="n">
        <f aca="false">MATCH(E54,{"Misma locación","0.15 - 5 km","5 - 10 km","10+ km"},0)</f>
        <v>2</v>
      </c>
      <c r="G54" s="18" t="n">
        <f aca="false">MONTH(B54)</f>
        <v>7</v>
      </c>
      <c r="H54" s="18" t="n">
        <f aca="false">COUNTIF($G$8:G54,G54)</f>
        <v>2</v>
      </c>
      <c r="I54" s="41" t="n">
        <v>19.25</v>
      </c>
      <c r="J54" s="42" t="n">
        <f aca="false">INDEX(Simulador!$C$39:$F$39,F54)</f>
        <v>18</v>
      </c>
      <c r="K54" s="43" t="n">
        <f aca="false">IF(I54="","",I54-J54)</f>
        <v>1.25</v>
      </c>
      <c r="L54" s="44" t="n">
        <f aca="false">INDEX(Simulador!$C$51:$F$51,F54)</f>
        <v>99473.8108108108</v>
      </c>
      <c r="M54" s="24" t="n">
        <f aca="false">IF(H54&gt;=Simulador!$C$19,INDEX(Simulador!$C$63:$F$63,F54),INDEX(Simulador!$C$62:$F$62,F54))</f>
        <v>88600.7254054054</v>
      </c>
      <c r="N54" s="24" t="n">
        <f aca="false">INDEX(Simulador!$C$64:$F$64,F54)</f>
        <v>111149.808108108</v>
      </c>
      <c r="O54" s="24" t="n">
        <f aca="false">IF(H54&gt;=Simulador!$C$19,INDEX(Simulador!$C$65:$F$65,F54),INDEX(Simulador!$C$64:$F$64,F54))</f>
        <v>111149.808108108</v>
      </c>
      <c r="P54" s="24" t="n">
        <f aca="false">IF(H54&gt;=Simulador!$C$19,INDEX(Simulador!$C$67:$F$67,F54),INDEX(Simulador!$C$66:$F$66,F54))</f>
        <v>85046.6491891892</v>
      </c>
      <c r="Q54" s="24" t="n">
        <f aca="false">M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90420.7254054054</v>
      </c>
      <c r="R54" s="24" t="n">
        <f aca="false">N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S54" s="24" t="n">
        <f aca="false">O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112969.808108108</v>
      </c>
      <c r="T54" s="24" t="n">
        <f aca="false">P54+(IF(I54="",J54+INDEX(Simulador!$C$40:$F$40,F54),I54)-J54-INDEX(Simulador!$C$40:$F$40,F54))*Simulador!$C$9-INDEX(Simulador!$C$69:$F$69,F54)+IF(Simulador!$N$7="Sí",MAX(0,IF(I54="",J54+INDEX(Simulador!$C$40:$F$40,F54),I54)-INDEX(Simulador!$C$41:$F$41,F54))*(INDEX(Simulador!$C$68:$F$68,F54)+Simulador!$N$8)/Simulador!$C$7,0)</f>
        <v>86866.6491891892</v>
      </c>
      <c r="U54" s="2"/>
    </row>
    <row r="55" customFormat="false" ht="15" hidden="false" customHeight="false" outlineLevel="0" collapsed="false">
      <c r="B55" s="40" t="n">
        <v>45486</v>
      </c>
      <c r="C55" s="13" t="s">
        <v>403</v>
      </c>
      <c r="D55" s="41" t="n">
        <v>0.00640079979517441</v>
      </c>
      <c r="E55" s="13" t="s">
        <v>363</v>
      </c>
      <c r="F55" s="18" t="n">
        <f aca="false">MATCH(E55,{"Misma locación","0.15 - 5 km","5 - 10 km","10+ km"},0)</f>
        <v>1</v>
      </c>
      <c r="G55" s="18" t="n">
        <f aca="false">MONTH(B55)</f>
        <v>7</v>
      </c>
      <c r="H55" s="18" t="n">
        <f aca="false">COUNTIF($G$8:G55,G55)</f>
        <v>3</v>
      </c>
      <c r="I55" s="41" t="n">
        <v>9.25</v>
      </c>
      <c r="J55" s="42" t="n">
        <f aca="false">INDEX(Simulador!$C$39:$F$39,F55)</f>
        <v>12</v>
      </c>
      <c r="K55" s="43" t="n">
        <f aca="false">IF(I55="","",I55-J55)</f>
        <v>-2.75</v>
      </c>
      <c r="L55" s="44" t="n">
        <f aca="false">INDEX(Simulador!$C$51:$F$51,F55)</f>
        <v>76047.4054054054</v>
      </c>
      <c r="M55" s="24" t="n">
        <f aca="false">IF(H55&gt;=Simulador!$C$19,INDEX(Simulador!$C$63:$F$63,F55),INDEX(Simulador!$C$62:$F$62,F55))</f>
        <v>58116.7137837838</v>
      </c>
      <c r="N55" s="24" t="n">
        <f aca="false">INDEX(Simulador!$C$64:$F$64,F55)</f>
        <v>68381.1581081081</v>
      </c>
      <c r="O55" s="24" t="n">
        <f aca="false">IF(H55&gt;=Simulador!$C$19,INDEX(Simulador!$C$65:$F$65,F55),INDEX(Simulador!$C$64:$F$64,F55))</f>
        <v>68381.1581081081</v>
      </c>
      <c r="P55" s="24" t="n">
        <f aca="false">IF(H55&gt;=Simulador!$C$19,INDEX(Simulador!$C$67:$F$67,F55),INDEX(Simulador!$C$66:$F$66,F55))</f>
        <v>58075.5140540541</v>
      </c>
      <c r="Q55" s="24" t="n">
        <f aca="false">M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54112.7137837838</v>
      </c>
      <c r="R55" s="24" t="n">
        <f aca="false">N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S55" s="24" t="n">
        <f aca="false">O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64377.1581081081</v>
      </c>
      <c r="T55" s="24" t="n">
        <f aca="false">P55+(IF(I55="",J55+INDEX(Simulador!$C$40:$F$40,F55),I55)-J55-INDEX(Simulador!$C$40:$F$40,F55))*Simulador!$C$9-INDEX(Simulador!$C$69:$F$69,F55)+IF(Simulador!$N$7="Sí",MAX(0,IF(I55="",J55+INDEX(Simulador!$C$40:$F$40,F55),I55)-INDEX(Simulador!$C$41:$F$41,F55))*(INDEX(Simulador!$C$68:$F$68,F55)+Simulador!$N$8)/Simulador!$C$7,0)</f>
        <v>54071.5140540541</v>
      </c>
      <c r="U55" s="2"/>
    </row>
    <row r="56" customFormat="false" ht="15" hidden="false" customHeight="false" outlineLevel="0" collapsed="false">
      <c r="B56" s="40" t="n">
        <v>45490</v>
      </c>
      <c r="C56" s="13" t="s">
        <v>404</v>
      </c>
      <c r="D56" s="41" t="n">
        <v>4.5</v>
      </c>
      <c r="E56" s="13" t="s">
        <v>349</v>
      </c>
      <c r="F56" s="18" t="n">
        <f aca="false">MATCH(E56,{"Misma locación","0.15 - 5 km","5 - 10 km","10+ km"},0)</f>
        <v>2</v>
      </c>
      <c r="G56" s="18" t="n">
        <f aca="false">MONTH(B56)</f>
        <v>7</v>
      </c>
      <c r="H56" s="18" t="n">
        <f aca="false">COUNTIF($G$8:G56,G56)</f>
        <v>4</v>
      </c>
      <c r="I56" s="41" t="n">
        <v>15</v>
      </c>
      <c r="J56" s="42" t="n">
        <f aca="false">INDEX(Simulador!$C$39:$F$39,F56)</f>
        <v>18</v>
      </c>
      <c r="K56" s="43" t="n">
        <f aca="false">IF(I56="","",I56-J56)</f>
        <v>-3</v>
      </c>
      <c r="L56" s="44" t="n">
        <f aca="false">INDEX(Simulador!$C$51:$F$51,F56)</f>
        <v>99473.8108108108</v>
      </c>
      <c r="M56" s="24" t="n">
        <f aca="false">IF(H56&gt;=Simulador!$C$19,INDEX(Simulador!$C$63:$F$63,F56),INDEX(Simulador!$C$62:$F$62,F56))</f>
        <v>88600.7254054054</v>
      </c>
      <c r="N56" s="24" t="n">
        <f aca="false">INDEX(Simulador!$C$64:$F$64,F56)</f>
        <v>111149.808108108</v>
      </c>
      <c r="O56" s="24" t="n">
        <f aca="false">IF(H56&gt;=Simulador!$C$19,INDEX(Simulador!$C$65:$F$65,F56),INDEX(Simulador!$C$64:$F$64,F56))</f>
        <v>111149.808108108</v>
      </c>
      <c r="P56" s="24" t="n">
        <f aca="false">IF(H56&gt;=Simulador!$C$19,INDEX(Simulador!$C$67:$F$67,F56),INDEX(Simulador!$C$66:$F$66,F56))</f>
        <v>85046.6491891892</v>
      </c>
      <c r="Q56" s="24" t="n">
        <f aca="false">M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84232.7254054054</v>
      </c>
      <c r="R56" s="24" t="n">
        <f aca="false">N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S56" s="24" t="n">
        <f aca="false">O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106781.808108108</v>
      </c>
      <c r="T56" s="24" t="n">
        <f aca="false">P56+(IF(I56="",J56+INDEX(Simulador!$C$40:$F$40,F56),I56)-J56-INDEX(Simulador!$C$40:$F$40,F56))*Simulador!$C$9-INDEX(Simulador!$C$69:$F$69,F56)+IF(Simulador!$N$7="Sí",MAX(0,IF(I56="",J56+INDEX(Simulador!$C$40:$F$40,F56),I56)-INDEX(Simulador!$C$41:$F$41,F56))*(INDEX(Simulador!$C$68:$F$68,F56)+Simulador!$N$8)/Simulador!$C$7,0)</f>
        <v>80678.6491891892</v>
      </c>
      <c r="U56" s="2"/>
    </row>
    <row r="57" customFormat="false" ht="15" hidden="false" customHeight="false" outlineLevel="0" collapsed="false">
      <c r="B57" s="40" t="n">
        <v>45493</v>
      </c>
      <c r="C57" s="13" t="s">
        <v>405</v>
      </c>
      <c r="D57" s="41" t="n">
        <v>11.4</v>
      </c>
      <c r="E57" s="13" t="s">
        <v>346</v>
      </c>
      <c r="F57" s="18" t="n">
        <f aca="false">MATCH(E57,{"Misma locación","0.15 - 5 km","5 - 10 km","10+ km"},0)</f>
        <v>4</v>
      </c>
      <c r="G57" s="18" t="n">
        <f aca="false">MONTH(B57)</f>
        <v>7</v>
      </c>
      <c r="H57" s="18" t="n">
        <f aca="false">COUNTIF($G$8:G57,G57)</f>
        <v>5</v>
      </c>
      <c r="I57" s="41" t="n">
        <v>17.75</v>
      </c>
      <c r="J57" s="42" t="n">
        <f aca="false">INDEX(Simulador!$C$39:$F$39,F57)</f>
        <v>28</v>
      </c>
      <c r="K57" s="43" t="n">
        <f aca="false">IF(I57="","",I57-J57)</f>
        <v>-10.25</v>
      </c>
      <c r="L57" s="44" t="n">
        <f aca="false">INDEX(Simulador!$C$51:$F$51,F57)</f>
        <v>110984.810810811</v>
      </c>
      <c r="M57" s="24" t="n">
        <f aca="false">IF(H57&gt;=Simulador!$C$19,INDEX(Simulador!$C$63:$F$63,F57),INDEX(Simulador!$C$62:$F$62,F57))</f>
        <v>110082.323783784</v>
      </c>
      <c r="N57" s="24" t="n">
        <f aca="false">INDEX(Simulador!$C$64:$F$64,F57)</f>
        <v>155579.061621622</v>
      </c>
      <c r="O57" s="24" t="n">
        <f aca="false">IF(H57&gt;=Simulador!$C$19,INDEX(Simulador!$C$65:$F$65,F57),INDEX(Simulador!$C$64:$F$64,F57))</f>
        <v>155579.061621622</v>
      </c>
      <c r="P57" s="24" t="n">
        <f aca="false">IF(H57&gt;=Simulador!$C$19,INDEX(Simulador!$C$67:$F$67,F57),INDEX(Simulador!$C$66:$F$66,F57))</f>
        <v>111865.297837838</v>
      </c>
      <c r="Q57" s="24" t="n">
        <f aca="false">M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95158.3237837838</v>
      </c>
      <c r="R57" s="24" t="n">
        <f aca="false">N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S57" s="24" t="n">
        <f aca="false">O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140655.061621622</v>
      </c>
      <c r="T57" s="24" t="n">
        <f aca="false">P57+(IF(I57="",J57+INDEX(Simulador!$C$40:$F$40,F57),I57)-J57-INDEX(Simulador!$C$40:$F$40,F57))*Simulador!$C$9-INDEX(Simulador!$C$69:$F$69,F57)+IF(Simulador!$N$7="Sí",MAX(0,IF(I57="",J57+INDEX(Simulador!$C$40:$F$40,F57),I57)-INDEX(Simulador!$C$41:$F$41,F57))*(INDEX(Simulador!$C$68:$F$68,F57)+Simulador!$N$8)/Simulador!$C$7,0)</f>
        <v>96941.2978378379</v>
      </c>
      <c r="U57" s="2"/>
    </row>
    <row r="58" customFormat="false" ht="15" hidden="false" customHeight="false" outlineLevel="0" collapsed="false">
      <c r="B58" s="40" t="n">
        <v>45496</v>
      </c>
      <c r="C58" s="13" t="s">
        <v>406</v>
      </c>
      <c r="D58" s="41" t="n">
        <v>0.00640079979517441</v>
      </c>
      <c r="E58" s="13" t="s">
        <v>363</v>
      </c>
      <c r="F58" s="18" t="n">
        <f aca="false">MATCH(E58,{"Misma locación","0.15 - 5 km","5 - 10 km","10+ km"},0)</f>
        <v>1</v>
      </c>
      <c r="G58" s="18" t="n">
        <f aca="false">MONTH(B58)</f>
        <v>7</v>
      </c>
      <c r="H58" s="18" t="n">
        <f aca="false">COUNTIF($G$8:G58,G58)</f>
        <v>6</v>
      </c>
      <c r="I58" s="41" t="n">
        <v>7.75</v>
      </c>
      <c r="J58" s="42" t="n">
        <f aca="false">INDEX(Simulador!$C$39:$F$39,F58)</f>
        <v>12</v>
      </c>
      <c r="K58" s="43" t="n">
        <f aca="false">IF(I58="","",I58-J58)</f>
        <v>-4.25</v>
      </c>
      <c r="L58" s="44" t="n">
        <f aca="false">INDEX(Simulador!$C$51:$F$51,F58)</f>
        <v>76047.4054054054</v>
      </c>
      <c r="M58" s="24" t="n">
        <f aca="false">IF(H58&gt;=Simulador!$C$19,INDEX(Simulador!$C$63:$F$63,F58),INDEX(Simulador!$C$62:$F$62,F58))</f>
        <v>39145.7082432432</v>
      </c>
      <c r="N58" s="24" t="n">
        <f aca="false">INDEX(Simulador!$C$64:$F$64,F58)</f>
        <v>68381.1581081081</v>
      </c>
      <c r="O58" s="24" t="n">
        <f aca="false">IF(H58&gt;=Simulador!$C$19,INDEX(Simulador!$C$65:$F$65,F58),INDEX(Simulador!$C$64:$F$64,F58))</f>
        <v>44277.9304054054</v>
      </c>
      <c r="P58" s="24" t="n">
        <f aca="false">IF(H58&gt;=Simulador!$C$19,INDEX(Simulador!$C$67:$F$67,F58),INDEX(Simulador!$C$66:$F$66,F58))</f>
        <v>53466.5945945946</v>
      </c>
      <c r="Q58" s="24" t="n">
        <f aca="false">M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32957.7082432432</v>
      </c>
      <c r="R58" s="24" t="n">
        <f aca="false">N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62193.1581081081</v>
      </c>
      <c r="S58" s="24" t="n">
        <f aca="false">O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38089.9304054054</v>
      </c>
      <c r="T58" s="24" t="n">
        <f aca="false">P58+(IF(I58="",J58+INDEX(Simulador!$C$40:$F$40,F58),I58)-J58-INDEX(Simulador!$C$40:$F$40,F58))*Simulador!$C$9-INDEX(Simulador!$C$69:$F$69,F58)+IF(Simulador!$N$7="Sí",MAX(0,IF(I58="",J58+INDEX(Simulador!$C$40:$F$40,F58),I58)-INDEX(Simulador!$C$41:$F$41,F58))*(INDEX(Simulador!$C$68:$F$68,F58)+Simulador!$N$8)/Simulador!$C$7,0)</f>
        <v>47278.5945945946</v>
      </c>
      <c r="U58" s="2"/>
    </row>
    <row r="59" customFormat="false" ht="15" hidden="false" customHeight="false" outlineLevel="0" collapsed="false">
      <c r="B59" s="40" t="n">
        <v>45499</v>
      </c>
      <c r="C59" s="13" t="s">
        <v>407</v>
      </c>
      <c r="D59" s="41" t="n">
        <v>12.75</v>
      </c>
      <c r="E59" s="13" t="s">
        <v>346</v>
      </c>
      <c r="F59" s="18" t="n">
        <f aca="false">MATCH(E59,{"Misma locación","0.15 - 5 km","5 - 10 km","10+ km"},0)</f>
        <v>4</v>
      </c>
      <c r="G59" s="18" t="n">
        <f aca="false">MONTH(B59)</f>
        <v>7</v>
      </c>
      <c r="H59" s="18" t="n">
        <f aca="false">COUNTIF($G$8:G59,G59)</f>
        <v>7</v>
      </c>
      <c r="I59" s="41" t="n">
        <v>4.6</v>
      </c>
      <c r="J59" s="42" t="n">
        <f aca="false">INDEX(Simulador!$C$39:$F$39,F59)</f>
        <v>28</v>
      </c>
      <c r="K59" s="43" t="n">
        <f aca="false">IF(I59="","",I59-J59)</f>
        <v>-23.4</v>
      </c>
      <c r="L59" s="44" t="n">
        <f aca="false">INDEX(Simulador!$C$51:$F$51,F59)</f>
        <v>110984.810810811</v>
      </c>
      <c r="M59" s="24" t="n">
        <f aca="false">IF(H59&gt;=Simulador!$C$19,INDEX(Simulador!$C$63:$F$63,F59),INDEX(Simulador!$C$62:$F$62,F59))</f>
        <v>76776.5132432433</v>
      </c>
      <c r="N59" s="24" t="n">
        <f aca="false">INDEX(Simulador!$C$64:$F$64,F59)</f>
        <v>155579.061621622</v>
      </c>
      <c r="O59" s="24" t="n">
        <f aca="false">IF(H59&gt;=Simulador!$C$19,INDEX(Simulador!$C$65:$F$65,F59),INDEX(Simulador!$C$64:$F$64,F59))</f>
        <v>99524.8821621622</v>
      </c>
      <c r="P59" s="24" t="n">
        <f aca="false">IF(H59&gt;=Simulador!$C$19,INDEX(Simulador!$C$67:$F$67,F59),INDEX(Simulador!$C$66:$F$66,F59))</f>
        <v>88620.7027027027</v>
      </c>
      <c r="Q59" s="24" t="n">
        <f aca="false">M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42706.1132432433</v>
      </c>
      <c r="R59" s="24" t="n">
        <f aca="false">N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121508.661621622</v>
      </c>
      <c r="S59" s="24" t="n">
        <f aca="false">O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65454.4821621622</v>
      </c>
      <c r="T59" s="24" t="n">
        <f aca="false">P59+(IF(I59="",J59+INDEX(Simulador!$C$40:$F$40,F59),I59)-J59-INDEX(Simulador!$C$40:$F$40,F59))*Simulador!$C$9-INDEX(Simulador!$C$69:$F$69,F59)+IF(Simulador!$N$7="Sí",MAX(0,IF(I59="",J59+INDEX(Simulador!$C$40:$F$40,F59),I59)-INDEX(Simulador!$C$41:$F$41,F59))*(INDEX(Simulador!$C$68:$F$68,F59)+Simulador!$N$8)/Simulador!$C$7,0)</f>
        <v>54550.3027027027</v>
      </c>
      <c r="U59" s="2"/>
    </row>
    <row r="60" customFormat="false" ht="15" hidden="false" customHeight="false" outlineLevel="0" collapsed="false">
      <c r="B60" s="40" t="n">
        <v>45524</v>
      </c>
      <c r="C60" s="13" t="s">
        <v>408</v>
      </c>
      <c r="D60" s="41" t="n">
        <v>12.6</v>
      </c>
      <c r="E60" s="13" t="s">
        <v>346</v>
      </c>
      <c r="F60" s="18" t="n">
        <f aca="false">MATCH(E60,{"Misma locación","0.15 - 5 km","5 - 10 km","10+ km"},0)</f>
        <v>4</v>
      </c>
      <c r="G60" s="18" t="n">
        <f aca="false">MONTH(B60)</f>
        <v>8</v>
      </c>
      <c r="H60" s="18" t="n">
        <f aca="false">COUNTIF($G$8:G60,G60)</f>
        <v>1</v>
      </c>
      <c r="I60" s="41" t="n">
        <v>24</v>
      </c>
      <c r="J60" s="42" t="n">
        <f aca="false">INDEX(Simulador!$C$39:$F$39,F60)</f>
        <v>28</v>
      </c>
      <c r="K60" s="43" t="n">
        <f aca="false">IF(I60="","",I60-J60)</f>
        <v>-4</v>
      </c>
      <c r="L60" s="44" t="n">
        <f aca="false">INDEX(Simulador!$C$51:$F$51,F60)</f>
        <v>110984.810810811</v>
      </c>
      <c r="M60" s="24" t="n">
        <f aca="false">IF(H60&gt;=Simulador!$C$19,INDEX(Simulador!$C$63:$F$63,F60),INDEX(Simulador!$C$62:$F$62,F60))</f>
        <v>110082.323783784</v>
      </c>
      <c r="N60" s="24" t="n">
        <f aca="false">INDEX(Simulador!$C$64:$F$64,F60)</f>
        <v>155579.061621622</v>
      </c>
      <c r="O60" s="24" t="n">
        <f aca="false">IF(H60&gt;=Simulador!$C$19,INDEX(Simulador!$C$65:$F$65,F60),INDEX(Simulador!$C$64:$F$64,F60))</f>
        <v>155579.061621622</v>
      </c>
      <c r="P60" s="24" t="n">
        <f aca="false">IF(H60&gt;=Simulador!$C$19,INDEX(Simulador!$C$67:$F$67,F60),INDEX(Simulador!$C$66:$F$66,F60))</f>
        <v>111865.297837838</v>
      </c>
      <c r="Q60" s="24" t="n">
        <f aca="false">M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104258.323783784</v>
      </c>
      <c r="R60" s="24" t="n">
        <f aca="false">N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S60" s="24" t="n">
        <f aca="false">O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149755.061621622</v>
      </c>
      <c r="T60" s="24" t="n">
        <f aca="false">P60+(IF(I60="",J60+INDEX(Simulador!$C$40:$F$40,F60),I60)-J60-INDEX(Simulador!$C$40:$F$40,F60))*Simulador!$C$9-INDEX(Simulador!$C$69:$F$69,F60)+IF(Simulador!$N$7="Sí",MAX(0,IF(I60="",J60+INDEX(Simulador!$C$40:$F$40,F60),I60)-INDEX(Simulador!$C$41:$F$41,F60))*(INDEX(Simulador!$C$68:$F$68,F60)+Simulador!$N$8)/Simulador!$C$7,0)</f>
        <v>106041.297837838</v>
      </c>
      <c r="U60" s="2"/>
    </row>
    <row r="61" customFormat="false" ht="15" hidden="false" customHeight="false" outlineLevel="0" collapsed="false">
      <c r="B61" s="40" t="n">
        <v>45528</v>
      </c>
      <c r="C61" s="13" t="s">
        <v>409</v>
      </c>
      <c r="D61" s="41" t="n">
        <v>0.039623998732032</v>
      </c>
      <c r="E61" s="13" t="s">
        <v>363</v>
      </c>
      <c r="F61" s="18" t="n">
        <f aca="false">MATCH(E61,{"Misma locación","0.15 - 5 km","5 - 10 km","10+ km"},0)</f>
        <v>1</v>
      </c>
      <c r="G61" s="18" t="n">
        <f aca="false">MONTH(B61)</f>
        <v>8</v>
      </c>
      <c r="H61" s="18" t="n">
        <f aca="false">COUNTIF($G$8:G61,G61)</f>
        <v>2</v>
      </c>
      <c r="I61" s="41" t="n">
        <v>14.25</v>
      </c>
      <c r="J61" s="42" t="n">
        <f aca="false">INDEX(Simulador!$C$39:$F$39,F61)</f>
        <v>12</v>
      </c>
      <c r="K61" s="43" t="n">
        <f aca="false">IF(I61="","",I61-J61)</f>
        <v>2.25</v>
      </c>
      <c r="L61" s="44" t="n">
        <f aca="false">INDEX(Simulador!$C$51:$F$51,F61)</f>
        <v>76047.4054054054</v>
      </c>
      <c r="M61" s="24" t="n">
        <f aca="false">IF(H61&gt;=Simulador!$C$19,INDEX(Simulador!$C$63:$F$63,F61),INDEX(Simulador!$C$62:$F$62,F61))</f>
        <v>58116.7137837838</v>
      </c>
      <c r="N61" s="24" t="n">
        <f aca="false">INDEX(Simulador!$C$64:$F$64,F61)</f>
        <v>68381.1581081081</v>
      </c>
      <c r="O61" s="24" t="n">
        <f aca="false">IF(H61&gt;=Simulador!$C$19,INDEX(Simulador!$C$65:$F$65,F61),INDEX(Simulador!$C$64:$F$64,F61))</f>
        <v>68381.1581081081</v>
      </c>
      <c r="P61" s="24" t="n">
        <f aca="false">IF(H61&gt;=Simulador!$C$19,INDEX(Simulador!$C$67:$F$67,F61),INDEX(Simulador!$C$66:$F$66,F61))</f>
        <v>58075.5140540541</v>
      </c>
      <c r="Q61" s="24" t="n">
        <f aca="false">M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64446.3286486487</v>
      </c>
      <c r="R61" s="24" t="n">
        <f aca="false">N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S61" s="24" t="n">
        <f aca="false">O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74710.772972973</v>
      </c>
      <c r="T61" s="24" t="n">
        <f aca="false">P61+(IF(I61="",J61+INDEX(Simulador!$C$40:$F$40,F61),I61)-J61-INDEX(Simulador!$C$40:$F$40,F61))*Simulador!$C$9-INDEX(Simulador!$C$69:$F$69,F61)+IF(Simulador!$N$7="Sí",MAX(0,IF(I61="",J61+INDEX(Simulador!$C$40:$F$40,F61),I61)-INDEX(Simulador!$C$41:$F$41,F61))*(INDEX(Simulador!$C$68:$F$68,F61)+Simulador!$N$8)/Simulador!$C$7,0)</f>
        <v>64405.1289189189</v>
      </c>
      <c r="U61" s="2"/>
    </row>
    <row r="62" customFormat="false" ht="15" hidden="false" customHeight="false" outlineLevel="0" collapsed="false">
      <c r="B62" s="40" t="n">
        <v>45535</v>
      </c>
      <c r="C62" s="13" t="s">
        <v>410</v>
      </c>
      <c r="D62" s="41" t="n">
        <v>9.1</v>
      </c>
      <c r="E62" s="13" t="s">
        <v>361</v>
      </c>
      <c r="F62" s="18" t="n">
        <f aca="false">MATCH(E62,{"Misma locación","0.15 - 5 km","5 - 10 km","10+ km"},0)</f>
        <v>3</v>
      </c>
      <c r="G62" s="18" t="n">
        <f aca="false">MONTH(B62)</f>
        <v>8</v>
      </c>
      <c r="H62" s="18" t="n">
        <f aca="false">COUNTIF($G$8:G62,G62)</f>
        <v>3</v>
      </c>
      <c r="I62" s="41" t="n">
        <v>15.75</v>
      </c>
      <c r="J62" s="42" t="n">
        <f aca="false">INDEX(Simulador!$C$39:$F$39,F62)</f>
        <v>24</v>
      </c>
      <c r="K62" s="43" t="n">
        <f aca="false">IF(I62="","",I62-J62)</f>
        <v>-8.25</v>
      </c>
      <c r="L62" s="44" t="n">
        <f aca="false">INDEX(Simulador!$C$51:$F$51,F62)</f>
        <v>96184.8108108108</v>
      </c>
      <c r="M62" s="24" t="n">
        <f aca="false">IF(H62&gt;=Simulador!$C$19,INDEX(Simulador!$C$63:$F$63,F62),INDEX(Simulador!$C$62:$F$62,F62))</f>
        <v>102096.161621622</v>
      </c>
      <c r="N62" s="24" t="n">
        <f aca="false">INDEX(Simulador!$C$64:$F$64,F62)</f>
        <v>138633.155135135</v>
      </c>
      <c r="O62" s="24" t="n">
        <f aca="false">IF(H62&gt;=Simulador!$C$19,INDEX(Simulador!$C$65:$F$65,F62),INDEX(Simulador!$C$64:$F$64,F62))</f>
        <v>138633.155135135</v>
      </c>
      <c r="P62" s="24" t="n">
        <f aca="false">IF(H62&gt;=Simulador!$C$19,INDEX(Simulador!$C$67:$F$67,F62),INDEX(Simulador!$C$66:$F$66,F62))</f>
        <v>104944.811351351</v>
      </c>
      <c r="Q62" s="24" t="n">
        <f aca="false">M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90084.1616216216</v>
      </c>
      <c r="R62" s="24" t="n">
        <f aca="false">N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S62" s="24" t="n">
        <f aca="false">O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126621.155135135</v>
      </c>
      <c r="T62" s="24" t="n">
        <f aca="false">P62+(IF(I62="",J62+INDEX(Simulador!$C$40:$F$40,F62),I62)-J62-INDEX(Simulador!$C$40:$F$40,F62))*Simulador!$C$9-INDEX(Simulador!$C$69:$F$69,F62)+IF(Simulador!$N$7="Sí",MAX(0,IF(I62="",J62+INDEX(Simulador!$C$40:$F$40,F62),I62)-INDEX(Simulador!$C$41:$F$41,F62))*(INDEX(Simulador!$C$68:$F$68,F62)+Simulador!$N$8)/Simulador!$C$7,0)</f>
        <v>92932.8113513514</v>
      </c>
      <c r="U62" s="2"/>
    </row>
    <row r="63" customFormat="false" ht="15" hidden="false" customHeight="false" outlineLevel="0" collapsed="false">
      <c r="B63" s="40" t="n">
        <v>45539</v>
      </c>
      <c r="C63" s="13" t="s">
        <v>411</v>
      </c>
      <c r="D63" s="41" t="n">
        <v>5.5</v>
      </c>
      <c r="E63" s="13" t="s">
        <v>361</v>
      </c>
      <c r="F63" s="18" t="n">
        <f aca="false">MATCH(E63,{"Misma locación","0.15 - 5 km","5 - 10 km","10+ km"},0)</f>
        <v>3</v>
      </c>
      <c r="G63" s="18" t="n">
        <f aca="false">MONTH(B63)</f>
        <v>9</v>
      </c>
      <c r="H63" s="18" t="n">
        <f aca="false">COUNTIF($G$8:G63,G63)</f>
        <v>1</v>
      </c>
      <c r="I63" s="41" t="n">
        <v>20</v>
      </c>
      <c r="J63" s="42" t="n">
        <f aca="false">INDEX(Simulador!$C$39:$F$39,F63)</f>
        <v>24</v>
      </c>
      <c r="K63" s="43" t="n">
        <f aca="false">IF(I63="","",I63-J63)</f>
        <v>-4</v>
      </c>
      <c r="L63" s="44" t="n">
        <f aca="false">INDEX(Simulador!$C$51:$F$51,F63)</f>
        <v>96184.8108108108</v>
      </c>
      <c r="M63" s="24" t="n">
        <f aca="false">IF(H63&gt;=Simulador!$C$19,INDEX(Simulador!$C$63:$F$63,F63),INDEX(Simulador!$C$62:$F$62,F63))</f>
        <v>102096.161621622</v>
      </c>
      <c r="N63" s="24" t="n">
        <f aca="false">INDEX(Simulador!$C$64:$F$64,F63)</f>
        <v>138633.155135135</v>
      </c>
      <c r="O63" s="24" t="n">
        <f aca="false">IF(H63&gt;=Simulador!$C$19,INDEX(Simulador!$C$65:$F$65,F63),INDEX(Simulador!$C$64:$F$64,F63))</f>
        <v>138633.155135135</v>
      </c>
      <c r="P63" s="24" t="n">
        <f aca="false">IF(H63&gt;=Simulador!$C$19,INDEX(Simulador!$C$67:$F$67,F63),INDEX(Simulador!$C$66:$F$66,F63))</f>
        <v>104944.811351351</v>
      </c>
      <c r="Q63" s="24" t="n">
        <f aca="false">M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96272.1616216216</v>
      </c>
      <c r="R63" s="24" t="n">
        <f aca="false">N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S63" s="24" t="n">
        <f aca="false">O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132809.155135135</v>
      </c>
      <c r="T63" s="24" t="n">
        <f aca="false">P63+(IF(I63="",J63+INDEX(Simulador!$C$40:$F$40,F63),I63)-J63-INDEX(Simulador!$C$40:$F$40,F63))*Simulador!$C$9-INDEX(Simulador!$C$69:$F$69,F63)+IF(Simulador!$N$7="Sí",MAX(0,IF(I63="",J63+INDEX(Simulador!$C$40:$F$40,F63),I63)-INDEX(Simulador!$C$41:$F$41,F63))*(INDEX(Simulador!$C$68:$F$68,F63)+Simulador!$N$8)/Simulador!$C$7,0)</f>
        <v>99120.8113513514</v>
      </c>
      <c r="U63" s="2"/>
    </row>
    <row r="64" customFormat="false" ht="15" hidden="false" customHeight="false" outlineLevel="0" collapsed="false">
      <c r="B64" s="40" t="n">
        <v>45544</v>
      </c>
      <c r="C64" s="13" t="s">
        <v>412</v>
      </c>
      <c r="D64" s="41" t="n">
        <v>7.7</v>
      </c>
      <c r="E64" s="13" t="s">
        <v>361</v>
      </c>
      <c r="F64" s="18" t="n">
        <f aca="false">MATCH(E64,{"Misma locación","0.15 - 5 km","5 - 10 km","10+ km"},0)</f>
        <v>3</v>
      </c>
      <c r="G64" s="18" t="n">
        <f aca="false">MONTH(B64)</f>
        <v>9</v>
      </c>
      <c r="H64" s="18" t="n">
        <f aca="false">COUNTIF($G$8:G64,G64)</f>
        <v>2</v>
      </c>
      <c r="I64" s="41" t="n">
        <v>15.25</v>
      </c>
      <c r="J64" s="42" t="n">
        <f aca="false">INDEX(Simulador!$C$39:$F$39,F64)</f>
        <v>24</v>
      </c>
      <c r="K64" s="43" t="n">
        <f aca="false">IF(I64="","",I64-J64)</f>
        <v>-8.75</v>
      </c>
      <c r="L64" s="44" t="n">
        <f aca="false">INDEX(Simulador!$C$51:$F$51,F64)</f>
        <v>96184.8108108108</v>
      </c>
      <c r="M64" s="24" t="n">
        <f aca="false">IF(H64&gt;=Simulador!$C$19,INDEX(Simulador!$C$63:$F$63,F64),INDEX(Simulador!$C$62:$F$62,F64))</f>
        <v>102096.161621622</v>
      </c>
      <c r="N64" s="24" t="n">
        <f aca="false">INDEX(Simulador!$C$64:$F$64,F64)</f>
        <v>138633.155135135</v>
      </c>
      <c r="O64" s="24" t="n">
        <f aca="false">IF(H64&gt;=Simulador!$C$19,INDEX(Simulador!$C$65:$F$65,F64),INDEX(Simulador!$C$64:$F$64,F64))</f>
        <v>138633.155135135</v>
      </c>
      <c r="P64" s="24" t="n">
        <f aca="false">IF(H64&gt;=Simulador!$C$19,INDEX(Simulador!$C$67:$F$67,F64),INDEX(Simulador!$C$66:$F$66,F64))</f>
        <v>104944.811351351</v>
      </c>
      <c r="Q64" s="24" t="n">
        <f aca="false">M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89356.1616216216</v>
      </c>
      <c r="R64" s="24" t="n">
        <f aca="false">N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S64" s="24" t="n">
        <f aca="false">O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125893.155135135</v>
      </c>
      <c r="T64" s="24" t="n">
        <f aca="false">P64+(IF(I64="",J64+INDEX(Simulador!$C$40:$F$40,F64),I64)-J64-INDEX(Simulador!$C$40:$F$40,F64))*Simulador!$C$9-INDEX(Simulador!$C$69:$F$69,F64)+IF(Simulador!$N$7="Sí",MAX(0,IF(I64="",J64+INDEX(Simulador!$C$40:$F$40,F64),I64)-INDEX(Simulador!$C$41:$F$41,F64))*(INDEX(Simulador!$C$68:$F$68,F64)+Simulador!$N$8)/Simulador!$C$7,0)</f>
        <v>92204.8113513514</v>
      </c>
      <c r="U64" s="2"/>
    </row>
    <row r="65" customFormat="false" ht="15" hidden="false" customHeight="false" outlineLevel="0" collapsed="false">
      <c r="B65" s="40" t="n">
        <v>45545</v>
      </c>
      <c r="C65" s="13" t="s">
        <v>413</v>
      </c>
      <c r="D65" s="41" t="n">
        <v>0.0448055985662208</v>
      </c>
      <c r="E65" s="13" t="s">
        <v>363</v>
      </c>
      <c r="F65" s="18" t="n">
        <f aca="false">MATCH(E65,{"Misma locación","0.15 - 5 km","5 - 10 km","10+ km"},0)</f>
        <v>1</v>
      </c>
      <c r="G65" s="18" t="n">
        <f aca="false">MONTH(B65)</f>
        <v>9</v>
      </c>
      <c r="H65" s="18" t="n">
        <f aca="false">COUNTIF($G$8:G65,G65)</f>
        <v>3</v>
      </c>
      <c r="I65" s="41" t="n">
        <v>16</v>
      </c>
      <c r="J65" s="42" t="n">
        <f aca="false">INDEX(Simulador!$C$39:$F$39,F65)</f>
        <v>12</v>
      </c>
      <c r="K65" s="43" t="n">
        <f aca="false">IF(I65="","",I65-J65)</f>
        <v>4</v>
      </c>
      <c r="L65" s="44" t="n">
        <f aca="false">INDEX(Simulador!$C$51:$F$51,F65)</f>
        <v>76047.4054054054</v>
      </c>
      <c r="M65" s="24" t="n">
        <f aca="false">IF(H65&gt;=Simulador!$C$19,INDEX(Simulador!$C$63:$F$63,F65),INDEX(Simulador!$C$62:$F$62,F65))</f>
        <v>58116.7137837838</v>
      </c>
      <c r="N65" s="24" t="n">
        <f aca="false">INDEX(Simulador!$C$64:$F$64,F65)</f>
        <v>68381.1581081081</v>
      </c>
      <c r="O65" s="24" t="n">
        <f aca="false">IF(H65&gt;=Simulador!$C$19,INDEX(Simulador!$C$65:$F$65,F65),INDEX(Simulador!$C$64:$F$64,F65))</f>
        <v>68381.1581081081</v>
      </c>
      <c r="P65" s="24" t="n">
        <f aca="false">IF(H65&gt;=Simulador!$C$19,INDEX(Simulador!$C$67:$F$67,F65),INDEX(Simulador!$C$66:$F$66,F65))</f>
        <v>58075.5140540541</v>
      </c>
      <c r="Q65" s="24" t="n">
        <f aca="false">M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69369.3624324324</v>
      </c>
      <c r="R65" s="24" t="n">
        <f aca="false">N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S65" s="24" t="n">
        <f aca="false">O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79633.8067567568</v>
      </c>
      <c r="T65" s="24" t="n">
        <f aca="false">P65+(IF(I65="",J65+INDEX(Simulador!$C$40:$F$40,F65),I65)-J65-INDEX(Simulador!$C$40:$F$40,F65))*Simulador!$C$9-INDEX(Simulador!$C$69:$F$69,F65)+IF(Simulador!$N$7="Sí",MAX(0,IF(I65="",J65+INDEX(Simulador!$C$40:$F$40,F65),I65)-INDEX(Simulador!$C$41:$F$41,F65))*(INDEX(Simulador!$C$68:$F$68,F65)+Simulador!$N$8)/Simulador!$C$7,0)</f>
        <v>69328.1627027027</v>
      </c>
      <c r="U65" s="2"/>
    </row>
    <row r="66" customFormat="false" ht="15" hidden="false" customHeight="false" outlineLevel="0" collapsed="false">
      <c r="B66" s="40" t="n">
        <v>45549</v>
      </c>
      <c r="C66" s="13" t="s">
        <v>414</v>
      </c>
      <c r="D66" s="41" t="n">
        <v>0.00640079979517441</v>
      </c>
      <c r="E66" s="13" t="s">
        <v>363</v>
      </c>
      <c r="F66" s="18" t="n">
        <f aca="false">MATCH(E66,{"Misma locación","0.15 - 5 km","5 - 10 km","10+ km"},0)</f>
        <v>1</v>
      </c>
      <c r="G66" s="18" t="n">
        <f aca="false">MONTH(B66)</f>
        <v>9</v>
      </c>
      <c r="H66" s="18" t="n">
        <f aca="false">COUNTIF($G$8:G66,G66)</f>
        <v>4</v>
      </c>
      <c r="I66" s="41" t="n">
        <v>10</v>
      </c>
      <c r="J66" s="42" t="n">
        <f aca="false">INDEX(Simulador!$C$39:$F$39,F66)</f>
        <v>12</v>
      </c>
      <c r="K66" s="43" t="n">
        <f aca="false">IF(I66="","",I66-J66)</f>
        <v>-2</v>
      </c>
      <c r="L66" s="44" t="n">
        <f aca="false">INDEX(Simulador!$C$51:$F$51,F66)</f>
        <v>76047.4054054054</v>
      </c>
      <c r="M66" s="24" t="n">
        <f aca="false">IF(H66&gt;=Simulador!$C$19,INDEX(Simulador!$C$63:$F$63,F66),INDEX(Simulador!$C$62:$F$62,F66))</f>
        <v>58116.7137837838</v>
      </c>
      <c r="N66" s="24" t="n">
        <f aca="false">INDEX(Simulador!$C$64:$F$64,F66)</f>
        <v>68381.1581081081</v>
      </c>
      <c r="O66" s="24" t="n">
        <f aca="false">IF(H66&gt;=Simulador!$C$19,INDEX(Simulador!$C$65:$F$65,F66),INDEX(Simulador!$C$64:$F$64,F66))</f>
        <v>68381.1581081081</v>
      </c>
      <c r="P66" s="24" t="n">
        <f aca="false">IF(H66&gt;=Simulador!$C$19,INDEX(Simulador!$C$67:$F$67,F66),INDEX(Simulador!$C$66:$F$66,F66))</f>
        <v>58075.5140540541</v>
      </c>
      <c r="Q66" s="24" t="n">
        <f aca="false">M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55204.7137837838</v>
      </c>
      <c r="R66" s="24" t="n">
        <f aca="false">N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S66" s="24" t="n">
        <f aca="false">O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65469.1581081081</v>
      </c>
      <c r="T66" s="24" t="n">
        <f aca="false">P66+(IF(I66="",J66+INDEX(Simulador!$C$40:$F$40,F66),I66)-J66-INDEX(Simulador!$C$40:$F$40,F66))*Simulador!$C$9-INDEX(Simulador!$C$69:$F$69,F66)+IF(Simulador!$N$7="Sí",MAX(0,IF(I66="",J66+INDEX(Simulador!$C$40:$F$40,F66),I66)-INDEX(Simulador!$C$41:$F$41,F66))*(INDEX(Simulador!$C$68:$F$68,F66)+Simulador!$N$8)/Simulador!$C$7,0)</f>
        <v>55163.5140540541</v>
      </c>
      <c r="U66" s="2"/>
    </row>
    <row r="67" customFormat="false" ht="15" hidden="false" customHeight="false" outlineLevel="0" collapsed="false">
      <c r="B67" s="40" t="n">
        <v>45553</v>
      </c>
      <c r="C67" s="13" t="s">
        <v>415</v>
      </c>
      <c r="D67" s="41" t="n">
        <v>3.2</v>
      </c>
      <c r="E67" s="13" t="s">
        <v>349</v>
      </c>
      <c r="F67" s="18" t="n">
        <f aca="false">MATCH(E67,{"Misma locación","0.15 - 5 km","5 - 10 km","10+ km"},0)</f>
        <v>2</v>
      </c>
      <c r="G67" s="18" t="n">
        <f aca="false">MONTH(B67)</f>
        <v>9</v>
      </c>
      <c r="H67" s="18" t="n">
        <f aca="false">COUNTIF($G$8:G67,G67)</f>
        <v>5</v>
      </c>
      <c r="I67" s="41" t="n">
        <v>21.25</v>
      </c>
      <c r="J67" s="42" t="n">
        <f aca="false">INDEX(Simulador!$C$39:$F$39,F67)</f>
        <v>18</v>
      </c>
      <c r="K67" s="43" t="n">
        <f aca="false">IF(I67="","",I67-J67)</f>
        <v>3.25</v>
      </c>
      <c r="L67" s="44" t="n">
        <f aca="false">INDEX(Simulador!$C$51:$F$51,F67)</f>
        <v>99473.8108108108</v>
      </c>
      <c r="M67" s="24" t="n">
        <f aca="false">IF(H67&gt;=Simulador!$C$19,INDEX(Simulador!$C$63:$F$63,F67),INDEX(Simulador!$C$62:$F$62,F67))</f>
        <v>88600.7254054054</v>
      </c>
      <c r="N67" s="24" t="n">
        <f aca="false">INDEX(Simulador!$C$64:$F$64,F67)</f>
        <v>111149.808108108</v>
      </c>
      <c r="O67" s="24" t="n">
        <f aca="false">IF(H67&gt;=Simulador!$C$19,INDEX(Simulador!$C$65:$F$65,F67),INDEX(Simulador!$C$64:$F$64,F67))</f>
        <v>111149.808108108</v>
      </c>
      <c r="P67" s="24" t="n">
        <f aca="false">IF(H67&gt;=Simulador!$C$19,INDEX(Simulador!$C$67:$F$67,F67),INDEX(Simulador!$C$66:$F$66,F67))</f>
        <v>85046.6491891892</v>
      </c>
      <c r="Q67" s="24" t="n">
        <f aca="false">M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93332.7254054054</v>
      </c>
      <c r="R67" s="24" t="n">
        <f aca="false">N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S67" s="24" t="n">
        <f aca="false">O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115881.808108108</v>
      </c>
      <c r="T67" s="24" t="n">
        <f aca="false">P67+(IF(I67="",J67+INDEX(Simulador!$C$40:$F$40,F67),I67)-J67-INDEX(Simulador!$C$40:$F$40,F67))*Simulador!$C$9-INDEX(Simulador!$C$69:$F$69,F67)+IF(Simulador!$N$7="Sí",MAX(0,IF(I67="",J67+INDEX(Simulador!$C$40:$F$40,F67),I67)-INDEX(Simulador!$C$41:$F$41,F67))*(INDEX(Simulador!$C$68:$F$68,F67)+Simulador!$N$8)/Simulador!$C$7,0)</f>
        <v>89778.6491891892</v>
      </c>
      <c r="U67" s="2"/>
    </row>
    <row r="68" customFormat="false" ht="15" hidden="false" customHeight="false" outlineLevel="0" collapsed="false">
      <c r="B68" s="40" t="n">
        <v>45560</v>
      </c>
      <c r="C68" s="13" t="s">
        <v>416</v>
      </c>
      <c r="D68" s="41" t="n">
        <v>1.2</v>
      </c>
      <c r="E68" s="13" t="s">
        <v>349</v>
      </c>
      <c r="F68" s="18" t="n">
        <f aca="false">MATCH(E68,{"Misma locación","0.15 - 5 km","5 - 10 km","10+ km"},0)</f>
        <v>2</v>
      </c>
      <c r="G68" s="18" t="n">
        <f aca="false">MONTH(B68)</f>
        <v>9</v>
      </c>
      <c r="H68" s="18" t="n">
        <f aca="false">COUNTIF($G$8:G68,G68)</f>
        <v>6</v>
      </c>
      <c r="I68" s="41" t="n">
        <v>19.5</v>
      </c>
      <c r="J68" s="42" t="n">
        <f aca="false">INDEX(Simulador!$C$39:$F$39,F68)</f>
        <v>18</v>
      </c>
      <c r="K68" s="43" t="n">
        <f aca="false">IF(I68="","",I68-J68)</f>
        <v>1.5</v>
      </c>
      <c r="L68" s="44" t="n">
        <f aca="false">INDEX(Simulador!$C$51:$F$51,F68)</f>
        <v>99473.8108108108</v>
      </c>
      <c r="M68" s="24" t="n">
        <f aca="false">IF(H68&gt;=Simulador!$C$19,INDEX(Simulador!$C$63:$F$63,F68),INDEX(Simulador!$C$62:$F$62,F68))</f>
        <v>58755.7140540541</v>
      </c>
      <c r="N68" s="24" t="n">
        <f aca="false">INDEX(Simulador!$C$64:$F$64,F68)</f>
        <v>111149.808108108</v>
      </c>
      <c r="O68" s="24" t="n">
        <f aca="false">IF(H68&gt;=Simulador!$C$19,INDEX(Simulador!$C$65:$F$65,F68),INDEX(Simulador!$C$64:$F$64,F68))</f>
        <v>70030.2554054054</v>
      </c>
      <c r="P68" s="24" t="n">
        <f aca="false">IF(H68&gt;=Simulador!$C$19,INDEX(Simulador!$C$67:$F$67,F68),INDEX(Simulador!$C$66:$F$66,F68))</f>
        <v>62202.5945945946</v>
      </c>
      <c r="Q68" s="24" t="n">
        <f aca="false">M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60939.7140540541</v>
      </c>
      <c r="R68" s="24" t="n">
        <f aca="false">N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113333.808108108</v>
      </c>
      <c r="S68" s="24" t="n">
        <f aca="false">O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72214.2554054054</v>
      </c>
      <c r="T68" s="24" t="n">
        <f aca="false">P68+(IF(I68="",J68+INDEX(Simulador!$C$40:$F$40,F68),I68)-J68-INDEX(Simulador!$C$40:$F$40,F68))*Simulador!$C$9-INDEX(Simulador!$C$69:$F$69,F68)+IF(Simulador!$N$7="Sí",MAX(0,IF(I68="",J68+INDEX(Simulador!$C$40:$F$40,F68),I68)-INDEX(Simulador!$C$41:$F$41,F68))*(INDEX(Simulador!$C$68:$F$68,F68)+Simulador!$N$8)/Simulador!$C$7,0)</f>
        <v>64386.5945945946</v>
      </c>
      <c r="U68" s="2"/>
    </row>
    <row r="69" customFormat="false" ht="15" hidden="false" customHeight="false" outlineLevel="0" collapsed="false">
      <c r="B69" s="40" t="n">
        <v>45568</v>
      </c>
      <c r="C69" s="13" t="s">
        <v>417</v>
      </c>
      <c r="D69" s="41" t="n">
        <v>7.7</v>
      </c>
      <c r="E69" s="13" t="s">
        <v>361</v>
      </c>
      <c r="F69" s="18" t="n">
        <f aca="false">MATCH(E69,{"Misma locación","0.15 - 5 km","5 - 10 km","10+ km"},0)</f>
        <v>3</v>
      </c>
      <c r="G69" s="18" t="n">
        <f aca="false">MONTH(B69)</f>
        <v>10</v>
      </c>
      <c r="H69" s="18" t="n">
        <f aca="false">COUNTIF($G$8:G69,G69)</f>
        <v>1</v>
      </c>
      <c r="I69" s="41" t="n">
        <v>16</v>
      </c>
      <c r="J69" s="42" t="n">
        <f aca="false">INDEX(Simulador!$C$39:$F$39,F69)</f>
        <v>24</v>
      </c>
      <c r="K69" s="43" t="n">
        <f aca="false">IF(I69="","",I69-J69)</f>
        <v>-8</v>
      </c>
      <c r="L69" s="44" t="n">
        <f aca="false">INDEX(Simulador!$C$51:$F$51,F69)</f>
        <v>96184.8108108108</v>
      </c>
      <c r="M69" s="24" t="n">
        <f aca="false">IF(H69&gt;=Simulador!$C$19,INDEX(Simulador!$C$63:$F$63,F69),INDEX(Simulador!$C$62:$F$62,F69))</f>
        <v>102096.161621622</v>
      </c>
      <c r="N69" s="24" t="n">
        <f aca="false">INDEX(Simulador!$C$64:$F$64,F69)</f>
        <v>138633.155135135</v>
      </c>
      <c r="O69" s="24" t="n">
        <f aca="false">IF(H69&gt;=Simulador!$C$19,INDEX(Simulador!$C$65:$F$65,F69),INDEX(Simulador!$C$64:$F$64,F69))</f>
        <v>138633.155135135</v>
      </c>
      <c r="P69" s="24" t="n">
        <f aca="false">IF(H69&gt;=Simulador!$C$19,INDEX(Simulador!$C$67:$F$67,F69),INDEX(Simulador!$C$66:$F$66,F69))</f>
        <v>104944.811351351</v>
      </c>
      <c r="Q69" s="24" t="n">
        <f aca="false">M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90448.1616216216</v>
      </c>
      <c r="R69" s="24" t="n">
        <f aca="false">N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S69" s="24" t="n">
        <f aca="false">O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126985.155135135</v>
      </c>
      <c r="T69" s="24" t="n">
        <f aca="false">P69+(IF(I69="",J69+INDEX(Simulador!$C$40:$F$40,F69),I69)-J69-INDEX(Simulador!$C$40:$F$40,F69))*Simulador!$C$9-INDEX(Simulador!$C$69:$F$69,F69)+IF(Simulador!$N$7="Sí",MAX(0,IF(I69="",J69+INDEX(Simulador!$C$40:$F$40,F69),I69)-INDEX(Simulador!$C$41:$F$41,F69))*(INDEX(Simulador!$C$68:$F$68,F69)+Simulador!$N$8)/Simulador!$C$7,0)</f>
        <v>93296.8113513514</v>
      </c>
      <c r="U69" s="2"/>
    </row>
    <row r="70" customFormat="false" ht="15" hidden="false" customHeight="false" outlineLevel="0" collapsed="false">
      <c r="B70" s="40" t="n">
        <v>45572</v>
      </c>
      <c r="C70" s="13" t="s">
        <v>418</v>
      </c>
      <c r="D70" s="41" t="n">
        <v>0.025907999170944</v>
      </c>
      <c r="E70" s="13" t="s">
        <v>363</v>
      </c>
      <c r="F70" s="18" t="n">
        <f aca="false">MATCH(E70,{"Misma locación","0.15 - 5 km","5 - 10 km","10+ km"},0)</f>
        <v>1</v>
      </c>
      <c r="G70" s="18" t="n">
        <f aca="false">MONTH(B70)</f>
        <v>10</v>
      </c>
      <c r="H70" s="18" t="n">
        <f aca="false">COUNTIF($G$8:G70,G70)</f>
        <v>2</v>
      </c>
      <c r="I70" s="41" t="n">
        <v>13</v>
      </c>
      <c r="J70" s="42" t="n">
        <f aca="false">INDEX(Simulador!$C$39:$F$39,F70)</f>
        <v>12</v>
      </c>
      <c r="K70" s="43" t="n">
        <f aca="false">IF(I70="","",I70-J70)</f>
        <v>1</v>
      </c>
      <c r="L70" s="44" t="n">
        <f aca="false">INDEX(Simulador!$C$51:$F$51,F70)</f>
        <v>76047.4054054054</v>
      </c>
      <c r="M70" s="24" t="n">
        <f aca="false">IF(H70&gt;=Simulador!$C$19,INDEX(Simulador!$C$63:$F$63,F70),INDEX(Simulador!$C$62:$F$62,F70))</f>
        <v>58116.7137837838</v>
      </c>
      <c r="N70" s="24" t="n">
        <f aca="false">INDEX(Simulador!$C$64:$F$64,F70)</f>
        <v>68381.1581081081</v>
      </c>
      <c r="O70" s="24" t="n">
        <f aca="false">IF(H70&gt;=Simulador!$C$19,INDEX(Simulador!$C$65:$F$65,F70),INDEX(Simulador!$C$64:$F$64,F70))</f>
        <v>68381.1581081081</v>
      </c>
      <c r="P70" s="24" t="n">
        <f aca="false">IF(H70&gt;=Simulador!$C$19,INDEX(Simulador!$C$67:$F$67,F70),INDEX(Simulador!$C$66:$F$66,F70))</f>
        <v>58075.5140540541</v>
      </c>
      <c r="Q70" s="24" t="n">
        <f aca="false">M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60929.8759459459</v>
      </c>
      <c r="R70" s="24" t="n">
        <f aca="false">N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S70" s="24" t="n">
        <f aca="false">O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71194.3202702703</v>
      </c>
      <c r="T70" s="24" t="n">
        <f aca="false">P70+(IF(I70="",J70+INDEX(Simulador!$C$40:$F$40,F70),I70)-J70-INDEX(Simulador!$C$40:$F$40,F70))*Simulador!$C$9-INDEX(Simulador!$C$69:$F$69,F70)+IF(Simulador!$N$7="Sí",MAX(0,IF(I70="",J70+INDEX(Simulador!$C$40:$F$40,F70),I70)-INDEX(Simulador!$C$41:$F$41,F70))*(INDEX(Simulador!$C$68:$F$68,F70)+Simulador!$N$8)/Simulador!$C$7,0)</f>
        <v>60888.6762162162</v>
      </c>
      <c r="U70" s="2"/>
    </row>
    <row r="71" customFormat="false" ht="15" hidden="false" customHeight="false" outlineLevel="0" collapsed="false">
      <c r="B71" s="40" t="n">
        <v>45576</v>
      </c>
      <c r="C71" s="13" t="s">
        <v>419</v>
      </c>
      <c r="D71" s="41" t="n">
        <v>0.00640079979517441</v>
      </c>
      <c r="E71" s="13" t="s">
        <v>363</v>
      </c>
      <c r="F71" s="18" t="n">
        <f aca="false">MATCH(E71,{"Misma locación","0.15 - 5 km","5 - 10 km","10+ km"},0)</f>
        <v>1</v>
      </c>
      <c r="G71" s="18" t="n">
        <f aca="false">MONTH(B71)</f>
        <v>10</v>
      </c>
      <c r="H71" s="18" t="n">
        <f aca="false">COUNTIF($G$8:G71,G71)</f>
        <v>3</v>
      </c>
      <c r="I71" s="41" t="n">
        <v>10</v>
      </c>
      <c r="J71" s="42" t="n">
        <f aca="false">INDEX(Simulador!$C$39:$F$39,F71)</f>
        <v>12</v>
      </c>
      <c r="K71" s="43" t="n">
        <f aca="false">IF(I71="","",I71-J71)</f>
        <v>-2</v>
      </c>
      <c r="L71" s="44" t="n">
        <f aca="false">INDEX(Simulador!$C$51:$F$51,F71)</f>
        <v>76047.4054054054</v>
      </c>
      <c r="M71" s="24" t="n">
        <f aca="false">IF(H71&gt;=Simulador!$C$19,INDEX(Simulador!$C$63:$F$63,F71),INDEX(Simulador!$C$62:$F$62,F71))</f>
        <v>58116.7137837838</v>
      </c>
      <c r="N71" s="24" t="n">
        <f aca="false">INDEX(Simulador!$C$64:$F$64,F71)</f>
        <v>68381.1581081081</v>
      </c>
      <c r="O71" s="24" t="n">
        <f aca="false">IF(H71&gt;=Simulador!$C$19,INDEX(Simulador!$C$65:$F$65,F71),INDEX(Simulador!$C$64:$F$64,F71))</f>
        <v>68381.1581081081</v>
      </c>
      <c r="P71" s="24" t="n">
        <f aca="false">IF(H71&gt;=Simulador!$C$19,INDEX(Simulador!$C$67:$F$67,F71),INDEX(Simulador!$C$66:$F$66,F71))</f>
        <v>58075.5140540541</v>
      </c>
      <c r="Q71" s="24" t="n">
        <f aca="false">M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55204.7137837838</v>
      </c>
      <c r="R71" s="24" t="n">
        <f aca="false">N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S71" s="24" t="n">
        <f aca="false">O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65469.1581081081</v>
      </c>
      <c r="T71" s="24" t="n">
        <f aca="false">P71+(IF(I71="",J71+INDEX(Simulador!$C$40:$F$40,F71),I71)-J71-INDEX(Simulador!$C$40:$F$40,F71))*Simulador!$C$9-INDEX(Simulador!$C$69:$F$69,F71)+IF(Simulador!$N$7="Sí",MAX(0,IF(I71="",J71+INDEX(Simulador!$C$40:$F$40,F71),I71)-INDEX(Simulador!$C$41:$F$41,F71))*(INDEX(Simulador!$C$68:$F$68,F71)+Simulador!$N$8)/Simulador!$C$7,0)</f>
        <v>55163.5140540541</v>
      </c>
      <c r="U71" s="2"/>
    </row>
    <row r="72" customFormat="false" ht="15" hidden="false" customHeight="false" outlineLevel="0" collapsed="false">
      <c r="B72" s="40" t="n">
        <v>45578</v>
      </c>
      <c r="C72" s="13" t="s">
        <v>420</v>
      </c>
      <c r="D72" s="41" t="n">
        <v>0.03</v>
      </c>
      <c r="E72" s="13" t="s">
        <v>363</v>
      </c>
      <c r="F72" s="18" t="n">
        <f aca="false">MATCH(E72,{"Misma locación","0.15 - 5 km","5 - 10 km","10+ km"},0)</f>
        <v>1</v>
      </c>
      <c r="G72" s="18" t="n">
        <f aca="false">MONTH(B72)</f>
        <v>10</v>
      </c>
      <c r="H72" s="18" t="n">
        <f aca="false">COUNTIF($G$8:G72,G72)</f>
        <v>4</v>
      </c>
      <c r="I72" s="41" t="n">
        <v>9.75</v>
      </c>
      <c r="J72" s="42" t="n">
        <f aca="false">INDEX(Simulador!$C$39:$F$39,F72)</f>
        <v>12</v>
      </c>
      <c r="K72" s="43" t="n">
        <f aca="false">IF(I72="","",I72-J72)</f>
        <v>-2.25</v>
      </c>
      <c r="L72" s="44" t="n">
        <f aca="false">INDEX(Simulador!$C$51:$F$51,F72)</f>
        <v>76047.4054054054</v>
      </c>
      <c r="M72" s="24" t="n">
        <f aca="false">IF(H72&gt;=Simulador!$C$19,INDEX(Simulador!$C$63:$F$63,F72),INDEX(Simulador!$C$62:$F$62,F72))</f>
        <v>58116.7137837838</v>
      </c>
      <c r="N72" s="24" t="n">
        <f aca="false">INDEX(Simulador!$C$64:$F$64,F72)</f>
        <v>68381.1581081081</v>
      </c>
      <c r="O72" s="24" t="n">
        <f aca="false">IF(H72&gt;=Simulador!$C$19,INDEX(Simulador!$C$65:$F$65,F72),INDEX(Simulador!$C$64:$F$64,F72))</f>
        <v>68381.1581081081</v>
      </c>
      <c r="P72" s="24" t="n">
        <f aca="false">IF(H72&gt;=Simulador!$C$19,INDEX(Simulador!$C$67:$F$67,F72),INDEX(Simulador!$C$66:$F$66,F72))</f>
        <v>58075.5140540541</v>
      </c>
      <c r="Q72" s="24" t="n">
        <f aca="false">M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54840.7137837838</v>
      </c>
      <c r="R72" s="24" t="n">
        <f aca="false">N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S72" s="24" t="n">
        <f aca="false">O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65105.1581081081</v>
      </c>
      <c r="T72" s="24" t="n">
        <f aca="false">P72+(IF(I72="",J72+INDEX(Simulador!$C$40:$F$40,F72),I72)-J72-INDEX(Simulador!$C$40:$F$40,F72))*Simulador!$C$9-INDEX(Simulador!$C$69:$F$69,F72)+IF(Simulador!$N$7="Sí",MAX(0,IF(I72="",J72+INDEX(Simulador!$C$40:$F$40,F72),I72)-INDEX(Simulador!$C$41:$F$41,F72))*(INDEX(Simulador!$C$68:$F$68,F72)+Simulador!$N$8)/Simulador!$C$7,0)</f>
        <v>54799.5140540541</v>
      </c>
      <c r="U72" s="2"/>
    </row>
    <row r="73" customFormat="false" ht="15" hidden="false" customHeight="false" outlineLevel="0" collapsed="false">
      <c r="B73" s="40" t="n">
        <v>45582</v>
      </c>
      <c r="C73" s="13" t="s">
        <v>421</v>
      </c>
      <c r="D73" s="41" t="n">
        <v>9.3</v>
      </c>
      <c r="E73" s="13" t="s">
        <v>361</v>
      </c>
      <c r="F73" s="18" t="n">
        <f aca="false">MATCH(E73,{"Misma locación","0.15 - 5 km","5 - 10 km","10+ km"},0)</f>
        <v>3</v>
      </c>
      <c r="G73" s="18" t="n">
        <f aca="false">MONTH(B73)</f>
        <v>10</v>
      </c>
      <c r="H73" s="18" t="n">
        <f aca="false">COUNTIF($G$8:G73,G73)</f>
        <v>5</v>
      </c>
      <c r="I73" s="41" t="n">
        <v>23</v>
      </c>
      <c r="J73" s="42" t="n">
        <f aca="false">INDEX(Simulador!$C$39:$F$39,F73)</f>
        <v>24</v>
      </c>
      <c r="K73" s="43" t="n">
        <f aca="false">IF(I73="","",I73-J73)</f>
        <v>-1</v>
      </c>
      <c r="L73" s="44" t="n">
        <f aca="false">INDEX(Simulador!$C$51:$F$51,F73)</f>
        <v>96184.8108108108</v>
      </c>
      <c r="M73" s="24" t="n">
        <f aca="false">IF(H73&gt;=Simulador!$C$19,INDEX(Simulador!$C$63:$F$63,F73),INDEX(Simulador!$C$62:$F$62,F73))</f>
        <v>102096.161621622</v>
      </c>
      <c r="N73" s="24" t="n">
        <f aca="false">INDEX(Simulador!$C$64:$F$64,F73)</f>
        <v>138633.155135135</v>
      </c>
      <c r="O73" s="24" t="n">
        <f aca="false">IF(H73&gt;=Simulador!$C$19,INDEX(Simulador!$C$65:$F$65,F73),INDEX(Simulador!$C$64:$F$64,F73))</f>
        <v>138633.155135135</v>
      </c>
      <c r="P73" s="24" t="n">
        <f aca="false">IF(H73&gt;=Simulador!$C$19,INDEX(Simulador!$C$67:$F$67,F73),INDEX(Simulador!$C$66:$F$66,F73))</f>
        <v>104944.811351351</v>
      </c>
      <c r="Q73" s="24" t="n">
        <f aca="false">M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100640.161621622</v>
      </c>
      <c r="R73" s="24" t="n">
        <f aca="false">N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S73" s="24" t="n">
        <f aca="false">O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137177.155135135</v>
      </c>
      <c r="T73" s="24" t="n">
        <f aca="false">P73+(IF(I73="",J73+INDEX(Simulador!$C$40:$F$40,F73),I73)-J73-INDEX(Simulador!$C$40:$F$40,F73))*Simulador!$C$9-INDEX(Simulador!$C$69:$F$69,F73)+IF(Simulador!$N$7="Sí",MAX(0,IF(I73="",J73+INDEX(Simulador!$C$40:$F$40,F73),I73)-INDEX(Simulador!$C$41:$F$41,F73))*(INDEX(Simulador!$C$68:$F$68,F73)+Simulador!$N$8)/Simulador!$C$7,0)</f>
        <v>103488.811351351</v>
      </c>
      <c r="U73" s="2"/>
    </row>
    <row r="74" customFormat="false" ht="15" hidden="false" customHeight="false" outlineLevel="0" collapsed="false">
      <c r="B74" s="40" t="n">
        <v>45595</v>
      </c>
      <c r="C74" s="13" t="s">
        <v>422</v>
      </c>
      <c r="D74" s="41" t="n">
        <v>7.3</v>
      </c>
      <c r="E74" s="13" t="s">
        <v>361</v>
      </c>
      <c r="F74" s="18" t="n">
        <f aca="false">MATCH(E74,{"Misma locación","0.15 - 5 km","5 - 10 km","10+ km"},0)</f>
        <v>3</v>
      </c>
      <c r="G74" s="18" t="n">
        <f aca="false">MONTH(B74)</f>
        <v>10</v>
      </c>
      <c r="H74" s="18" t="n">
        <f aca="false">COUNTIF($G$8:G74,G74)</f>
        <v>6</v>
      </c>
      <c r="I74" s="41" t="n">
        <v>15.75</v>
      </c>
      <c r="J74" s="42" t="n">
        <f aca="false">INDEX(Simulador!$C$39:$F$39,F74)</f>
        <v>24</v>
      </c>
      <c r="K74" s="43" t="n">
        <f aca="false">IF(I74="","",I74-J74)</f>
        <v>-8.25</v>
      </c>
      <c r="L74" s="44" t="n">
        <f aca="false">INDEX(Simulador!$C$51:$F$51,F74)</f>
        <v>96184.8108108108</v>
      </c>
      <c r="M74" s="24" t="n">
        <f aca="false">IF(H74&gt;=Simulador!$C$19,INDEX(Simulador!$C$63:$F$63,F74),INDEX(Simulador!$C$62:$F$62,F74))</f>
        <v>69871.4321621622</v>
      </c>
      <c r="N74" s="24" t="n">
        <f aca="false">INDEX(Simulador!$C$64:$F$64,F74)</f>
        <v>138633.155135135</v>
      </c>
      <c r="O74" s="24" t="n">
        <f aca="false">IF(H74&gt;=Simulador!$C$19,INDEX(Simulador!$C$65:$F$65,F74),INDEX(Simulador!$C$64:$F$64,F74))</f>
        <v>88139.9289189189</v>
      </c>
      <c r="P74" s="24" t="n">
        <f aca="false">IF(H74&gt;=Simulador!$C$19,INDEX(Simulador!$C$67:$F$67,F74),INDEX(Simulador!$C$66:$F$66,F74))</f>
        <v>75215.6216216216</v>
      </c>
      <c r="Q74" s="24" t="n">
        <f aca="false">M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57859.4321621622</v>
      </c>
      <c r="R74" s="24" t="n">
        <f aca="false">N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126621.155135135</v>
      </c>
      <c r="S74" s="24" t="n">
        <f aca="false">O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76127.9289189189</v>
      </c>
      <c r="T74" s="24" t="n">
        <f aca="false">P74+(IF(I74="",J74+INDEX(Simulador!$C$40:$F$40,F74),I74)-J74-INDEX(Simulador!$C$40:$F$40,F74))*Simulador!$C$9-INDEX(Simulador!$C$69:$F$69,F74)+IF(Simulador!$N$7="Sí",MAX(0,IF(I74="",J74+INDEX(Simulador!$C$40:$F$40,F74),I74)-INDEX(Simulador!$C$41:$F$41,F74))*(INDEX(Simulador!$C$68:$F$68,F74)+Simulador!$N$8)/Simulador!$C$7,0)</f>
        <v>63203.6216216216</v>
      </c>
      <c r="U74" s="2"/>
    </row>
    <row r="75" customFormat="false" ht="15" hidden="false" customHeight="false" outlineLevel="0" collapsed="false">
      <c r="B75" s="40" t="n">
        <v>45599</v>
      </c>
      <c r="C75" s="13" t="s">
        <v>423</v>
      </c>
      <c r="D75" s="41" t="n">
        <v>5.3</v>
      </c>
      <c r="E75" s="13" t="s">
        <v>361</v>
      </c>
      <c r="F75" s="18" t="n">
        <f aca="false">MATCH(E75,{"Misma locación","0.15 - 5 km","5 - 10 km","10+ km"},0)</f>
        <v>3</v>
      </c>
      <c r="G75" s="18" t="n">
        <f aca="false">MONTH(B75)</f>
        <v>11</v>
      </c>
      <c r="H75" s="18" t="n">
        <f aca="false">COUNTIF($G$8:G75,G75)</f>
        <v>1</v>
      </c>
      <c r="I75" s="41" t="n">
        <v>18.75</v>
      </c>
      <c r="J75" s="42" t="n">
        <f aca="false">INDEX(Simulador!$C$39:$F$39,F75)</f>
        <v>24</v>
      </c>
      <c r="K75" s="43" t="n">
        <f aca="false">IF(I75="","",I75-J75)</f>
        <v>-5.25</v>
      </c>
      <c r="L75" s="44" t="n">
        <f aca="false">INDEX(Simulador!$C$51:$F$51,F75)</f>
        <v>96184.8108108108</v>
      </c>
      <c r="M75" s="24" t="n">
        <f aca="false">IF(H75&gt;=Simulador!$C$19,INDEX(Simulador!$C$63:$F$63,F75),INDEX(Simulador!$C$62:$F$62,F75))</f>
        <v>102096.161621622</v>
      </c>
      <c r="N75" s="24" t="n">
        <f aca="false">INDEX(Simulador!$C$64:$F$64,F75)</f>
        <v>138633.155135135</v>
      </c>
      <c r="O75" s="24" t="n">
        <f aca="false">IF(H75&gt;=Simulador!$C$19,INDEX(Simulador!$C$65:$F$65,F75),INDEX(Simulador!$C$64:$F$64,F75))</f>
        <v>138633.155135135</v>
      </c>
      <c r="P75" s="24" t="n">
        <f aca="false">IF(H75&gt;=Simulador!$C$19,INDEX(Simulador!$C$67:$F$67,F75),INDEX(Simulador!$C$66:$F$66,F75))</f>
        <v>104944.811351351</v>
      </c>
      <c r="Q75" s="24" t="n">
        <f aca="false">M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94452.1616216216</v>
      </c>
      <c r="R75" s="24" t="n">
        <f aca="false">N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S75" s="24" t="n">
        <f aca="false">O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130989.155135135</v>
      </c>
      <c r="T75" s="24" t="n">
        <f aca="false">P75+(IF(I75="",J75+INDEX(Simulador!$C$40:$F$40,F75),I75)-J75-INDEX(Simulador!$C$40:$F$40,F75))*Simulador!$C$9-INDEX(Simulador!$C$69:$F$69,F75)+IF(Simulador!$N$7="Sí",MAX(0,IF(I75="",J75+INDEX(Simulador!$C$40:$F$40,F75),I75)-INDEX(Simulador!$C$41:$F$41,F75))*(INDEX(Simulador!$C$68:$F$68,F75)+Simulador!$N$8)/Simulador!$C$7,0)</f>
        <v>97300.8113513514</v>
      </c>
      <c r="U75" s="2"/>
    </row>
    <row r="76" customFormat="false" ht="15" hidden="false" customHeight="false" outlineLevel="0" collapsed="false">
      <c r="B76" s="40" t="n">
        <v>45602</v>
      </c>
      <c r="C76" s="13" t="s">
        <v>424</v>
      </c>
      <c r="D76" s="41" t="n">
        <v>4.4</v>
      </c>
      <c r="E76" s="13" t="s">
        <v>349</v>
      </c>
      <c r="F76" s="18" t="n">
        <f aca="false">MATCH(E76,{"Misma locación","0.15 - 5 km","5 - 10 km","10+ km"},0)</f>
        <v>2</v>
      </c>
      <c r="G76" s="18" t="n">
        <f aca="false">MONTH(B76)</f>
        <v>11</v>
      </c>
      <c r="H76" s="18" t="n">
        <f aca="false">COUNTIF($G$8:G76,G76)</f>
        <v>2</v>
      </c>
      <c r="I76" s="41" t="n">
        <v>15.75</v>
      </c>
      <c r="J76" s="42" t="n">
        <f aca="false">INDEX(Simulador!$C$39:$F$39,F76)</f>
        <v>18</v>
      </c>
      <c r="K76" s="43" t="n">
        <f aca="false">IF(I76="","",I76-J76)</f>
        <v>-2.25</v>
      </c>
      <c r="L76" s="44" t="n">
        <f aca="false">INDEX(Simulador!$C$51:$F$51,F76)</f>
        <v>99473.8108108108</v>
      </c>
      <c r="M76" s="24" t="n">
        <f aca="false">IF(H76&gt;=Simulador!$C$19,INDEX(Simulador!$C$63:$F$63,F76),INDEX(Simulador!$C$62:$F$62,F76))</f>
        <v>88600.7254054054</v>
      </c>
      <c r="N76" s="24" t="n">
        <f aca="false">INDEX(Simulador!$C$64:$F$64,F76)</f>
        <v>111149.808108108</v>
      </c>
      <c r="O76" s="24" t="n">
        <f aca="false">IF(H76&gt;=Simulador!$C$19,INDEX(Simulador!$C$65:$F$65,F76),INDEX(Simulador!$C$64:$F$64,F76))</f>
        <v>111149.808108108</v>
      </c>
      <c r="P76" s="24" t="n">
        <f aca="false">IF(H76&gt;=Simulador!$C$19,INDEX(Simulador!$C$67:$F$67,F76),INDEX(Simulador!$C$66:$F$66,F76))</f>
        <v>85046.6491891892</v>
      </c>
      <c r="Q76" s="24" t="n">
        <f aca="false">M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85324.7254054054</v>
      </c>
      <c r="R76" s="24" t="n">
        <f aca="false">N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S76" s="24" t="n">
        <f aca="false">O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107873.808108108</v>
      </c>
      <c r="T76" s="24" t="n">
        <f aca="false">P76+(IF(I76="",J76+INDEX(Simulador!$C$40:$F$40,F76),I76)-J76-INDEX(Simulador!$C$40:$F$40,F76))*Simulador!$C$9-INDEX(Simulador!$C$69:$F$69,F76)+IF(Simulador!$N$7="Sí",MAX(0,IF(I76="",J76+INDEX(Simulador!$C$40:$F$40,F76),I76)-INDEX(Simulador!$C$41:$F$41,F76))*(INDEX(Simulador!$C$68:$F$68,F76)+Simulador!$N$8)/Simulador!$C$7,0)</f>
        <v>81770.6491891892</v>
      </c>
      <c r="U76" s="2"/>
    </row>
    <row r="77" customFormat="false" ht="15" hidden="false" customHeight="false" outlineLevel="0" collapsed="false">
      <c r="B77" s="40" t="n">
        <v>45608</v>
      </c>
      <c r="C77" s="13" t="s">
        <v>425</v>
      </c>
      <c r="D77" s="41" t="n">
        <v>4.4</v>
      </c>
      <c r="E77" s="13" t="s">
        <v>349</v>
      </c>
      <c r="F77" s="18" t="n">
        <f aca="false">MATCH(E77,{"Misma locación","0.15 - 5 km","5 - 10 km","10+ km"},0)</f>
        <v>2</v>
      </c>
      <c r="G77" s="18" t="n">
        <f aca="false">MONTH(B77)</f>
        <v>11</v>
      </c>
      <c r="H77" s="18" t="n">
        <f aca="false">COUNTIF($G$8:G77,G77)</f>
        <v>3</v>
      </c>
      <c r="I77" s="41" t="n">
        <v>15.75</v>
      </c>
      <c r="J77" s="42" t="n">
        <f aca="false">INDEX(Simulador!$C$39:$F$39,F77)</f>
        <v>18</v>
      </c>
      <c r="K77" s="43" t="n">
        <f aca="false">IF(I77="","",I77-J77)</f>
        <v>-2.25</v>
      </c>
      <c r="L77" s="44" t="n">
        <f aca="false">INDEX(Simulador!$C$51:$F$51,F77)</f>
        <v>99473.8108108108</v>
      </c>
      <c r="M77" s="24" t="n">
        <f aca="false">IF(H77&gt;=Simulador!$C$19,INDEX(Simulador!$C$63:$F$63,F77),INDEX(Simulador!$C$62:$F$62,F77))</f>
        <v>88600.7254054054</v>
      </c>
      <c r="N77" s="24" t="n">
        <f aca="false">INDEX(Simulador!$C$64:$F$64,F77)</f>
        <v>111149.808108108</v>
      </c>
      <c r="O77" s="24" t="n">
        <f aca="false">IF(H77&gt;=Simulador!$C$19,INDEX(Simulador!$C$65:$F$65,F77),INDEX(Simulador!$C$64:$F$64,F77))</f>
        <v>111149.808108108</v>
      </c>
      <c r="P77" s="24" t="n">
        <f aca="false">IF(H77&gt;=Simulador!$C$19,INDEX(Simulador!$C$67:$F$67,F77),INDEX(Simulador!$C$66:$F$66,F77))</f>
        <v>85046.6491891892</v>
      </c>
      <c r="Q77" s="24" t="n">
        <f aca="false">M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85324.7254054054</v>
      </c>
      <c r="R77" s="24" t="n">
        <f aca="false">N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S77" s="24" t="n">
        <f aca="false">O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107873.808108108</v>
      </c>
      <c r="T77" s="24" t="n">
        <f aca="false">P77+(IF(I77="",J77+INDEX(Simulador!$C$40:$F$40,F77),I77)-J77-INDEX(Simulador!$C$40:$F$40,F77))*Simulador!$C$9-INDEX(Simulador!$C$69:$F$69,F77)+IF(Simulador!$N$7="Sí",MAX(0,IF(I77="",J77+INDEX(Simulador!$C$40:$F$40,F77),I77)-INDEX(Simulador!$C$41:$F$41,F77))*(INDEX(Simulador!$C$68:$F$68,F77)+Simulador!$N$8)/Simulador!$C$7,0)</f>
        <v>81770.6491891892</v>
      </c>
      <c r="U77" s="2"/>
    </row>
    <row r="79" customFormat="false" ht="15" hidden="false" customHeight="false" outlineLevel="0" collapsed="false">
      <c r="B79" s="38" t="s">
        <v>426</v>
      </c>
      <c r="L79" s="23" t="n">
        <f aca="false">SUM(L8:L77)</f>
        <v>6424357.43243243</v>
      </c>
      <c r="M79" s="23" t="n">
        <f aca="false">SUM(M8:M77)</f>
        <v>5250116.15337838</v>
      </c>
      <c r="N79" s="23" t="n">
        <f aca="false">SUM(N8:N77)</f>
        <v>7359291.49</v>
      </c>
      <c r="O79" s="23" t="n">
        <f aca="false">SUM(O8:O77)</f>
        <v>6610672.29283784</v>
      </c>
      <c r="P79" s="23" t="n">
        <f aca="false">SUM(P8:P77)</f>
        <v>5347975.7572973</v>
      </c>
      <c r="Q79" s="23" t="n">
        <f aca="false">SUM(Q8:Q77)</f>
        <v>5159629.74662162</v>
      </c>
      <c r="R79" s="23" t="n">
        <f aca="false">SUM(R8:R77)</f>
        <v>7268805.08324324</v>
      </c>
      <c r="S79" s="23" t="n">
        <f aca="false">SUM(S8:S77)</f>
        <v>6520185.88608108</v>
      </c>
      <c r="T79" s="23" t="n">
        <f aca="false">SUM(T8:T77)</f>
        <v>5257489.35054054</v>
      </c>
    </row>
    <row r="82" customFormat="false" ht="15" hidden="false" customHeight="false" outlineLevel="0" collapsed="false">
      <c r="B82" s="38" t="s">
        <v>352</v>
      </c>
    </row>
    <row r="83" customFormat="false" ht="35.05" hidden="false" customHeight="false" outlineLevel="0" collapsed="false">
      <c r="B83" s="37" t="s">
        <v>330</v>
      </c>
      <c r="C83" s="37" t="s">
        <v>350</v>
      </c>
      <c r="D83" s="37" t="s">
        <v>427</v>
      </c>
      <c r="E83" s="37" t="s">
        <v>428</v>
      </c>
      <c r="F83" s="37" t="s">
        <v>90</v>
      </c>
      <c r="G83" s="37" t="s">
        <v>91</v>
      </c>
      <c r="H83" s="37" t="s">
        <v>429</v>
      </c>
      <c r="I83" s="37" t="s">
        <v>430</v>
      </c>
      <c r="J83" s="37" t="s">
        <v>431</v>
      </c>
    </row>
    <row r="84" customFormat="false" ht="15" hidden="false" customHeight="false" outlineLevel="0" collapsed="false">
      <c r="B84" s="18" t="n">
        <v>1</v>
      </c>
      <c r="C84" s="18" t="n">
        <f aca="false">COUNTIF($G$8:$G$77,B84)</f>
        <v>7</v>
      </c>
      <c r="D84" s="18" t="n">
        <f aca="false">COUNTIFS($G$8:$G$77,B84,$F$8:$F$77,1)</f>
        <v>0</v>
      </c>
      <c r="E84" s="18" t="n">
        <f aca="false">COUNTIFS($G$8:$G$77,B84,$F$8:$F$77,2)</f>
        <v>5</v>
      </c>
      <c r="F84" s="18" t="n">
        <f aca="false">COUNTIFS($G$8:$G$77,B84,$F$8:$F$77,3)</f>
        <v>1</v>
      </c>
      <c r="G84" s="18" t="n">
        <f aca="false">COUNTIFS($G$8:$G$77,B84,$F$8:$F$77,4)</f>
        <v>1</v>
      </c>
      <c r="H84" s="24" t="n">
        <f aca="false">IF(C84=0,0,INDEX(Simulador!$E$72:$E$78,MIN(C84,6)+1))</f>
        <v>0</v>
      </c>
      <c r="I84" s="24" t="n">
        <f aca="false">IF(C84=0,0,INDEX(Simulador!$F$72:$F$78,MIN(C84,6)+1))</f>
        <v>0</v>
      </c>
      <c r="J84" s="24" t="n">
        <f aca="false">IF(AND(C84&gt;0,Simulador!$C$16="Mensual fijo"),Simulador!$C$14/Simulador!$C$7,0)</f>
        <v>0</v>
      </c>
    </row>
    <row r="85" customFormat="false" ht="15" hidden="false" customHeight="false" outlineLevel="0" collapsed="false">
      <c r="B85" s="18" t="n">
        <v>2</v>
      </c>
      <c r="C85" s="18" t="n">
        <f aca="false">COUNTIF($G$8:$G$77,B85)</f>
        <v>8</v>
      </c>
      <c r="D85" s="18" t="n">
        <f aca="false">COUNTIFS($G$8:$G$77,B85,$F$8:$F$77,1)</f>
        <v>4</v>
      </c>
      <c r="E85" s="18" t="n">
        <f aca="false">COUNTIFS($G$8:$G$77,B85,$F$8:$F$77,2)</f>
        <v>4</v>
      </c>
      <c r="F85" s="18" t="n">
        <f aca="false">COUNTIFS($G$8:$G$77,B85,$F$8:$F$77,3)</f>
        <v>0</v>
      </c>
      <c r="G85" s="18" t="n">
        <f aca="false">COUNTIFS($G$8:$G$77,B85,$F$8:$F$77,4)</f>
        <v>0</v>
      </c>
      <c r="H85" s="24" t="n">
        <f aca="false">IF(C85=0,0,INDEX(Simulador!$E$72:$E$78,MIN(C85,6)+1))</f>
        <v>0</v>
      </c>
      <c r="I85" s="24" t="n">
        <f aca="false">IF(C85=0,0,INDEX(Simulador!$F$72:$F$78,MIN(C85,6)+1))</f>
        <v>0</v>
      </c>
      <c r="J85" s="24" t="n">
        <f aca="false">IF(AND(C85&gt;0,Simulador!$C$16="Mensual fijo"),Simulador!$C$14/Simulador!$C$7,0)</f>
        <v>0</v>
      </c>
    </row>
    <row r="86" customFormat="false" ht="15" hidden="false" customHeight="false" outlineLevel="0" collapsed="false">
      <c r="B86" s="18" t="n">
        <v>3</v>
      </c>
      <c r="C86" s="18" t="n">
        <f aca="false">COUNTIF($G$8:$G$77,B86)</f>
        <v>7</v>
      </c>
      <c r="D86" s="18" t="n">
        <f aca="false">COUNTIFS($G$8:$G$77,B86,$F$8:$F$77,1)</f>
        <v>3</v>
      </c>
      <c r="E86" s="18" t="n">
        <f aca="false">COUNTIFS($G$8:$G$77,B86,$F$8:$F$77,2)</f>
        <v>3</v>
      </c>
      <c r="F86" s="18" t="n">
        <f aca="false">COUNTIFS($G$8:$G$77,B86,$F$8:$F$77,3)</f>
        <v>1</v>
      </c>
      <c r="G86" s="18" t="n">
        <f aca="false">COUNTIFS($G$8:$G$77,B86,$F$8:$F$77,4)</f>
        <v>0</v>
      </c>
      <c r="H86" s="24" t="n">
        <f aca="false">IF(C86=0,0,INDEX(Simulador!$E$72:$E$78,MIN(C86,6)+1))</f>
        <v>0</v>
      </c>
      <c r="I86" s="24" t="n">
        <f aca="false">IF(C86=0,0,INDEX(Simulador!$F$72:$F$78,MIN(C86,6)+1))</f>
        <v>0</v>
      </c>
      <c r="J86" s="24" t="n">
        <f aca="false">IF(AND(C86&gt;0,Simulador!$C$16="Mensual fijo"),Simulador!$C$14/Simulador!$C$7,0)</f>
        <v>0</v>
      </c>
    </row>
    <row r="87" customFormat="false" ht="15" hidden="false" customHeight="false" outlineLevel="0" collapsed="false">
      <c r="B87" s="18" t="n">
        <v>4</v>
      </c>
      <c r="C87" s="18" t="n">
        <f aca="false">COUNTIF($G$8:$G$77,B87)</f>
        <v>7</v>
      </c>
      <c r="D87" s="18" t="n">
        <f aca="false">COUNTIFS($G$8:$G$77,B87,$F$8:$F$77,1)</f>
        <v>1</v>
      </c>
      <c r="E87" s="18" t="n">
        <f aca="false">COUNTIFS($G$8:$G$77,B87,$F$8:$F$77,2)</f>
        <v>3</v>
      </c>
      <c r="F87" s="18" t="n">
        <f aca="false">COUNTIFS($G$8:$G$77,B87,$F$8:$F$77,3)</f>
        <v>3</v>
      </c>
      <c r="G87" s="18" t="n">
        <f aca="false">COUNTIFS($G$8:$G$77,B87,$F$8:$F$77,4)</f>
        <v>0</v>
      </c>
      <c r="H87" s="24" t="n">
        <f aca="false">IF(C87=0,0,INDEX(Simulador!$E$72:$E$78,MIN(C87,6)+1))</f>
        <v>0</v>
      </c>
      <c r="I87" s="24" t="n">
        <f aca="false">IF(C87=0,0,INDEX(Simulador!$F$72:$F$78,MIN(C87,6)+1))</f>
        <v>0</v>
      </c>
      <c r="J87" s="24" t="n">
        <f aca="false">IF(AND(C87&gt;0,Simulador!$C$16="Mensual fijo"),Simulador!$C$14/Simulador!$C$7,0)</f>
        <v>0</v>
      </c>
    </row>
    <row r="88" customFormat="false" ht="15" hidden="false" customHeight="false" outlineLevel="0" collapsed="false">
      <c r="B88" s="18" t="n">
        <v>5</v>
      </c>
      <c r="C88" s="18" t="n">
        <f aca="false">COUNTIF($G$8:$G$77,B88)</f>
        <v>7</v>
      </c>
      <c r="D88" s="18" t="n">
        <f aca="false">COUNTIFS($G$8:$G$77,B88,$F$8:$F$77,1)</f>
        <v>3</v>
      </c>
      <c r="E88" s="18" t="n">
        <f aca="false">COUNTIFS($G$8:$G$77,B88,$F$8:$F$77,2)</f>
        <v>3</v>
      </c>
      <c r="F88" s="18" t="n">
        <f aca="false">COUNTIFS($G$8:$G$77,B88,$F$8:$F$77,3)</f>
        <v>1</v>
      </c>
      <c r="G88" s="18" t="n">
        <f aca="false">COUNTIFS($G$8:$G$77,B88,$F$8:$F$77,4)</f>
        <v>0</v>
      </c>
      <c r="H88" s="24" t="n">
        <f aca="false">IF(C88=0,0,INDEX(Simulador!$E$72:$E$78,MIN(C88,6)+1))</f>
        <v>0</v>
      </c>
      <c r="I88" s="24" t="n">
        <f aca="false">IF(C88=0,0,INDEX(Simulador!$F$72:$F$78,MIN(C88,6)+1))</f>
        <v>0</v>
      </c>
      <c r="J88" s="24" t="n">
        <f aca="false">IF(AND(C88&gt;0,Simulador!$C$16="Mensual fijo"),Simulador!$C$14/Simulador!$C$7,0)</f>
        <v>0</v>
      </c>
    </row>
    <row r="89" customFormat="false" ht="15" hidden="false" customHeight="false" outlineLevel="0" collapsed="false">
      <c r="B89" s="18" t="n">
        <v>6</v>
      </c>
      <c r="C89" s="18" t="n">
        <f aca="false">COUNTIF($G$8:$G$77,B89)</f>
        <v>9</v>
      </c>
      <c r="D89" s="18" t="n">
        <f aca="false">COUNTIFS($G$8:$G$77,B89,$F$8:$F$77,1)</f>
        <v>4</v>
      </c>
      <c r="E89" s="18" t="n">
        <f aca="false">COUNTIFS($G$8:$G$77,B89,$F$8:$F$77,2)</f>
        <v>4</v>
      </c>
      <c r="F89" s="18" t="n">
        <f aca="false">COUNTIFS($G$8:$G$77,B89,$F$8:$F$77,3)</f>
        <v>1</v>
      </c>
      <c r="G89" s="18" t="n">
        <f aca="false">COUNTIFS($G$8:$G$77,B89,$F$8:$F$77,4)</f>
        <v>0</v>
      </c>
      <c r="H89" s="24" t="n">
        <f aca="false">IF(C89=0,0,INDEX(Simulador!$E$72:$E$78,MIN(C89,6)+1))</f>
        <v>0</v>
      </c>
      <c r="I89" s="24" t="n">
        <f aca="false">IF(C89=0,0,INDEX(Simulador!$F$72:$F$78,MIN(C89,6)+1))</f>
        <v>0</v>
      </c>
      <c r="J89" s="24" t="n">
        <f aca="false">IF(AND(C89&gt;0,Simulador!$C$16="Mensual fijo"),Simulador!$C$14/Simulador!$C$7,0)</f>
        <v>0</v>
      </c>
    </row>
    <row r="90" customFormat="false" ht="15" hidden="false" customHeight="false" outlineLevel="0" collapsed="false">
      <c r="B90" s="18" t="n">
        <v>7</v>
      </c>
      <c r="C90" s="18" t="n">
        <f aca="false">COUNTIF($G$8:$G$77,B90)</f>
        <v>7</v>
      </c>
      <c r="D90" s="18" t="n">
        <f aca="false">COUNTIFS($G$8:$G$77,B90,$F$8:$F$77,1)</f>
        <v>2</v>
      </c>
      <c r="E90" s="18" t="n">
        <f aca="false">COUNTIFS($G$8:$G$77,B90,$F$8:$F$77,2)</f>
        <v>3</v>
      </c>
      <c r="F90" s="18" t="n">
        <f aca="false">COUNTIFS($G$8:$G$77,B90,$F$8:$F$77,3)</f>
        <v>0</v>
      </c>
      <c r="G90" s="18" t="n">
        <f aca="false">COUNTIFS($G$8:$G$77,B90,$F$8:$F$77,4)</f>
        <v>2</v>
      </c>
      <c r="H90" s="24" t="n">
        <f aca="false">IF(C90=0,0,INDEX(Simulador!$E$72:$E$78,MIN(C90,6)+1))</f>
        <v>0</v>
      </c>
      <c r="I90" s="24" t="n">
        <f aca="false">IF(C90=0,0,INDEX(Simulador!$F$72:$F$78,MIN(C90,6)+1))</f>
        <v>0</v>
      </c>
      <c r="J90" s="24" t="n">
        <f aca="false">IF(AND(C90&gt;0,Simulador!$C$16="Mensual fijo"),Simulador!$C$14/Simulador!$C$7,0)</f>
        <v>0</v>
      </c>
    </row>
    <row r="91" customFormat="false" ht="15" hidden="false" customHeight="false" outlineLevel="0" collapsed="false">
      <c r="B91" s="18" t="n">
        <v>8</v>
      </c>
      <c r="C91" s="18" t="n">
        <f aca="false">COUNTIF($G$8:$G$77,B91)</f>
        <v>3</v>
      </c>
      <c r="D91" s="18" t="n">
        <f aca="false">COUNTIFS($G$8:$G$77,B91,$F$8:$F$77,1)</f>
        <v>1</v>
      </c>
      <c r="E91" s="18" t="n">
        <f aca="false">COUNTIFS($G$8:$G$77,B91,$F$8:$F$77,2)</f>
        <v>0</v>
      </c>
      <c r="F91" s="18" t="n">
        <f aca="false">COUNTIFS($G$8:$G$77,B91,$F$8:$F$77,3)</f>
        <v>1</v>
      </c>
      <c r="G91" s="18" t="n">
        <f aca="false">COUNTIFS($G$8:$G$77,B91,$F$8:$F$77,4)</f>
        <v>1</v>
      </c>
      <c r="H91" s="24" t="n">
        <f aca="false">IF(C91=0,0,INDEX(Simulador!$E$72:$E$78,MIN(C91,6)+1))</f>
        <v>69757.6113513514</v>
      </c>
      <c r="I91" s="24" t="n">
        <f aca="false">IF(C91=0,0,INDEX(Simulador!$F$72:$F$78,MIN(C91,6)+1))</f>
        <v>90527.0091891892</v>
      </c>
      <c r="J91" s="24" t="n">
        <f aca="false">IF(AND(C91&gt;0,Simulador!$C$16="Mensual fijo"),Simulador!$C$14/Simulador!$C$7,0)</f>
        <v>0</v>
      </c>
    </row>
    <row r="92" customFormat="false" ht="15" hidden="false" customHeight="false" outlineLevel="0" collapsed="false">
      <c r="B92" s="18" t="n">
        <v>9</v>
      </c>
      <c r="C92" s="18" t="n">
        <f aca="false">COUNTIF($G$8:$G$77,B92)</f>
        <v>6</v>
      </c>
      <c r="D92" s="18" t="n">
        <f aca="false">COUNTIFS($G$8:$G$77,B92,$F$8:$F$77,1)</f>
        <v>2</v>
      </c>
      <c r="E92" s="18" t="n">
        <f aca="false">COUNTIFS($G$8:$G$77,B92,$F$8:$F$77,2)</f>
        <v>2</v>
      </c>
      <c r="F92" s="18" t="n">
        <f aca="false">COUNTIFS($G$8:$G$77,B92,$F$8:$F$77,3)</f>
        <v>2</v>
      </c>
      <c r="G92" s="18" t="n">
        <f aca="false">COUNTIFS($G$8:$G$77,B92,$F$8:$F$77,4)</f>
        <v>0</v>
      </c>
      <c r="H92" s="24" t="n">
        <f aca="false">IF(C92=0,0,INDEX(Simulador!$E$72:$E$78,MIN(C92,6)+1))</f>
        <v>0</v>
      </c>
      <c r="I92" s="24" t="n">
        <f aca="false">IF(C92=0,0,INDEX(Simulador!$F$72:$F$78,MIN(C92,6)+1))</f>
        <v>0</v>
      </c>
      <c r="J92" s="24" t="n">
        <f aca="false">IF(AND(C92&gt;0,Simulador!$C$16="Mensual fijo"),Simulador!$C$14/Simulador!$C$7,0)</f>
        <v>0</v>
      </c>
    </row>
    <row r="93" customFormat="false" ht="15" hidden="false" customHeight="false" outlineLevel="0" collapsed="false">
      <c r="B93" s="18" t="n">
        <v>10</v>
      </c>
      <c r="C93" s="18" t="n">
        <f aca="false">COUNTIF($G$8:$G$77,B93)</f>
        <v>6</v>
      </c>
      <c r="D93" s="18" t="n">
        <f aca="false">COUNTIFS($G$8:$G$77,B93,$F$8:$F$77,1)</f>
        <v>3</v>
      </c>
      <c r="E93" s="18" t="n">
        <f aca="false">COUNTIFS($G$8:$G$77,B93,$F$8:$F$77,2)</f>
        <v>0</v>
      </c>
      <c r="F93" s="18" t="n">
        <f aca="false">COUNTIFS($G$8:$G$77,B93,$F$8:$F$77,3)</f>
        <v>3</v>
      </c>
      <c r="G93" s="18" t="n">
        <f aca="false">COUNTIFS($G$8:$G$77,B93,$F$8:$F$77,4)</f>
        <v>0</v>
      </c>
      <c r="H93" s="24" t="n">
        <f aca="false">IF(C93=0,0,INDEX(Simulador!$E$72:$E$78,MIN(C93,6)+1))</f>
        <v>0</v>
      </c>
      <c r="I93" s="24" t="n">
        <f aca="false">IF(C93=0,0,INDEX(Simulador!$F$72:$F$78,MIN(C93,6)+1))</f>
        <v>0</v>
      </c>
      <c r="J93" s="24" t="n">
        <f aca="false">IF(AND(C93&gt;0,Simulador!$C$16="Mensual fijo"),Simulador!$C$14/Simulador!$C$7,0)</f>
        <v>0</v>
      </c>
    </row>
    <row r="94" customFormat="false" ht="15" hidden="false" customHeight="false" outlineLevel="0" collapsed="false">
      <c r="B94" s="18" t="n">
        <v>11</v>
      </c>
      <c r="C94" s="18" t="n">
        <f aca="false">COUNTIF($G$8:$G$77,B94)</f>
        <v>3</v>
      </c>
      <c r="D94" s="18" t="n">
        <f aca="false">COUNTIFS($G$8:$G$77,B94,$F$8:$F$77,1)</f>
        <v>0</v>
      </c>
      <c r="E94" s="18" t="n">
        <f aca="false">COUNTIFS($G$8:$G$77,B94,$F$8:$F$77,2)</f>
        <v>2</v>
      </c>
      <c r="F94" s="18" t="n">
        <f aca="false">COUNTIFS($G$8:$G$77,B94,$F$8:$F$77,3)</f>
        <v>1</v>
      </c>
      <c r="G94" s="18" t="n">
        <f aca="false">COUNTIFS($G$8:$G$77,B94,$F$8:$F$77,4)</f>
        <v>0</v>
      </c>
      <c r="H94" s="24" t="n">
        <f aca="false">IF(C94=0,0,INDEX(Simulador!$E$72:$E$78,MIN(C94,6)+1))</f>
        <v>69757.6113513514</v>
      </c>
      <c r="I94" s="24" t="n">
        <f aca="false">IF(C94=0,0,INDEX(Simulador!$F$72:$F$78,MIN(C94,6)+1))</f>
        <v>90527.0091891892</v>
      </c>
      <c r="J94" s="24" t="n">
        <f aca="false">IF(AND(C94&gt;0,Simulador!$C$16="Mensual fijo"),Simulador!$C$14/Simulador!$C$7,0)</f>
        <v>0</v>
      </c>
    </row>
    <row r="95" customFormat="false" ht="15" hidden="false" customHeight="false" outlineLevel="0" collapsed="false">
      <c r="B95" s="38" t="s">
        <v>200</v>
      </c>
      <c r="C95" s="35" t="n">
        <f aca="false">SUM(C84:C94)</f>
        <v>70</v>
      </c>
      <c r="D95" s="35" t="n">
        <f aca="false">SUM(D84:D94)</f>
        <v>23</v>
      </c>
      <c r="E95" s="35" t="n">
        <f aca="false">SUM(E84:E94)</f>
        <v>29</v>
      </c>
      <c r="F95" s="35" t="n">
        <f aca="false">SUM(F84:F94)</f>
        <v>14</v>
      </c>
      <c r="G95" s="35" t="n">
        <f aca="false">SUM(G84:G94)</f>
        <v>4</v>
      </c>
      <c r="H95" s="23" t="n">
        <f aca="false">SUM(H84:H94)</f>
        <v>139515.222702703</v>
      </c>
      <c r="I95" s="23" t="n">
        <f aca="false">SUM(I84:I94)</f>
        <v>181054.018378378</v>
      </c>
      <c r="J95" s="23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432</v>
      </c>
    </row>
    <row r="2" customFormat="false" ht="15" hidden="false" customHeight="false" outlineLevel="0" collapsed="false">
      <c r="B2" s="2" t="s">
        <v>433</v>
      </c>
    </row>
    <row r="3" customFormat="false" ht="30" hidden="false" customHeight="true" outlineLevel="0" collapsed="false">
      <c r="W3" s="4" t="s">
        <v>154</v>
      </c>
      <c r="X3" s="37" t="s">
        <v>318</v>
      </c>
      <c r="Y3" s="37" t="s">
        <v>319</v>
      </c>
      <c r="Z3" s="37" t="s">
        <v>320</v>
      </c>
      <c r="AA3" s="37" t="s">
        <v>321</v>
      </c>
    </row>
    <row r="4" customFormat="false" ht="15" hidden="false" customHeight="false" outlineLevel="0" collapsed="false">
      <c r="B4" s="38" t="s">
        <v>322</v>
      </c>
      <c r="W4" s="5" t="s">
        <v>207</v>
      </c>
      <c r="X4" s="24" t="n">
        <f aca="false">L54</f>
        <v>4266318.02702703</v>
      </c>
      <c r="Y4" s="24"/>
      <c r="Z4" s="24" t="n">
        <f aca="false">L54</f>
        <v>4266318.02702703</v>
      </c>
      <c r="AA4" s="24"/>
    </row>
    <row r="5" customFormat="false" ht="15" hidden="false" customHeight="false" outlineLevel="0" collapsed="false">
      <c r="W5" s="5" t="s">
        <v>323</v>
      </c>
      <c r="X5" s="24" t="n">
        <f aca="false">M54+$H$68+$J$68</f>
        <v>4081146.2427027</v>
      </c>
      <c r="Y5" s="24" t="n">
        <f aca="false">$X$4-X5</f>
        <v>185171.784324324</v>
      </c>
      <c r="Z5" s="24" t="n">
        <f aca="false">Q54+$H$68+$J$68</f>
        <v>4312823.48594595</v>
      </c>
      <c r="AA5" s="24" t="n">
        <f aca="false">$Z$4-Z5</f>
        <v>-46505.4589189189</v>
      </c>
    </row>
    <row r="6" customFormat="false" ht="15" hidden="false" customHeight="false" outlineLevel="0" collapsed="false">
      <c r="W6" s="5" t="s">
        <v>324</v>
      </c>
      <c r="X6" s="24" t="n">
        <f aca="false">N54+$H$68+$J$68</f>
        <v>5459003.65756757</v>
      </c>
      <c r="Y6" s="24" t="n">
        <f aca="false">$X$4-X6</f>
        <v>-1192685.63054054</v>
      </c>
      <c r="Z6" s="24" t="n">
        <f aca="false">R54+$H$68+$J$68</f>
        <v>5690680.90081081</v>
      </c>
      <c r="AA6" s="24" t="n">
        <f aca="false">$Z$4-Z6</f>
        <v>-1424362.87378378</v>
      </c>
    </row>
    <row r="7" customFormat="false" ht="54" hidden="false" customHeight="true" outlineLevel="0" collapsed="false">
      <c r="B7" s="39" t="s">
        <v>325</v>
      </c>
      <c r="C7" s="39" t="s">
        <v>326</v>
      </c>
      <c r="D7" s="39" t="s">
        <v>327</v>
      </c>
      <c r="E7" s="39" t="s">
        <v>328</v>
      </c>
      <c r="F7" s="39" t="s">
        <v>329</v>
      </c>
      <c r="G7" s="39" t="s">
        <v>330</v>
      </c>
      <c r="H7" s="39" t="s">
        <v>331</v>
      </c>
      <c r="I7" s="39" t="s">
        <v>332</v>
      </c>
      <c r="J7" s="39" t="s">
        <v>333</v>
      </c>
      <c r="K7" s="39" t="s">
        <v>334</v>
      </c>
      <c r="L7" s="39" t="s">
        <v>335</v>
      </c>
      <c r="M7" s="39" t="s">
        <v>336</v>
      </c>
      <c r="N7" s="39" t="s">
        <v>337</v>
      </c>
      <c r="O7" s="39" t="s">
        <v>338</v>
      </c>
      <c r="P7" s="39" t="s">
        <v>339</v>
      </c>
      <c r="Q7" s="39" t="s">
        <v>340</v>
      </c>
      <c r="R7" s="39" t="s">
        <v>341</v>
      </c>
      <c r="S7" s="39" t="s">
        <v>342</v>
      </c>
      <c r="T7" s="39" t="s">
        <v>343</v>
      </c>
      <c r="U7" s="39" t="s">
        <v>215</v>
      </c>
      <c r="W7" s="5" t="s">
        <v>344</v>
      </c>
      <c r="X7" s="24" t="n">
        <f aca="false">O54+$H$68+$J$68</f>
        <v>5162143.79135135</v>
      </c>
      <c r="Y7" s="24" t="n">
        <f aca="false">$X$4-X7</f>
        <v>-895825.764324324</v>
      </c>
      <c r="Z7" s="24" t="n">
        <f aca="false">S54+$H$68+$J$68</f>
        <v>5393821.03459459</v>
      </c>
      <c r="AA7" s="24" t="n">
        <f aca="false">$Z$4-Z7</f>
        <v>-1127503.00756757</v>
      </c>
    </row>
    <row r="8" customFormat="false" ht="15" hidden="false" customHeight="false" outlineLevel="0" collapsed="false">
      <c r="B8" s="40" t="n">
        <v>45701</v>
      </c>
      <c r="C8" s="13" t="s">
        <v>434</v>
      </c>
      <c r="D8" s="41" t="n">
        <v>12</v>
      </c>
      <c r="E8" s="13" t="s">
        <v>346</v>
      </c>
      <c r="F8" s="18" t="n">
        <f aca="false">MATCH(E8,{"Misma locación","0.15 - 5 km","5 - 10 km","10+ km"},0)</f>
        <v>4</v>
      </c>
      <c r="G8" s="18" t="n">
        <f aca="false">MONTH(B8)</f>
        <v>2</v>
      </c>
      <c r="H8" s="18" t="n">
        <f aca="false">COUNTIF($G$8:G8,G8)</f>
        <v>1</v>
      </c>
      <c r="I8" s="41" t="n">
        <v>60</v>
      </c>
      <c r="J8" s="42" t="n">
        <f aca="false">INDEX(Simulador!$C$39:$F$39,F8)</f>
        <v>28</v>
      </c>
      <c r="K8" s="43" t="n">
        <f aca="false">IF(I8="","",I8-J8)</f>
        <v>32</v>
      </c>
      <c r="L8" s="44" t="n">
        <f aca="false">INDEX(Simulador!$C$51:$F$51,F8)</f>
        <v>110984.810810811</v>
      </c>
      <c r="M8" s="24" t="n">
        <f aca="false">IF(H8&gt;=Simulador!$C$19,INDEX(Simulador!$C$63:$F$63,F8),INDEX(Simulador!$C$62:$F$62,F8))</f>
        <v>110082.323783784</v>
      </c>
      <c r="N8" s="24" t="n">
        <f aca="false">INDEX(Simulador!$C$64:$F$64,F8)</f>
        <v>155579.061621622</v>
      </c>
      <c r="O8" s="24" t="n">
        <f aca="false">IF(H8&gt;=Simulador!$C$19,INDEX(Simulador!$C$65:$F$65,F8),INDEX(Simulador!$C$64:$F$64,F8))</f>
        <v>155579.061621622</v>
      </c>
      <c r="P8" s="24" t="n">
        <f aca="false">IF(H8&gt;=Simulador!$C$19,INDEX(Simulador!$C$67:$F$67,F8),INDEX(Simulador!$C$66:$F$66,F8))</f>
        <v>111865.297837838</v>
      </c>
      <c r="Q8" s="24" t="n">
        <f aca="false">M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189246.215675676</v>
      </c>
      <c r="R8" s="24" t="n">
        <f aca="false">N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S8" s="24" t="n">
        <f aca="false">O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234742.953513514</v>
      </c>
      <c r="T8" s="24" t="n">
        <f aca="false">P8+(IF(I8="",J8+INDEX(Simulador!$C$40:$F$40,F8),I8)-J8-INDEX(Simulador!$C$40:$F$40,F8))*Simulador!$C$9-INDEX(Simulador!$C$69:$F$69,F8)+IF(Simulador!$N$7="Sí",MAX(0,IF(I8="",J8+INDEX(Simulador!$C$40:$F$40,F8),I8)-INDEX(Simulador!$C$41:$F$41,F8))*(INDEX(Simulador!$C$68:$F$68,F8)+Simulador!$N$8)/Simulador!$C$7,0)</f>
        <v>191029.18972973</v>
      </c>
      <c r="U8" s="2"/>
      <c r="W8" s="5" t="s">
        <v>167</v>
      </c>
      <c r="X8" s="24" t="n">
        <f aca="false">P54+$I$68+$J$68</f>
        <v>4089479.36351351</v>
      </c>
      <c r="Y8" s="24" t="n">
        <f aca="false">$X$4-X8</f>
        <v>176838.663513513</v>
      </c>
      <c r="Z8" s="24" t="n">
        <f aca="false">T54+$I$68+$J$68</f>
        <v>4321156.60675676</v>
      </c>
      <c r="AA8" s="24" t="n">
        <f aca="false">$Z$4-Z8</f>
        <v>-54838.5797297303</v>
      </c>
    </row>
    <row r="9" customFormat="false" ht="15" hidden="false" customHeight="false" outlineLevel="0" collapsed="false">
      <c r="B9" s="40" t="n">
        <v>45725</v>
      </c>
      <c r="C9" s="13" t="s">
        <v>435</v>
      </c>
      <c r="D9" s="41" t="n">
        <v>13.5</v>
      </c>
      <c r="E9" s="13" t="s">
        <v>346</v>
      </c>
      <c r="F9" s="18" t="n">
        <f aca="false">MATCH(E9,{"Misma locación","0.15 - 5 km","5 - 10 km","10+ km"},0)</f>
        <v>4</v>
      </c>
      <c r="G9" s="18" t="n">
        <f aca="false">MONTH(B9)</f>
        <v>3</v>
      </c>
      <c r="H9" s="18" t="n">
        <f aca="false">COUNTIF($G$8:G9,G9)</f>
        <v>1</v>
      </c>
      <c r="I9" s="41" t="n">
        <v>41.25</v>
      </c>
      <c r="J9" s="42" t="n">
        <f aca="false">INDEX(Simulador!$C$39:$F$39,F9)</f>
        <v>28</v>
      </c>
      <c r="K9" s="43" t="n">
        <f aca="false">IF(I9="","",I9-J9)</f>
        <v>13.25</v>
      </c>
      <c r="L9" s="44" t="n">
        <f aca="false">INDEX(Simulador!$C$51:$F$51,F9)</f>
        <v>110984.810810811</v>
      </c>
      <c r="M9" s="24" t="n">
        <f aca="false">IF(H9&gt;=Simulador!$C$19,INDEX(Simulador!$C$63:$F$63,F9),INDEX(Simulador!$C$62:$F$62,F9))</f>
        <v>110082.323783784</v>
      </c>
      <c r="N9" s="24" t="n">
        <f aca="false">INDEX(Simulador!$C$64:$F$64,F9)</f>
        <v>155579.061621622</v>
      </c>
      <c r="O9" s="24" t="n">
        <f aca="false">IF(H9&gt;=Simulador!$C$19,INDEX(Simulador!$C$65:$F$65,F9),INDEX(Simulador!$C$64:$F$64,F9))</f>
        <v>155579.061621622</v>
      </c>
      <c r="P9" s="24" t="n">
        <f aca="false">IF(H9&gt;=Simulador!$C$19,INDEX(Simulador!$C$67:$F$67,F9),INDEX(Simulador!$C$66:$F$66,F9))</f>
        <v>111865.297837838</v>
      </c>
      <c r="Q9" s="24" t="n">
        <f aca="false">M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136499.425135135</v>
      </c>
      <c r="R9" s="24" t="n">
        <f aca="false">N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S9" s="24" t="n">
        <f aca="false">O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181996.162972973</v>
      </c>
      <c r="T9" s="24" t="n">
        <f aca="false">P9+(IF(I9="",J9+INDEX(Simulador!$C$40:$F$40,F9),I9)-J9-INDEX(Simulador!$C$40:$F$40,F9))*Simulador!$C$9-INDEX(Simulador!$C$69:$F$69,F9)+IF(Simulador!$N$7="Sí",MAX(0,IF(I9="",J9+INDEX(Simulador!$C$40:$F$40,F9),I9)-INDEX(Simulador!$C$41:$F$41,F9))*(INDEX(Simulador!$C$68:$F$68,F9)+Simulador!$N$8)/Simulador!$C$7,0)</f>
        <v>138282.399189189</v>
      </c>
      <c r="U9" s="2"/>
      <c r="W9" s="45" t="s">
        <v>350</v>
      </c>
      <c r="X9" s="45" t="n">
        <f aca="false">COUNT(B8:B52)</f>
        <v>45</v>
      </c>
    </row>
    <row r="10" customFormat="false" ht="15" hidden="false" customHeight="false" outlineLevel="0" collapsed="false">
      <c r="B10" s="40" t="n">
        <v>45738</v>
      </c>
      <c r="C10" s="13" t="s">
        <v>436</v>
      </c>
      <c r="D10" s="41" t="n">
        <v>2.4</v>
      </c>
      <c r="E10" s="13" t="s">
        <v>349</v>
      </c>
      <c r="F10" s="18" t="n">
        <f aca="false">MATCH(E10,{"Misma locación","0.15 - 5 km","5 - 10 km","10+ km"},0)</f>
        <v>2</v>
      </c>
      <c r="G10" s="18" t="n">
        <f aca="false">MONTH(B10)</f>
        <v>3</v>
      </c>
      <c r="H10" s="18" t="n">
        <f aca="false">COUNTIF($G$8:G10,G10)</f>
        <v>2</v>
      </c>
      <c r="I10" s="41" t="n">
        <v>25.5</v>
      </c>
      <c r="J10" s="42" t="n">
        <f aca="false">INDEX(Simulador!$C$39:$F$39,F10)</f>
        <v>18</v>
      </c>
      <c r="K10" s="43" t="n">
        <f aca="false">IF(I10="","",I10-J10)</f>
        <v>7.5</v>
      </c>
      <c r="L10" s="44" t="n">
        <f aca="false">INDEX(Simulador!$C$51:$F$51,F10)</f>
        <v>99473.8108108108</v>
      </c>
      <c r="M10" s="24" t="n">
        <f aca="false">IF(H10&gt;=Simulador!$C$19,INDEX(Simulador!$C$63:$F$63,F10),INDEX(Simulador!$C$62:$F$62,F10))</f>
        <v>88600.7254054054</v>
      </c>
      <c r="N10" s="24" t="n">
        <f aca="false">INDEX(Simulador!$C$64:$F$64,F10)</f>
        <v>111149.808108108</v>
      </c>
      <c r="O10" s="24" t="n">
        <f aca="false">IF(H10&gt;=Simulador!$C$19,INDEX(Simulador!$C$65:$F$65,F10),INDEX(Simulador!$C$64:$F$64,F10))</f>
        <v>111149.808108108</v>
      </c>
      <c r="P10" s="24" t="n">
        <f aca="false">IF(H10&gt;=Simulador!$C$19,INDEX(Simulador!$C$67:$F$67,F10),INDEX(Simulador!$C$66:$F$66,F10))</f>
        <v>85046.6491891892</v>
      </c>
      <c r="Q10" s="24" t="n">
        <f aca="false">M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101556.468648649</v>
      </c>
      <c r="R10" s="24" t="n">
        <f aca="false">N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S10" s="24" t="n">
        <f aca="false">O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124105.551351351</v>
      </c>
      <c r="T10" s="24" t="n">
        <f aca="false">P10+(IF(I10="",J10+INDEX(Simulador!$C$40:$F$40,F10),I10)-J10-INDEX(Simulador!$C$40:$F$40,F10))*Simulador!$C$9-INDEX(Simulador!$C$69:$F$69,F10)+IF(Simulador!$N$7="Sí",MAX(0,IF(I10="",J10+INDEX(Simulador!$C$40:$F$40,F10),I10)-INDEX(Simulador!$C$41:$F$41,F10))*(INDEX(Simulador!$C$68:$F$68,F10)+Simulador!$N$8)/Simulador!$C$7,0)</f>
        <v>98002.3924324324</v>
      </c>
      <c r="U10" s="2"/>
      <c r="W10" s="45" t="s">
        <v>352</v>
      </c>
      <c r="X10" s="45" t="n">
        <f aca="false">COUNTIF(C59:C67,"&gt;0")</f>
        <v>9</v>
      </c>
    </row>
    <row r="11" customFormat="false" ht="15" hidden="false" customHeight="false" outlineLevel="0" collapsed="false">
      <c r="B11" s="40" t="n">
        <v>45743</v>
      </c>
      <c r="C11" s="13" t="s">
        <v>437</v>
      </c>
      <c r="D11" s="41" t="n">
        <v>0.00640079979517441</v>
      </c>
      <c r="E11" s="13" t="s">
        <v>363</v>
      </c>
      <c r="F11" s="18" t="n">
        <f aca="false">MATCH(E11,{"Misma locación","0.15 - 5 km","5 - 10 km","10+ km"},0)</f>
        <v>1</v>
      </c>
      <c r="G11" s="18" t="n">
        <f aca="false">MONTH(B11)</f>
        <v>3</v>
      </c>
      <c r="H11" s="18" t="n">
        <f aca="false">COUNTIF($G$8:G11,G11)</f>
        <v>3</v>
      </c>
      <c r="I11" s="41" t="n">
        <v>11.75</v>
      </c>
      <c r="J11" s="42" t="n">
        <f aca="false">INDEX(Simulador!$C$39:$F$39,F11)</f>
        <v>12</v>
      </c>
      <c r="K11" s="43" t="n">
        <f aca="false">IF(I11="","",I11-J11)</f>
        <v>-0.25</v>
      </c>
      <c r="L11" s="44" t="n">
        <f aca="false">INDEX(Simulador!$C$51:$F$51,F11)</f>
        <v>76047.4054054054</v>
      </c>
      <c r="M11" s="24" t="n">
        <f aca="false">IF(H11&gt;=Simulador!$C$19,INDEX(Simulador!$C$63:$F$63,F11),INDEX(Simulador!$C$62:$F$62,F11))</f>
        <v>58116.7137837838</v>
      </c>
      <c r="N11" s="24" t="n">
        <f aca="false">INDEX(Simulador!$C$64:$F$64,F11)</f>
        <v>68381.1581081081</v>
      </c>
      <c r="O11" s="24" t="n">
        <f aca="false">IF(H11&gt;=Simulador!$C$19,INDEX(Simulador!$C$65:$F$65,F11),INDEX(Simulador!$C$64:$F$64,F11))</f>
        <v>68381.1581081081</v>
      </c>
      <c r="P11" s="24" t="n">
        <f aca="false">IF(H11&gt;=Simulador!$C$19,INDEX(Simulador!$C$67:$F$67,F11),INDEX(Simulador!$C$66:$F$66,F11))</f>
        <v>58075.5140540541</v>
      </c>
      <c r="Q11" s="24" t="n">
        <f aca="false">M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57752.7137837838</v>
      </c>
      <c r="R11" s="24" t="n">
        <f aca="false">N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S11" s="24" t="n">
        <f aca="false">O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68017.1581081081</v>
      </c>
      <c r="T11" s="24" t="n">
        <f aca="false">P11+(IF(I11="",J11+INDEX(Simulador!$C$40:$F$40,F11),I11)-J11-INDEX(Simulador!$C$40:$F$40,F11))*Simulador!$C$9-INDEX(Simulador!$C$69:$F$69,F11)+IF(Simulador!$N$7="Sí",MAX(0,IF(I11="",J11+INDEX(Simulador!$C$40:$F$40,F11),I11)-INDEX(Simulador!$C$41:$F$41,F11))*(INDEX(Simulador!$C$68:$F$68,F11)+Simulador!$N$8)/Simulador!$C$7,0)</f>
        <v>57711.5140540541</v>
      </c>
      <c r="U11" s="2"/>
      <c r="W11" s="45" t="s">
        <v>355</v>
      </c>
      <c r="X11" s="46" t="n">
        <f aca="false">X9/X10</f>
        <v>5</v>
      </c>
    </row>
    <row r="12" customFormat="false" ht="15" hidden="false" customHeight="false" outlineLevel="0" collapsed="false">
      <c r="B12" s="40" t="n">
        <v>45747</v>
      </c>
      <c r="C12" s="13" t="s">
        <v>438</v>
      </c>
      <c r="D12" s="41" t="n">
        <v>0.6</v>
      </c>
      <c r="E12" s="13" t="s">
        <v>349</v>
      </c>
      <c r="F12" s="18" t="n">
        <f aca="false">MATCH(E12,{"Misma locación","0.15 - 5 km","5 - 10 km","10+ km"},0)</f>
        <v>2</v>
      </c>
      <c r="G12" s="18" t="n">
        <f aca="false">MONTH(B12)</f>
        <v>3</v>
      </c>
      <c r="H12" s="18" t="n">
        <f aca="false">COUNTIF($G$8:G12,G12)</f>
        <v>4</v>
      </c>
      <c r="I12" s="41" t="n">
        <v>19.5</v>
      </c>
      <c r="J12" s="42" t="n">
        <f aca="false">INDEX(Simulador!$C$39:$F$39,F12)</f>
        <v>18</v>
      </c>
      <c r="K12" s="43" t="n">
        <f aca="false">IF(I12="","",I12-J12)</f>
        <v>1.5</v>
      </c>
      <c r="L12" s="44" t="n">
        <f aca="false">INDEX(Simulador!$C$51:$F$51,F12)</f>
        <v>99473.8108108108</v>
      </c>
      <c r="M12" s="24" t="n">
        <f aca="false">IF(H12&gt;=Simulador!$C$19,INDEX(Simulador!$C$63:$F$63,F12),INDEX(Simulador!$C$62:$F$62,F12))</f>
        <v>88600.7254054054</v>
      </c>
      <c r="N12" s="24" t="n">
        <f aca="false">INDEX(Simulador!$C$64:$F$64,F12)</f>
        <v>111149.808108108</v>
      </c>
      <c r="O12" s="24" t="n">
        <f aca="false">IF(H12&gt;=Simulador!$C$19,INDEX(Simulador!$C$65:$F$65,F12),INDEX(Simulador!$C$64:$F$64,F12))</f>
        <v>111149.808108108</v>
      </c>
      <c r="P12" s="24" t="n">
        <f aca="false">IF(H12&gt;=Simulador!$C$19,INDEX(Simulador!$C$67:$F$67,F12),INDEX(Simulador!$C$66:$F$66,F12))</f>
        <v>85046.6491891892</v>
      </c>
      <c r="Q12" s="24" t="n">
        <f aca="false">M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90784.7254054054</v>
      </c>
      <c r="R12" s="24" t="n">
        <f aca="false">N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S12" s="24" t="n">
        <f aca="false">O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113333.808108108</v>
      </c>
      <c r="T12" s="24" t="n">
        <f aca="false">P12+(IF(I12="",J12+INDEX(Simulador!$C$40:$F$40,F12),I12)-J12-INDEX(Simulador!$C$40:$F$40,F12))*Simulador!$C$9-INDEX(Simulador!$C$69:$F$69,F12)+IF(Simulador!$N$7="Sí",MAX(0,IF(I12="",J12+INDEX(Simulador!$C$40:$F$40,F12),I12)-INDEX(Simulador!$C$41:$F$41,F12))*(INDEX(Simulador!$C$68:$F$68,F12)+Simulador!$N$8)/Simulador!$C$7,0)</f>
        <v>87230.6491891892</v>
      </c>
      <c r="U12" s="2"/>
      <c r="W12" s="45" t="s">
        <v>357</v>
      </c>
      <c r="X12" s="45" t="n">
        <f aca="false">COUNTIF(C59:C67,"&gt;=6")</f>
        <v>4</v>
      </c>
    </row>
    <row r="13" customFormat="false" ht="15" hidden="false" customHeight="false" outlineLevel="0" collapsed="false">
      <c r="B13" s="40" t="n">
        <v>45752</v>
      </c>
      <c r="C13" s="13" t="s">
        <v>439</v>
      </c>
      <c r="D13" s="41" t="n">
        <v>0.58</v>
      </c>
      <c r="E13" s="13" t="s">
        <v>349</v>
      </c>
      <c r="F13" s="18" t="n">
        <f aca="false">MATCH(E13,{"Misma locación","0.15 - 5 km","5 - 10 km","10+ km"},0)</f>
        <v>2</v>
      </c>
      <c r="G13" s="18" t="n">
        <f aca="false">MONTH(B13)</f>
        <v>4</v>
      </c>
      <c r="H13" s="18" t="n">
        <f aca="false">COUNTIF($G$8:G13,G13)</f>
        <v>1</v>
      </c>
      <c r="I13" s="41" t="n">
        <v>15.75</v>
      </c>
      <c r="J13" s="42" t="n">
        <f aca="false">INDEX(Simulador!$C$39:$F$39,F13)</f>
        <v>18</v>
      </c>
      <c r="K13" s="43" t="n">
        <f aca="false">IF(I13="","",I13-J13)</f>
        <v>-2.25</v>
      </c>
      <c r="L13" s="44" t="n">
        <f aca="false">INDEX(Simulador!$C$51:$F$51,F13)</f>
        <v>99473.8108108108</v>
      </c>
      <c r="M13" s="24" t="n">
        <f aca="false">IF(H13&gt;=Simulador!$C$19,INDEX(Simulador!$C$63:$F$63,F13),INDEX(Simulador!$C$62:$F$62,F13))</f>
        <v>88600.7254054054</v>
      </c>
      <c r="N13" s="24" t="n">
        <f aca="false">INDEX(Simulador!$C$64:$F$64,F13)</f>
        <v>111149.808108108</v>
      </c>
      <c r="O13" s="24" t="n">
        <f aca="false">IF(H13&gt;=Simulador!$C$19,INDEX(Simulador!$C$65:$F$65,F13),INDEX(Simulador!$C$64:$F$64,F13))</f>
        <v>111149.808108108</v>
      </c>
      <c r="P13" s="24" t="n">
        <f aca="false">IF(H13&gt;=Simulador!$C$19,INDEX(Simulador!$C$67:$F$67,F13),INDEX(Simulador!$C$66:$F$66,F13))</f>
        <v>85046.6491891892</v>
      </c>
      <c r="Q13" s="24" t="n">
        <f aca="false">M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85324.7254054054</v>
      </c>
      <c r="R13" s="24" t="n">
        <f aca="false">N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S13" s="24" t="n">
        <f aca="false">O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107873.808108108</v>
      </c>
      <c r="T13" s="24" t="n">
        <f aca="false">P13+(IF(I13="",J13+INDEX(Simulador!$C$40:$F$40,F13),I13)-J13-INDEX(Simulador!$C$40:$F$40,F13))*Simulador!$C$9-INDEX(Simulador!$C$69:$F$69,F13)+IF(Simulador!$N$7="Sí",MAX(0,IF(I13="",J13+INDEX(Simulador!$C$40:$F$40,F13),I13)-INDEX(Simulador!$C$41:$F$41,F13))*(INDEX(Simulador!$C$68:$F$68,F13)+Simulador!$N$8)/Simulador!$C$7,0)</f>
        <v>81770.6491891892</v>
      </c>
      <c r="U13" s="2"/>
      <c r="W13" s="45" t="s">
        <v>359</v>
      </c>
      <c r="X13" s="45" t="n">
        <f aca="false">COUNTIF(C59:C67,"&lt;5")</f>
        <v>3</v>
      </c>
    </row>
    <row r="14" customFormat="false" ht="15" hidden="false" customHeight="false" outlineLevel="0" collapsed="false">
      <c r="B14" s="40" t="n">
        <v>45756</v>
      </c>
      <c r="C14" s="13" t="s">
        <v>440</v>
      </c>
      <c r="D14" s="41" t="n">
        <v>0.0128015995903488</v>
      </c>
      <c r="E14" s="13" t="s">
        <v>363</v>
      </c>
      <c r="F14" s="18" t="n">
        <f aca="false">MATCH(E14,{"Misma locación","0.15 - 5 km","5 - 10 km","10+ km"},0)</f>
        <v>1</v>
      </c>
      <c r="G14" s="18" t="n">
        <f aca="false">MONTH(B14)</f>
        <v>4</v>
      </c>
      <c r="H14" s="18" t="n">
        <f aca="false">COUNTIF($G$8:G14,G14)</f>
        <v>2</v>
      </c>
      <c r="I14" s="41" t="n">
        <v>15.5</v>
      </c>
      <c r="J14" s="42" t="n">
        <f aca="false">INDEX(Simulador!$C$39:$F$39,F14)</f>
        <v>12</v>
      </c>
      <c r="K14" s="43" t="n">
        <f aca="false">IF(I14="","",I14-J14)</f>
        <v>3.5</v>
      </c>
      <c r="L14" s="44" t="n">
        <f aca="false">INDEX(Simulador!$C$51:$F$51,F14)</f>
        <v>76047.4054054054</v>
      </c>
      <c r="M14" s="24" t="n">
        <f aca="false">IF(H14&gt;=Simulador!$C$19,INDEX(Simulador!$C$63:$F$63,F14),INDEX(Simulador!$C$62:$F$62,F14))</f>
        <v>58116.7137837838</v>
      </c>
      <c r="N14" s="24" t="n">
        <f aca="false">INDEX(Simulador!$C$64:$F$64,F14)</f>
        <v>68381.1581081081</v>
      </c>
      <c r="O14" s="24" t="n">
        <f aca="false">IF(H14&gt;=Simulador!$C$19,INDEX(Simulador!$C$65:$F$65,F14),INDEX(Simulador!$C$64:$F$64,F14))</f>
        <v>68381.1581081081</v>
      </c>
      <c r="P14" s="24" t="n">
        <f aca="false">IF(H14&gt;=Simulador!$C$19,INDEX(Simulador!$C$67:$F$67,F14),INDEX(Simulador!$C$66:$F$66,F14))</f>
        <v>58075.5140540541</v>
      </c>
      <c r="Q14" s="24" t="n">
        <f aca="false">M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67962.7813513514</v>
      </c>
      <c r="R14" s="24" t="n">
        <f aca="false">N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S14" s="24" t="n">
        <f aca="false">O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78227.2256756757</v>
      </c>
      <c r="T14" s="24" t="n">
        <f aca="false">P14+(IF(I14="",J14+INDEX(Simulador!$C$40:$F$40,F14),I14)-J14-INDEX(Simulador!$C$40:$F$40,F14))*Simulador!$C$9-INDEX(Simulador!$C$69:$F$69,F14)+IF(Simulador!$N$7="Sí",MAX(0,IF(I14="",J14+INDEX(Simulador!$C$40:$F$40,F14),I14)-INDEX(Simulador!$C$41:$F$41,F14))*(INDEX(Simulador!$C$68:$F$68,F14)+Simulador!$N$8)/Simulador!$C$7,0)</f>
        <v>67921.5816216216</v>
      </c>
      <c r="U14" s="2"/>
    </row>
    <row r="15" customFormat="false" ht="15" hidden="false" customHeight="false" outlineLevel="0" collapsed="false">
      <c r="B15" s="40" t="n">
        <v>45759</v>
      </c>
      <c r="C15" s="13" t="s">
        <v>441</v>
      </c>
      <c r="D15" s="41" t="n">
        <v>8.2</v>
      </c>
      <c r="E15" s="13" t="s">
        <v>361</v>
      </c>
      <c r="F15" s="18" t="n">
        <f aca="false">MATCH(E15,{"Misma locación","0.15 - 5 km","5 - 10 km","10+ km"},0)</f>
        <v>3</v>
      </c>
      <c r="G15" s="18" t="n">
        <f aca="false">MONTH(B15)</f>
        <v>4</v>
      </c>
      <c r="H15" s="18" t="n">
        <f aca="false">COUNTIF($G$8:G15,G15)</f>
        <v>3</v>
      </c>
      <c r="I15" s="41" t="n">
        <v>20</v>
      </c>
      <c r="J15" s="42" t="n">
        <f aca="false">INDEX(Simulador!$C$39:$F$39,F15)</f>
        <v>24</v>
      </c>
      <c r="K15" s="43" t="n">
        <f aca="false">IF(I15="","",I15-J15)</f>
        <v>-4</v>
      </c>
      <c r="L15" s="44" t="n">
        <f aca="false">INDEX(Simulador!$C$51:$F$51,F15)</f>
        <v>96184.8108108108</v>
      </c>
      <c r="M15" s="24" t="n">
        <f aca="false">IF(H15&gt;=Simulador!$C$19,INDEX(Simulador!$C$63:$F$63,F15),INDEX(Simulador!$C$62:$F$62,F15))</f>
        <v>102096.161621622</v>
      </c>
      <c r="N15" s="24" t="n">
        <f aca="false">INDEX(Simulador!$C$64:$F$64,F15)</f>
        <v>138633.155135135</v>
      </c>
      <c r="O15" s="24" t="n">
        <f aca="false">IF(H15&gt;=Simulador!$C$19,INDEX(Simulador!$C$65:$F$65,F15),INDEX(Simulador!$C$64:$F$64,F15))</f>
        <v>138633.155135135</v>
      </c>
      <c r="P15" s="24" t="n">
        <f aca="false">IF(H15&gt;=Simulador!$C$19,INDEX(Simulador!$C$67:$F$67,F15),INDEX(Simulador!$C$66:$F$66,F15))</f>
        <v>104944.811351351</v>
      </c>
      <c r="Q15" s="24" t="n">
        <f aca="false">M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96272.1616216216</v>
      </c>
      <c r="R15" s="24" t="n">
        <f aca="false">N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S15" s="24" t="n">
        <f aca="false">O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132809.155135135</v>
      </c>
      <c r="T15" s="24" t="n">
        <f aca="false">P15+(IF(I15="",J15+INDEX(Simulador!$C$40:$F$40,F15),I15)-J15-INDEX(Simulador!$C$40:$F$40,F15))*Simulador!$C$9-INDEX(Simulador!$C$69:$F$69,F15)+IF(Simulador!$N$7="Sí",MAX(0,IF(I15="",J15+INDEX(Simulador!$C$40:$F$40,F15),I15)-INDEX(Simulador!$C$41:$F$41,F15))*(INDEX(Simulador!$C$68:$F$68,F15)+Simulador!$N$8)/Simulador!$C$7,0)</f>
        <v>99120.8113513514</v>
      </c>
      <c r="U15" s="2"/>
    </row>
    <row r="16" customFormat="false" ht="15" hidden="false" customHeight="false" outlineLevel="0" collapsed="false">
      <c r="B16" s="40" t="n">
        <v>45763</v>
      </c>
      <c r="C16" s="13" t="s">
        <v>442</v>
      </c>
      <c r="D16" s="41" t="n">
        <v>0.0384047987710464</v>
      </c>
      <c r="E16" s="13" t="s">
        <v>363</v>
      </c>
      <c r="F16" s="18" t="n">
        <f aca="false">MATCH(E16,{"Misma locación","0.15 - 5 km","5 - 10 km","10+ km"},0)</f>
        <v>1</v>
      </c>
      <c r="G16" s="18" t="n">
        <f aca="false">MONTH(B16)</f>
        <v>4</v>
      </c>
      <c r="H16" s="18" t="n">
        <f aca="false">COUNTIF($G$8:G16,G16)</f>
        <v>4</v>
      </c>
      <c r="I16" s="41" t="n">
        <v>13.5</v>
      </c>
      <c r="J16" s="42" t="n">
        <f aca="false">INDEX(Simulador!$C$39:$F$39,F16)</f>
        <v>12</v>
      </c>
      <c r="K16" s="43" t="n">
        <f aca="false">IF(I16="","",I16-J16)</f>
        <v>1.5</v>
      </c>
      <c r="L16" s="44" t="n">
        <f aca="false">INDEX(Simulador!$C$51:$F$51,F16)</f>
        <v>76047.4054054054</v>
      </c>
      <c r="M16" s="24" t="n">
        <f aca="false">IF(H16&gt;=Simulador!$C$19,INDEX(Simulador!$C$63:$F$63,F16),INDEX(Simulador!$C$62:$F$62,F16))</f>
        <v>58116.7137837838</v>
      </c>
      <c r="N16" s="24" t="n">
        <f aca="false">INDEX(Simulador!$C$64:$F$64,F16)</f>
        <v>68381.1581081081</v>
      </c>
      <c r="O16" s="24" t="n">
        <f aca="false">IF(H16&gt;=Simulador!$C$19,INDEX(Simulador!$C$65:$F$65,F16),INDEX(Simulador!$C$64:$F$64,F16))</f>
        <v>68381.1581081081</v>
      </c>
      <c r="P16" s="24" t="n">
        <f aca="false">IF(H16&gt;=Simulador!$C$19,INDEX(Simulador!$C$67:$F$67,F16),INDEX(Simulador!$C$66:$F$66,F16))</f>
        <v>58075.5140540541</v>
      </c>
      <c r="Q16" s="24" t="n">
        <f aca="false">M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62336.457027027</v>
      </c>
      <c r="R16" s="24" t="n">
        <f aca="false">N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S16" s="24" t="n">
        <f aca="false">O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72600.9013513514</v>
      </c>
      <c r="T16" s="24" t="n">
        <f aca="false">P16+(IF(I16="",J16+INDEX(Simulador!$C$40:$F$40,F16),I16)-J16-INDEX(Simulador!$C$40:$F$40,F16))*Simulador!$C$9-INDEX(Simulador!$C$69:$F$69,F16)+IF(Simulador!$N$7="Sí",MAX(0,IF(I16="",J16+INDEX(Simulador!$C$40:$F$40,F16),I16)-INDEX(Simulador!$C$41:$F$41,F16))*(INDEX(Simulador!$C$68:$F$68,F16)+Simulador!$N$8)/Simulador!$C$7,0)</f>
        <v>62295.2572972973</v>
      </c>
      <c r="U16" s="2"/>
    </row>
    <row r="17" customFormat="false" ht="15" hidden="false" customHeight="false" outlineLevel="0" collapsed="false">
      <c r="B17" s="40" t="n">
        <v>45767</v>
      </c>
      <c r="C17" s="13" t="s">
        <v>443</v>
      </c>
      <c r="D17" s="41" t="n">
        <v>0.4</v>
      </c>
      <c r="E17" s="13" t="s">
        <v>349</v>
      </c>
      <c r="F17" s="18" t="n">
        <f aca="false">MATCH(E17,{"Misma locación","0.15 - 5 km","5 - 10 km","10+ km"},0)</f>
        <v>2</v>
      </c>
      <c r="G17" s="18" t="n">
        <f aca="false">MONTH(B17)</f>
        <v>4</v>
      </c>
      <c r="H17" s="18" t="n">
        <f aca="false">COUNTIF($G$8:G17,G17)</f>
        <v>5</v>
      </c>
      <c r="I17" s="41" t="n">
        <v>15</v>
      </c>
      <c r="J17" s="42" t="n">
        <f aca="false">INDEX(Simulador!$C$39:$F$39,F17)</f>
        <v>18</v>
      </c>
      <c r="K17" s="43" t="n">
        <f aca="false">IF(I17="","",I17-J17)</f>
        <v>-3</v>
      </c>
      <c r="L17" s="44" t="n">
        <f aca="false">INDEX(Simulador!$C$51:$F$51,F17)</f>
        <v>99473.8108108108</v>
      </c>
      <c r="M17" s="24" t="n">
        <f aca="false">IF(H17&gt;=Simulador!$C$19,INDEX(Simulador!$C$63:$F$63,F17),INDEX(Simulador!$C$62:$F$62,F17))</f>
        <v>88600.7254054054</v>
      </c>
      <c r="N17" s="24" t="n">
        <f aca="false">INDEX(Simulador!$C$64:$F$64,F17)</f>
        <v>111149.808108108</v>
      </c>
      <c r="O17" s="24" t="n">
        <f aca="false">IF(H17&gt;=Simulador!$C$19,INDEX(Simulador!$C$65:$F$65,F17),INDEX(Simulador!$C$64:$F$64,F17))</f>
        <v>111149.808108108</v>
      </c>
      <c r="P17" s="24" t="n">
        <f aca="false">IF(H17&gt;=Simulador!$C$19,INDEX(Simulador!$C$67:$F$67,F17),INDEX(Simulador!$C$66:$F$66,F17))</f>
        <v>85046.6491891892</v>
      </c>
      <c r="Q17" s="24" t="n">
        <f aca="false">M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84232.7254054054</v>
      </c>
      <c r="R17" s="24" t="n">
        <f aca="false">N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S17" s="24" t="n">
        <f aca="false">O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106781.808108108</v>
      </c>
      <c r="T17" s="24" t="n">
        <f aca="false">P17+(IF(I17="",J17+INDEX(Simulador!$C$40:$F$40,F17),I17)-J17-INDEX(Simulador!$C$40:$F$40,F17))*Simulador!$C$9-INDEX(Simulador!$C$69:$F$69,F17)+IF(Simulador!$N$7="Sí",MAX(0,IF(I17="",J17+INDEX(Simulador!$C$40:$F$40,F17),I17)-INDEX(Simulador!$C$41:$F$41,F17))*(INDEX(Simulador!$C$68:$F$68,F17)+Simulador!$N$8)/Simulador!$C$7,0)</f>
        <v>80678.6491891892</v>
      </c>
      <c r="U17" s="2"/>
    </row>
    <row r="18" customFormat="false" ht="15" hidden="false" customHeight="false" outlineLevel="0" collapsed="false">
      <c r="B18" s="40" t="n">
        <v>45770</v>
      </c>
      <c r="C18" s="13" t="s">
        <v>444</v>
      </c>
      <c r="D18" s="41" t="n">
        <v>0.107289596566733</v>
      </c>
      <c r="E18" s="13" t="s">
        <v>363</v>
      </c>
      <c r="F18" s="18" t="n">
        <f aca="false">MATCH(E18,{"Misma locación","0.15 - 5 km","5 - 10 km","10+ km"},0)</f>
        <v>1</v>
      </c>
      <c r="G18" s="18" t="n">
        <f aca="false">MONTH(B18)</f>
        <v>4</v>
      </c>
      <c r="H18" s="18" t="n">
        <f aca="false">COUNTIF($G$8:G18,G18)</f>
        <v>6</v>
      </c>
      <c r="I18" s="41" t="n">
        <v>13.5</v>
      </c>
      <c r="J18" s="42" t="n">
        <f aca="false">INDEX(Simulador!$C$39:$F$39,F18)</f>
        <v>12</v>
      </c>
      <c r="K18" s="43" t="n">
        <f aca="false">IF(I18="","",I18-J18)</f>
        <v>1.5</v>
      </c>
      <c r="L18" s="44" t="n">
        <f aca="false">INDEX(Simulador!$C$51:$F$51,F18)</f>
        <v>76047.4054054054</v>
      </c>
      <c r="M18" s="24" t="n">
        <f aca="false">IF(H18&gt;=Simulador!$C$19,INDEX(Simulador!$C$63:$F$63,F18),INDEX(Simulador!$C$62:$F$62,F18))</f>
        <v>39145.7082432432</v>
      </c>
      <c r="N18" s="24" t="n">
        <f aca="false">INDEX(Simulador!$C$64:$F$64,F18)</f>
        <v>68381.1581081081</v>
      </c>
      <c r="O18" s="24" t="n">
        <f aca="false">IF(H18&gt;=Simulador!$C$19,INDEX(Simulador!$C$65:$F$65,F18),INDEX(Simulador!$C$64:$F$64,F18))</f>
        <v>44277.9304054054</v>
      </c>
      <c r="P18" s="24" t="n">
        <f aca="false">IF(H18&gt;=Simulador!$C$19,INDEX(Simulador!$C$67:$F$67,F18),INDEX(Simulador!$C$66:$F$66,F18))</f>
        <v>53466.5945945946</v>
      </c>
      <c r="Q18" s="24" t="n">
        <f aca="false">M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43365.4514864865</v>
      </c>
      <c r="R18" s="24" t="n">
        <f aca="false">N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72600.9013513514</v>
      </c>
      <c r="S18" s="24" t="n">
        <f aca="false">O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48497.6736486487</v>
      </c>
      <c r="T18" s="24" t="n">
        <f aca="false">P18+(IF(I18="",J18+INDEX(Simulador!$C$40:$F$40,F18),I18)-J18-INDEX(Simulador!$C$40:$F$40,F18))*Simulador!$C$9-INDEX(Simulador!$C$69:$F$69,F18)+IF(Simulador!$N$7="Sí",MAX(0,IF(I18="",J18+INDEX(Simulador!$C$40:$F$40,F18),I18)-INDEX(Simulador!$C$41:$F$41,F18))*(INDEX(Simulador!$C$68:$F$68,F18)+Simulador!$N$8)/Simulador!$C$7,0)</f>
        <v>57686.3378378378</v>
      </c>
      <c r="U18" s="2"/>
    </row>
    <row r="19" customFormat="false" ht="15" hidden="false" customHeight="false" outlineLevel="0" collapsed="false">
      <c r="B19" s="40" t="n">
        <v>45774</v>
      </c>
      <c r="C19" s="13" t="s">
        <v>445</v>
      </c>
      <c r="D19" s="41" t="n">
        <v>7.2</v>
      </c>
      <c r="E19" s="13" t="s">
        <v>361</v>
      </c>
      <c r="F19" s="18" t="n">
        <f aca="false">MATCH(E19,{"Misma locación","0.15 - 5 km","5 - 10 km","10+ km"},0)</f>
        <v>3</v>
      </c>
      <c r="G19" s="18" t="n">
        <f aca="false">MONTH(B19)</f>
        <v>4</v>
      </c>
      <c r="H19" s="18" t="n">
        <f aca="false">COUNTIF($G$8:G19,G19)</f>
        <v>7</v>
      </c>
      <c r="I19" s="41" t="n">
        <v>27</v>
      </c>
      <c r="J19" s="42" t="n">
        <f aca="false">INDEX(Simulador!$C$39:$F$39,F19)</f>
        <v>24</v>
      </c>
      <c r="K19" s="43" t="n">
        <f aca="false">IF(I19="","",I19-J19)</f>
        <v>3</v>
      </c>
      <c r="L19" s="44" t="n">
        <f aca="false">INDEX(Simulador!$C$51:$F$51,F19)</f>
        <v>96184.8108108108</v>
      </c>
      <c r="M19" s="24" t="n">
        <f aca="false">IF(H19&gt;=Simulador!$C$19,INDEX(Simulador!$C$63:$F$63,F19),INDEX(Simulador!$C$62:$F$62,F19))</f>
        <v>69871.4321621622</v>
      </c>
      <c r="N19" s="24" t="n">
        <f aca="false">INDEX(Simulador!$C$64:$F$64,F19)</f>
        <v>138633.155135135</v>
      </c>
      <c r="O19" s="24" t="n">
        <f aca="false">IF(H19&gt;=Simulador!$C$19,INDEX(Simulador!$C$65:$F$65,F19),INDEX(Simulador!$C$64:$F$64,F19))</f>
        <v>88139.9289189189</v>
      </c>
      <c r="P19" s="24" t="n">
        <f aca="false">IF(H19&gt;=Simulador!$C$19,INDEX(Simulador!$C$67:$F$67,F19),INDEX(Simulador!$C$66:$F$66,F19))</f>
        <v>75215.6216216216</v>
      </c>
      <c r="Q19" s="24" t="n">
        <f aca="false">M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74239.4321621622</v>
      </c>
      <c r="R19" s="24" t="n">
        <f aca="false">N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143001.155135135</v>
      </c>
      <c r="S19" s="24" t="n">
        <f aca="false">O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92507.9289189189</v>
      </c>
      <c r="T19" s="24" t="n">
        <f aca="false">P19+(IF(I19="",J19+INDEX(Simulador!$C$40:$F$40,F19),I19)-J19-INDEX(Simulador!$C$40:$F$40,F19))*Simulador!$C$9-INDEX(Simulador!$C$69:$F$69,F19)+IF(Simulador!$N$7="Sí",MAX(0,IF(I19="",J19+INDEX(Simulador!$C$40:$F$40,F19),I19)-INDEX(Simulador!$C$41:$F$41,F19))*(INDEX(Simulador!$C$68:$F$68,F19)+Simulador!$N$8)/Simulador!$C$7,0)</f>
        <v>79583.6216216216</v>
      </c>
      <c r="U19" s="2"/>
    </row>
    <row r="20" customFormat="false" ht="15" hidden="false" customHeight="false" outlineLevel="0" collapsed="false">
      <c r="B20" s="40" t="n">
        <v>45781</v>
      </c>
      <c r="C20" s="13" t="s">
        <v>446</v>
      </c>
      <c r="D20" s="41" t="n">
        <v>5.9</v>
      </c>
      <c r="E20" s="13" t="s">
        <v>361</v>
      </c>
      <c r="F20" s="18" t="n">
        <f aca="false">MATCH(E20,{"Misma locación","0.15 - 5 km","5 - 10 km","10+ km"},0)</f>
        <v>3</v>
      </c>
      <c r="G20" s="18" t="n">
        <f aca="false">MONTH(B20)</f>
        <v>5</v>
      </c>
      <c r="H20" s="18" t="n">
        <f aca="false">COUNTIF($G$8:G20,G20)</f>
        <v>1</v>
      </c>
      <c r="I20" s="41" t="n">
        <v>19.25</v>
      </c>
      <c r="J20" s="42" t="n">
        <f aca="false">INDEX(Simulador!$C$39:$F$39,F20)</f>
        <v>24</v>
      </c>
      <c r="K20" s="43" t="n">
        <f aca="false">IF(I20="","",I20-J20)</f>
        <v>-4.75</v>
      </c>
      <c r="L20" s="44" t="n">
        <f aca="false">INDEX(Simulador!$C$51:$F$51,F20)</f>
        <v>96184.8108108108</v>
      </c>
      <c r="M20" s="24" t="n">
        <f aca="false">IF(H20&gt;=Simulador!$C$19,INDEX(Simulador!$C$63:$F$63,F20),INDEX(Simulador!$C$62:$F$62,F20))</f>
        <v>102096.161621622</v>
      </c>
      <c r="N20" s="24" t="n">
        <f aca="false">INDEX(Simulador!$C$64:$F$64,F20)</f>
        <v>138633.155135135</v>
      </c>
      <c r="O20" s="24" t="n">
        <f aca="false">IF(H20&gt;=Simulador!$C$19,INDEX(Simulador!$C$65:$F$65,F20),INDEX(Simulador!$C$64:$F$64,F20))</f>
        <v>138633.155135135</v>
      </c>
      <c r="P20" s="24" t="n">
        <f aca="false">IF(H20&gt;=Simulador!$C$19,INDEX(Simulador!$C$67:$F$67,F20),INDEX(Simulador!$C$66:$F$66,F20))</f>
        <v>104944.811351351</v>
      </c>
      <c r="Q20" s="24" t="n">
        <f aca="false">M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95180.1616216216</v>
      </c>
      <c r="R20" s="24" t="n">
        <f aca="false">N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S20" s="24" t="n">
        <f aca="false">O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131717.155135135</v>
      </c>
      <c r="T20" s="24" t="n">
        <f aca="false">P20+(IF(I20="",J20+INDEX(Simulador!$C$40:$F$40,F20),I20)-J20-INDEX(Simulador!$C$40:$F$40,F20))*Simulador!$C$9-INDEX(Simulador!$C$69:$F$69,F20)+IF(Simulador!$N$7="Sí",MAX(0,IF(I20="",J20+INDEX(Simulador!$C$40:$F$40,F20),I20)-INDEX(Simulador!$C$41:$F$41,F20))*(INDEX(Simulador!$C$68:$F$68,F20)+Simulador!$N$8)/Simulador!$C$7,0)</f>
        <v>98028.8113513514</v>
      </c>
      <c r="U20" s="2"/>
    </row>
    <row r="21" customFormat="false" ht="15" hidden="false" customHeight="false" outlineLevel="0" collapsed="false">
      <c r="B21" s="40" t="n">
        <v>45786</v>
      </c>
      <c r="C21" s="13" t="s">
        <v>447</v>
      </c>
      <c r="D21" s="41" t="n">
        <v>1.3</v>
      </c>
      <c r="E21" s="13" t="s">
        <v>349</v>
      </c>
      <c r="F21" s="18" t="n">
        <f aca="false">MATCH(E21,{"Misma locación","0.15 - 5 km","5 - 10 km","10+ km"},0)</f>
        <v>2</v>
      </c>
      <c r="G21" s="18" t="n">
        <f aca="false">MONTH(B21)</f>
        <v>5</v>
      </c>
      <c r="H21" s="18" t="n">
        <f aca="false">COUNTIF($G$8:G21,G21)</f>
        <v>2</v>
      </c>
      <c r="I21" s="41" t="n">
        <v>46</v>
      </c>
      <c r="J21" s="42" t="n">
        <f aca="false">INDEX(Simulador!$C$39:$F$39,F21)</f>
        <v>18</v>
      </c>
      <c r="K21" s="43" t="n">
        <f aca="false">IF(I21="","",I21-J21)</f>
        <v>28</v>
      </c>
      <c r="L21" s="44" t="n">
        <f aca="false">INDEX(Simulador!$C$51:$F$51,F21)</f>
        <v>99473.8108108108</v>
      </c>
      <c r="M21" s="24" t="n">
        <f aca="false">IF(H21&gt;=Simulador!$C$19,INDEX(Simulador!$C$63:$F$63,F21),INDEX(Simulador!$C$62:$F$62,F21))</f>
        <v>88600.7254054054</v>
      </c>
      <c r="N21" s="24" t="n">
        <f aca="false">INDEX(Simulador!$C$64:$F$64,F21)</f>
        <v>111149.808108108</v>
      </c>
      <c r="O21" s="24" t="n">
        <f aca="false">IF(H21&gt;=Simulador!$C$19,INDEX(Simulador!$C$65:$F$65,F21),INDEX(Simulador!$C$64:$F$64,F21))</f>
        <v>111149.808108108</v>
      </c>
      <c r="P21" s="24" t="n">
        <f aca="false">IF(H21&gt;=Simulador!$C$19,INDEX(Simulador!$C$67:$F$67,F21),INDEX(Simulador!$C$66:$F$66,F21))</f>
        <v>85046.6491891892</v>
      </c>
      <c r="Q21" s="24" t="n">
        <f aca="false">M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159226.292972973</v>
      </c>
      <c r="R21" s="24" t="n">
        <f aca="false">N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S21" s="24" t="n">
        <f aca="false">O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181775.375675676</v>
      </c>
      <c r="T21" s="24" t="n">
        <f aca="false">P21+(IF(I21="",J21+INDEX(Simulador!$C$40:$F$40,F21),I21)-J21-INDEX(Simulador!$C$40:$F$40,F21))*Simulador!$C$9-INDEX(Simulador!$C$69:$F$69,F21)+IF(Simulador!$N$7="Sí",MAX(0,IF(I21="",J21+INDEX(Simulador!$C$40:$F$40,F21),I21)-INDEX(Simulador!$C$41:$F$41,F21))*(INDEX(Simulador!$C$68:$F$68,F21)+Simulador!$N$8)/Simulador!$C$7,0)</f>
        <v>155672.216756757</v>
      </c>
      <c r="U21" s="2"/>
    </row>
    <row r="22" customFormat="false" ht="15" hidden="false" customHeight="false" outlineLevel="0" collapsed="false">
      <c r="B22" s="40" t="n">
        <v>45793</v>
      </c>
      <c r="C22" s="13" t="s">
        <v>448</v>
      </c>
      <c r="D22" s="41" t="n">
        <v>4.2</v>
      </c>
      <c r="E22" s="13" t="s">
        <v>349</v>
      </c>
      <c r="F22" s="18" t="n">
        <f aca="false">MATCH(E22,{"Misma locación","0.15 - 5 km","5 - 10 km","10+ km"},0)</f>
        <v>2</v>
      </c>
      <c r="G22" s="18" t="n">
        <f aca="false">MONTH(B22)</f>
        <v>5</v>
      </c>
      <c r="H22" s="18" t="n">
        <f aca="false">COUNTIF($G$8:G22,G22)</f>
        <v>3</v>
      </c>
      <c r="I22" s="41" t="n">
        <v>15.5</v>
      </c>
      <c r="J22" s="42" t="n">
        <f aca="false">INDEX(Simulador!$C$39:$F$39,F22)</f>
        <v>18</v>
      </c>
      <c r="K22" s="43" t="n">
        <f aca="false">IF(I22="","",I22-J22)</f>
        <v>-2.5</v>
      </c>
      <c r="L22" s="44" t="n">
        <f aca="false">INDEX(Simulador!$C$51:$F$51,F22)</f>
        <v>99473.8108108108</v>
      </c>
      <c r="M22" s="24" t="n">
        <f aca="false">IF(H22&gt;=Simulador!$C$19,INDEX(Simulador!$C$63:$F$63,F22),INDEX(Simulador!$C$62:$F$62,F22))</f>
        <v>88600.7254054054</v>
      </c>
      <c r="N22" s="24" t="n">
        <f aca="false">INDEX(Simulador!$C$64:$F$64,F22)</f>
        <v>111149.808108108</v>
      </c>
      <c r="O22" s="24" t="n">
        <f aca="false">IF(H22&gt;=Simulador!$C$19,INDEX(Simulador!$C$65:$F$65,F22),INDEX(Simulador!$C$64:$F$64,F22))</f>
        <v>111149.808108108</v>
      </c>
      <c r="P22" s="24" t="n">
        <f aca="false">IF(H22&gt;=Simulador!$C$19,INDEX(Simulador!$C$67:$F$67,F22),INDEX(Simulador!$C$66:$F$66,F22))</f>
        <v>85046.6491891892</v>
      </c>
      <c r="Q22" s="24" t="n">
        <f aca="false">M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84960.7254054054</v>
      </c>
      <c r="R22" s="24" t="n">
        <f aca="false">N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S22" s="24" t="n">
        <f aca="false">O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107509.808108108</v>
      </c>
      <c r="T22" s="24" t="n">
        <f aca="false">P22+(IF(I22="",J22+INDEX(Simulador!$C$40:$F$40,F22),I22)-J22-INDEX(Simulador!$C$40:$F$40,F22))*Simulador!$C$9-INDEX(Simulador!$C$69:$F$69,F22)+IF(Simulador!$N$7="Sí",MAX(0,IF(I22="",J22+INDEX(Simulador!$C$40:$F$40,F22),I22)-INDEX(Simulador!$C$41:$F$41,F22))*(INDEX(Simulador!$C$68:$F$68,F22)+Simulador!$N$8)/Simulador!$C$7,0)</f>
        <v>81406.6491891892</v>
      </c>
      <c r="U22" s="2"/>
    </row>
    <row r="23" customFormat="false" ht="15" hidden="false" customHeight="false" outlineLevel="0" collapsed="false">
      <c r="B23" s="40" t="n">
        <v>45799</v>
      </c>
      <c r="C23" s="13" t="s">
        <v>449</v>
      </c>
      <c r="D23" s="41" t="n">
        <v>5.7</v>
      </c>
      <c r="E23" s="13" t="s">
        <v>361</v>
      </c>
      <c r="F23" s="18" t="n">
        <f aca="false">MATCH(E23,{"Misma locación","0.15 - 5 km","5 - 10 km","10+ km"},0)</f>
        <v>3</v>
      </c>
      <c r="G23" s="18" t="n">
        <f aca="false">MONTH(B23)</f>
        <v>5</v>
      </c>
      <c r="H23" s="18" t="n">
        <f aca="false">COUNTIF($G$8:G23,G23)</f>
        <v>4</v>
      </c>
      <c r="I23" s="41" t="n">
        <v>23.25</v>
      </c>
      <c r="J23" s="42" t="n">
        <f aca="false">INDEX(Simulador!$C$39:$F$39,F23)</f>
        <v>24</v>
      </c>
      <c r="K23" s="43" t="n">
        <f aca="false">IF(I23="","",I23-J23)</f>
        <v>-0.75</v>
      </c>
      <c r="L23" s="44" t="n">
        <f aca="false">INDEX(Simulador!$C$51:$F$51,F23)</f>
        <v>96184.8108108108</v>
      </c>
      <c r="M23" s="24" t="n">
        <f aca="false">IF(H23&gt;=Simulador!$C$19,INDEX(Simulador!$C$63:$F$63,F23),INDEX(Simulador!$C$62:$F$62,F23))</f>
        <v>102096.161621622</v>
      </c>
      <c r="N23" s="24" t="n">
        <f aca="false">INDEX(Simulador!$C$64:$F$64,F23)</f>
        <v>138633.155135135</v>
      </c>
      <c r="O23" s="24" t="n">
        <f aca="false">IF(H23&gt;=Simulador!$C$19,INDEX(Simulador!$C$65:$F$65,F23),INDEX(Simulador!$C$64:$F$64,F23))</f>
        <v>138633.155135135</v>
      </c>
      <c r="P23" s="24" t="n">
        <f aca="false">IF(H23&gt;=Simulador!$C$19,INDEX(Simulador!$C$67:$F$67,F23),INDEX(Simulador!$C$66:$F$66,F23))</f>
        <v>104944.811351351</v>
      </c>
      <c r="Q23" s="24" t="n">
        <f aca="false">M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101004.161621622</v>
      </c>
      <c r="R23" s="24" t="n">
        <f aca="false">N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S23" s="24" t="n">
        <f aca="false">O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137541.155135135</v>
      </c>
      <c r="T23" s="24" t="n">
        <f aca="false">P23+(IF(I23="",J23+INDEX(Simulador!$C$40:$F$40,F23),I23)-J23-INDEX(Simulador!$C$40:$F$40,F23))*Simulador!$C$9-INDEX(Simulador!$C$69:$F$69,F23)+IF(Simulador!$N$7="Sí",MAX(0,IF(I23="",J23+INDEX(Simulador!$C$40:$F$40,F23),I23)-INDEX(Simulador!$C$41:$F$41,F23))*(INDEX(Simulador!$C$68:$F$68,F23)+Simulador!$N$8)/Simulador!$C$7,0)</f>
        <v>103852.811351351</v>
      </c>
      <c r="U23" s="2"/>
    </row>
    <row r="24" customFormat="false" ht="15" hidden="false" customHeight="false" outlineLevel="0" collapsed="false">
      <c r="B24" s="40" t="n">
        <v>45807</v>
      </c>
      <c r="C24" s="13" t="s">
        <v>450</v>
      </c>
      <c r="D24" s="41" t="n">
        <v>4.4</v>
      </c>
      <c r="E24" s="13" t="s">
        <v>349</v>
      </c>
      <c r="F24" s="18" t="n">
        <f aca="false">MATCH(E24,{"Misma locación","0.15 - 5 km","5 - 10 km","10+ km"},0)</f>
        <v>2</v>
      </c>
      <c r="G24" s="18" t="n">
        <f aca="false">MONTH(B24)</f>
        <v>5</v>
      </c>
      <c r="H24" s="18" t="n">
        <f aca="false">COUNTIF($G$8:G24,G24)</f>
        <v>5</v>
      </c>
      <c r="I24" s="41" t="n">
        <v>19.5</v>
      </c>
      <c r="J24" s="42" t="n">
        <f aca="false">INDEX(Simulador!$C$39:$F$39,F24)</f>
        <v>18</v>
      </c>
      <c r="K24" s="43" t="n">
        <f aca="false">IF(I24="","",I24-J24)</f>
        <v>1.5</v>
      </c>
      <c r="L24" s="44" t="n">
        <f aca="false">INDEX(Simulador!$C$51:$F$51,F24)</f>
        <v>99473.8108108108</v>
      </c>
      <c r="M24" s="24" t="n">
        <f aca="false">IF(H24&gt;=Simulador!$C$19,INDEX(Simulador!$C$63:$F$63,F24),INDEX(Simulador!$C$62:$F$62,F24))</f>
        <v>88600.7254054054</v>
      </c>
      <c r="N24" s="24" t="n">
        <f aca="false">INDEX(Simulador!$C$64:$F$64,F24)</f>
        <v>111149.808108108</v>
      </c>
      <c r="O24" s="24" t="n">
        <f aca="false">IF(H24&gt;=Simulador!$C$19,INDEX(Simulador!$C$65:$F$65,F24),INDEX(Simulador!$C$64:$F$64,F24))</f>
        <v>111149.808108108</v>
      </c>
      <c r="P24" s="24" t="n">
        <f aca="false">IF(H24&gt;=Simulador!$C$19,INDEX(Simulador!$C$67:$F$67,F24),INDEX(Simulador!$C$66:$F$66,F24))</f>
        <v>85046.6491891892</v>
      </c>
      <c r="Q24" s="24" t="n">
        <f aca="false">M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90784.7254054054</v>
      </c>
      <c r="R24" s="24" t="n">
        <f aca="false">N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S24" s="24" t="n">
        <f aca="false">O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113333.808108108</v>
      </c>
      <c r="T24" s="24" t="n">
        <f aca="false">P24+(IF(I24="",J24+INDEX(Simulador!$C$40:$F$40,F24),I24)-J24-INDEX(Simulador!$C$40:$F$40,F24))*Simulador!$C$9-INDEX(Simulador!$C$69:$F$69,F24)+IF(Simulador!$N$7="Sí",MAX(0,IF(I24="",J24+INDEX(Simulador!$C$40:$F$40,F24),I24)-INDEX(Simulador!$C$41:$F$41,F24))*(INDEX(Simulador!$C$68:$F$68,F24)+Simulador!$N$8)/Simulador!$C$7,0)</f>
        <v>87230.6491891892</v>
      </c>
      <c r="U24" s="2"/>
    </row>
    <row r="25" customFormat="false" ht="15" hidden="false" customHeight="false" outlineLevel="0" collapsed="false">
      <c r="B25" s="40" t="n">
        <v>45812</v>
      </c>
      <c r="C25" s="13" t="s">
        <v>451</v>
      </c>
      <c r="D25" s="41" t="n">
        <v>0.00640079979517441</v>
      </c>
      <c r="E25" s="13" t="s">
        <v>363</v>
      </c>
      <c r="F25" s="18" t="n">
        <f aca="false">MATCH(E25,{"Misma locación","0.15 - 5 km","5 - 10 km","10+ km"},0)</f>
        <v>1</v>
      </c>
      <c r="G25" s="18" t="n">
        <f aca="false">MONTH(B25)</f>
        <v>6</v>
      </c>
      <c r="H25" s="18" t="n">
        <f aca="false">COUNTIF($G$8:G25,G25)</f>
        <v>1</v>
      </c>
      <c r="I25" s="41" t="n">
        <v>15.75</v>
      </c>
      <c r="J25" s="42" t="n">
        <f aca="false">INDEX(Simulador!$C$39:$F$39,F25)</f>
        <v>12</v>
      </c>
      <c r="K25" s="43" t="n">
        <f aca="false">IF(I25="","",I25-J25)</f>
        <v>3.75</v>
      </c>
      <c r="L25" s="44" t="n">
        <f aca="false">INDEX(Simulador!$C$51:$F$51,F25)</f>
        <v>76047.4054054054</v>
      </c>
      <c r="M25" s="24" t="n">
        <f aca="false">IF(H25&gt;=Simulador!$C$19,INDEX(Simulador!$C$63:$F$63,F25),INDEX(Simulador!$C$62:$F$62,F25))</f>
        <v>58116.7137837838</v>
      </c>
      <c r="N25" s="24" t="n">
        <f aca="false">INDEX(Simulador!$C$64:$F$64,F25)</f>
        <v>68381.1581081081</v>
      </c>
      <c r="O25" s="24" t="n">
        <f aca="false">IF(H25&gt;=Simulador!$C$19,INDEX(Simulador!$C$65:$F$65,F25),INDEX(Simulador!$C$64:$F$64,F25))</f>
        <v>68381.1581081081</v>
      </c>
      <c r="P25" s="24" t="n">
        <f aca="false">IF(H25&gt;=Simulador!$C$19,INDEX(Simulador!$C$67:$F$67,F25),INDEX(Simulador!$C$66:$F$66,F25))</f>
        <v>58075.5140540541</v>
      </c>
      <c r="Q25" s="24" t="n">
        <f aca="false">M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68666.0718918919</v>
      </c>
      <c r="R25" s="24" t="n">
        <f aca="false">N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S25" s="24" t="n">
        <f aca="false">O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78930.5162162162</v>
      </c>
      <c r="T25" s="24" t="n">
        <f aca="false">P25+(IF(I25="",J25+INDEX(Simulador!$C$40:$F$40,F25),I25)-J25-INDEX(Simulador!$C$40:$F$40,F25))*Simulador!$C$9-INDEX(Simulador!$C$69:$F$69,F25)+IF(Simulador!$N$7="Sí",MAX(0,IF(I25="",J25+INDEX(Simulador!$C$40:$F$40,F25),I25)-INDEX(Simulador!$C$41:$F$41,F25))*(INDEX(Simulador!$C$68:$F$68,F25)+Simulador!$N$8)/Simulador!$C$7,0)</f>
        <v>68624.8721621622</v>
      </c>
      <c r="U25" s="2"/>
    </row>
    <row r="26" customFormat="false" ht="15" hidden="false" customHeight="false" outlineLevel="0" collapsed="false">
      <c r="B26" s="40" t="n">
        <v>45816</v>
      </c>
      <c r="C26" s="13" t="s">
        <v>452</v>
      </c>
      <c r="D26" s="41" t="n">
        <v>3.2</v>
      </c>
      <c r="E26" s="13" t="s">
        <v>349</v>
      </c>
      <c r="F26" s="18" t="n">
        <f aca="false">MATCH(E26,{"Misma locación","0.15 - 5 km","5 - 10 km","10+ km"},0)</f>
        <v>2</v>
      </c>
      <c r="G26" s="18" t="n">
        <f aca="false">MONTH(B26)</f>
        <v>6</v>
      </c>
      <c r="H26" s="18" t="n">
        <f aca="false">COUNTIF($G$8:G26,G26)</f>
        <v>2</v>
      </c>
      <c r="I26" s="41" t="n">
        <v>21.5</v>
      </c>
      <c r="J26" s="42" t="n">
        <f aca="false">INDEX(Simulador!$C$39:$F$39,F26)</f>
        <v>18</v>
      </c>
      <c r="K26" s="43" t="n">
        <f aca="false">IF(I26="","",I26-J26)</f>
        <v>3.5</v>
      </c>
      <c r="L26" s="44" t="n">
        <f aca="false">INDEX(Simulador!$C$51:$F$51,F26)</f>
        <v>99473.8108108108</v>
      </c>
      <c r="M26" s="24" t="n">
        <f aca="false">IF(H26&gt;=Simulador!$C$19,INDEX(Simulador!$C$63:$F$63,F26),INDEX(Simulador!$C$62:$F$62,F26))</f>
        <v>88600.7254054054</v>
      </c>
      <c r="N26" s="24" t="n">
        <f aca="false">INDEX(Simulador!$C$64:$F$64,F26)</f>
        <v>111149.808108108</v>
      </c>
      <c r="O26" s="24" t="n">
        <f aca="false">IF(H26&gt;=Simulador!$C$19,INDEX(Simulador!$C$65:$F$65,F26),INDEX(Simulador!$C$64:$F$64,F26))</f>
        <v>111149.808108108</v>
      </c>
      <c r="P26" s="24" t="n">
        <f aca="false">IF(H26&gt;=Simulador!$C$19,INDEX(Simulador!$C$67:$F$67,F26),INDEX(Simulador!$C$66:$F$66,F26))</f>
        <v>85046.6491891892</v>
      </c>
      <c r="Q26" s="24" t="n">
        <f aca="false">M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93696.7254054054</v>
      </c>
      <c r="R26" s="24" t="n">
        <f aca="false">N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S26" s="24" t="n">
        <f aca="false">O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116245.808108108</v>
      </c>
      <c r="T26" s="24" t="n">
        <f aca="false">P26+(IF(I26="",J26+INDEX(Simulador!$C$40:$F$40,F26),I26)-J26-INDEX(Simulador!$C$40:$F$40,F26))*Simulador!$C$9-INDEX(Simulador!$C$69:$F$69,F26)+IF(Simulador!$N$7="Sí",MAX(0,IF(I26="",J26+INDEX(Simulador!$C$40:$F$40,F26),I26)-INDEX(Simulador!$C$41:$F$41,F26))*(INDEX(Simulador!$C$68:$F$68,F26)+Simulador!$N$8)/Simulador!$C$7,0)</f>
        <v>90142.6491891892</v>
      </c>
      <c r="U26" s="2"/>
    </row>
    <row r="27" customFormat="false" ht="15" hidden="false" customHeight="false" outlineLevel="0" collapsed="false">
      <c r="B27" s="40" t="n">
        <v>45821</v>
      </c>
      <c r="C27" s="13" t="s">
        <v>453</v>
      </c>
      <c r="D27" s="41" t="n">
        <v>2.8</v>
      </c>
      <c r="E27" s="13" t="s">
        <v>349</v>
      </c>
      <c r="F27" s="18" t="n">
        <f aca="false">MATCH(E27,{"Misma locación","0.15 - 5 km","5 - 10 km","10+ km"},0)</f>
        <v>2</v>
      </c>
      <c r="G27" s="18" t="n">
        <f aca="false">MONTH(B27)</f>
        <v>6</v>
      </c>
      <c r="H27" s="18" t="n">
        <f aca="false">COUNTIF($G$8:G27,G27)</f>
        <v>3</v>
      </c>
      <c r="I27" s="41" t="n">
        <v>15.5</v>
      </c>
      <c r="J27" s="42" t="n">
        <f aca="false">INDEX(Simulador!$C$39:$F$39,F27)</f>
        <v>18</v>
      </c>
      <c r="K27" s="43" t="n">
        <f aca="false">IF(I27="","",I27-J27)</f>
        <v>-2.5</v>
      </c>
      <c r="L27" s="44" t="n">
        <f aca="false">INDEX(Simulador!$C$51:$F$51,F27)</f>
        <v>99473.8108108108</v>
      </c>
      <c r="M27" s="24" t="n">
        <f aca="false">IF(H27&gt;=Simulador!$C$19,INDEX(Simulador!$C$63:$F$63,F27),INDEX(Simulador!$C$62:$F$62,F27))</f>
        <v>88600.7254054054</v>
      </c>
      <c r="N27" s="24" t="n">
        <f aca="false">INDEX(Simulador!$C$64:$F$64,F27)</f>
        <v>111149.808108108</v>
      </c>
      <c r="O27" s="24" t="n">
        <f aca="false">IF(H27&gt;=Simulador!$C$19,INDEX(Simulador!$C$65:$F$65,F27),INDEX(Simulador!$C$64:$F$64,F27))</f>
        <v>111149.808108108</v>
      </c>
      <c r="P27" s="24" t="n">
        <f aca="false">IF(H27&gt;=Simulador!$C$19,INDEX(Simulador!$C$67:$F$67,F27),INDEX(Simulador!$C$66:$F$66,F27))</f>
        <v>85046.6491891892</v>
      </c>
      <c r="Q27" s="24" t="n">
        <f aca="false">M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84960.7254054054</v>
      </c>
      <c r="R27" s="24" t="n">
        <f aca="false">N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S27" s="24" t="n">
        <f aca="false">O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107509.808108108</v>
      </c>
      <c r="T27" s="24" t="n">
        <f aca="false">P27+(IF(I27="",J27+INDEX(Simulador!$C$40:$F$40,F27),I27)-J27-INDEX(Simulador!$C$40:$F$40,F27))*Simulador!$C$9-INDEX(Simulador!$C$69:$F$69,F27)+IF(Simulador!$N$7="Sí",MAX(0,IF(I27="",J27+INDEX(Simulador!$C$40:$F$40,F27),I27)-INDEX(Simulador!$C$41:$F$41,F27))*(INDEX(Simulador!$C$68:$F$68,F27)+Simulador!$N$8)/Simulador!$C$7,0)</f>
        <v>81406.6491891892</v>
      </c>
      <c r="U27" s="2"/>
    </row>
    <row r="28" customFormat="false" ht="15" hidden="false" customHeight="false" outlineLevel="0" collapsed="false">
      <c r="B28" s="40" t="n">
        <v>45825</v>
      </c>
      <c r="C28" s="13" t="s">
        <v>454</v>
      </c>
      <c r="D28" s="41" t="n">
        <v>3.8</v>
      </c>
      <c r="E28" s="13" t="s">
        <v>349</v>
      </c>
      <c r="F28" s="18" t="n">
        <f aca="false">MATCH(E28,{"Misma locación","0.15 - 5 km","5 - 10 km","10+ km"},0)</f>
        <v>2</v>
      </c>
      <c r="G28" s="18" t="n">
        <f aca="false">MONTH(B28)</f>
        <v>6</v>
      </c>
      <c r="H28" s="18" t="n">
        <f aca="false">COUNTIF($G$8:G28,G28)</f>
        <v>4</v>
      </c>
      <c r="I28" s="41" t="n">
        <v>15</v>
      </c>
      <c r="J28" s="42" t="n">
        <f aca="false">INDEX(Simulador!$C$39:$F$39,F28)</f>
        <v>18</v>
      </c>
      <c r="K28" s="43" t="n">
        <f aca="false">IF(I28="","",I28-J28)</f>
        <v>-3</v>
      </c>
      <c r="L28" s="44" t="n">
        <f aca="false">INDEX(Simulador!$C$51:$F$51,F28)</f>
        <v>99473.8108108108</v>
      </c>
      <c r="M28" s="24" t="n">
        <f aca="false">IF(H28&gt;=Simulador!$C$19,INDEX(Simulador!$C$63:$F$63,F28),INDEX(Simulador!$C$62:$F$62,F28))</f>
        <v>88600.7254054054</v>
      </c>
      <c r="N28" s="24" t="n">
        <f aca="false">INDEX(Simulador!$C$64:$F$64,F28)</f>
        <v>111149.808108108</v>
      </c>
      <c r="O28" s="24" t="n">
        <f aca="false">IF(H28&gt;=Simulador!$C$19,INDEX(Simulador!$C$65:$F$65,F28),INDEX(Simulador!$C$64:$F$64,F28))</f>
        <v>111149.808108108</v>
      </c>
      <c r="P28" s="24" t="n">
        <f aca="false">IF(H28&gt;=Simulador!$C$19,INDEX(Simulador!$C$67:$F$67,F28),INDEX(Simulador!$C$66:$F$66,F28))</f>
        <v>85046.6491891892</v>
      </c>
      <c r="Q28" s="24" t="n">
        <f aca="false">M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84232.7254054054</v>
      </c>
      <c r="R28" s="24" t="n">
        <f aca="false">N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S28" s="24" t="n">
        <f aca="false">O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106781.808108108</v>
      </c>
      <c r="T28" s="24" t="n">
        <f aca="false">P28+(IF(I28="",J28+INDEX(Simulador!$C$40:$F$40,F28),I28)-J28-INDEX(Simulador!$C$40:$F$40,F28))*Simulador!$C$9-INDEX(Simulador!$C$69:$F$69,F28)+IF(Simulador!$N$7="Sí",MAX(0,IF(I28="",J28+INDEX(Simulador!$C$40:$F$40,F28),I28)-INDEX(Simulador!$C$41:$F$41,F28))*(INDEX(Simulador!$C$68:$F$68,F28)+Simulador!$N$8)/Simulador!$C$7,0)</f>
        <v>80678.6491891892</v>
      </c>
      <c r="U28" s="2"/>
    </row>
    <row r="29" customFormat="false" ht="15" hidden="false" customHeight="false" outlineLevel="0" collapsed="false">
      <c r="B29" s="40" t="n">
        <v>45831</v>
      </c>
      <c r="C29" s="13" t="s">
        <v>455</v>
      </c>
      <c r="D29" s="41" t="n">
        <v>5.3</v>
      </c>
      <c r="E29" s="13" t="s">
        <v>361</v>
      </c>
      <c r="F29" s="18" t="n">
        <f aca="false">MATCH(E29,{"Misma locación","0.15 - 5 km","5 - 10 km","10+ km"},0)</f>
        <v>3</v>
      </c>
      <c r="G29" s="18" t="n">
        <f aca="false">MONTH(B29)</f>
        <v>6</v>
      </c>
      <c r="H29" s="18" t="n">
        <f aca="false">COUNTIF($G$8:G29,G29)</f>
        <v>5</v>
      </c>
      <c r="I29" s="41" t="n">
        <v>18.25</v>
      </c>
      <c r="J29" s="42" t="n">
        <f aca="false">INDEX(Simulador!$C$39:$F$39,F29)</f>
        <v>24</v>
      </c>
      <c r="K29" s="43" t="n">
        <f aca="false">IF(I29="","",I29-J29)</f>
        <v>-5.75</v>
      </c>
      <c r="L29" s="44" t="n">
        <f aca="false">INDEX(Simulador!$C$51:$F$51,F29)</f>
        <v>96184.8108108108</v>
      </c>
      <c r="M29" s="24" t="n">
        <f aca="false">IF(H29&gt;=Simulador!$C$19,INDEX(Simulador!$C$63:$F$63,F29),INDEX(Simulador!$C$62:$F$62,F29))</f>
        <v>102096.161621622</v>
      </c>
      <c r="N29" s="24" t="n">
        <f aca="false">INDEX(Simulador!$C$64:$F$64,F29)</f>
        <v>138633.155135135</v>
      </c>
      <c r="O29" s="24" t="n">
        <f aca="false">IF(H29&gt;=Simulador!$C$19,INDEX(Simulador!$C$65:$F$65,F29),INDEX(Simulador!$C$64:$F$64,F29))</f>
        <v>138633.155135135</v>
      </c>
      <c r="P29" s="24" t="n">
        <f aca="false">IF(H29&gt;=Simulador!$C$19,INDEX(Simulador!$C$67:$F$67,F29),INDEX(Simulador!$C$66:$F$66,F29))</f>
        <v>104944.811351351</v>
      </c>
      <c r="Q29" s="24" t="n">
        <f aca="false">M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93724.1616216216</v>
      </c>
      <c r="R29" s="24" t="n">
        <f aca="false">N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S29" s="24" t="n">
        <f aca="false">O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130261.155135135</v>
      </c>
      <c r="T29" s="24" t="n">
        <f aca="false">P29+(IF(I29="",J29+INDEX(Simulador!$C$40:$F$40,F29),I29)-J29-INDEX(Simulador!$C$40:$F$40,F29))*Simulador!$C$9-INDEX(Simulador!$C$69:$F$69,F29)+IF(Simulador!$N$7="Sí",MAX(0,IF(I29="",J29+INDEX(Simulador!$C$40:$F$40,F29),I29)-INDEX(Simulador!$C$41:$F$41,F29))*(INDEX(Simulador!$C$68:$F$68,F29)+Simulador!$N$8)/Simulador!$C$7,0)</f>
        <v>96572.8113513514</v>
      </c>
      <c r="U29" s="2"/>
    </row>
    <row r="30" customFormat="false" ht="15" hidden="false" customHeight="false" outlineLevel="0" collapsed="false">
      <c r="B30" s="40" t="n">
        <v>45835</v>
      </c>
      <c r="C30" s="13" t="s">
        <v>456</v>
      </c>
      <c r="D30" s="41" t="n">
        <v>12.1</v>
      </c>
      <c r="E30" s="13" t="s">
        <v>346</v>
      </c>
      <c r="F30" s="18" t="n">
        <f aca="false">MATCH(E30,{"Misma locación","0.15 - 5 km","5 - 10 km","10+ km"},0)</f>
        <v>4</v>
      </c>
      <c r="G30" s="18" t="n">
        <f aca="false">MONTH(B30)</f>
        <v>6</v>
      </c>
      <c r="H30" s="18" t="n">
        <f aca="false">COUNTIF($G$8:G30,G30)</f>
        <v>6</v>
      </c>
      <c r="I30" s="41" t="n">
        <v>17.75</v>
      </c>
      <c r="J30" s="42" t="n">
        <f aca="false">INDEX(Simulador!$C$39:$F$39,F30)</f>
        <v>28</v>
      </c>
      <c r="K30" s="43" t="n">
        <f aca="false">IF(I30="","",I30-J30)</f>
        <v>-10.25</v>
      </c>
      <c r="L30" s="44" t="n">
        <f aca="false">INDEX(Simulador!$C$51:$F$51,F30)</f>
        <v>110984.810810811</v>
      </c>
      <c r="M30" s="24" t="n">
        <f aca="false">IF(H30&gt;=Simulador!$C$19,INDEX(Simulador!$C$63:$F$63,F30),INDEX(Simulador!$C$62:$F$62,F30))</f>
        <v>76776.5132432433</v>
      </c>
      <c r="N30" s="24" t="n">
        <f aca="false">INDEX(Simulador!$C$64:$F$64,F30)</f>
        <v>155579.061621622</v>
      </c>
      <c r="O30" s="24" t="n">
        <f aca="false">IF(H30&gt;=Simulador!$C$19,INDEX(Simulador!$C$65:$F$65,F30),INDEX(Simulador!$C$64:$F$64,F30))</f>
        <v>99524.8821621622</v>
      </c>
      <c r="P30" s="24" t="n">
        <f aca="false">IF(H30&gt;=Simulador!$C$19,INDEX(Simulador!$C$67:$F$67,F30),INDEX(Simulador!$C$66:$F$66,F30))</f>
        <v>88620.7027027027</v>
      </c>
      <c r="Q30" s="24" t="n">
        <f aca="false">M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61852.5132432433</v>
      </c>
      <c r="R30" s="24" t="n">
        <f aca="false">N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140655.061621622</v>
      </c>
      <c r="S30" s="24" t="n">
        <f aca="false">O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84600.8821621622</v>
      </c>
      <c r="T30" s="24" t="n">
        <f aca="false">P30+(IF(I30="",J30+INDEX(Simulador!$C$40:$F$40,F30),I30)-J30-INDEX(Simulador!$C$40:$F$40,F30))*Simulador!$C$9-INDEX(Simulador!$C$69:$F$69,F30)+IF(Simulador!$N$7="Sí",MAX(0,IF(I30="",J30+INDEX(Simulador!$C$40:$F$40,F30),I30)-INDEX(Simulador!$C$41:$F$41,F30))*(INDEX(Simulador!$C$68:$F$68,F30)+Simulador!$N$8)/Simulador!$C$7,0)</f>
        <v>73696.7027027027</v>
      </c>
      <c r="U30" s="2"/>
    </row>
    <row r="31" customFormat="false" ht="15" hidden="false" customHeight="false" outlineLevel="0" collapsed="false">
      <c r="B31" s="40" t="n">
        <v>45842</v>
      </c>
      <c r="C31" s="13" t="s">
        <v>457</v>
      </c>
      <c r="D31" s="41" t="n">
        <v>11.7</v>
      </c>
      <c r="E31" s="13" t="s">
        <v>346</v>
      </c>
      <c r="F31" s="18" t="n">
        <f aca="false">MATCH(E31,{"Misma locación","0.15 - 5 km","5 - 10 km","10+ km"},0)</f>
        <v>4</v>
      </c>
      <c r="G31" s="18" t="n">
        <f aca="false">MONTH(B31)</f>
        <v>7</v>
      </c>
      <c r="H31" s="18" t="n">
        <f aca="false">COUNTIF($G$8:G31,G31)</f>
        <v>1</v>
      </c>
      <c r="I31" s="41" t="n">
        <v>31</v>
      </c>
      <c r="J31" s="42" t="n">
        <f aca="false">INDEX(Simulador!$C$39:$F$39,F31)</f>
        <v>28</v>
      </c>
      <c r="K31" s="43" t="n">
        <f aca="false">IF(I31="","",I31-J31)</f>
        <v>3</v>
      </c>
      <c r="L31" s="44" t="n">
        <f aca="false">INDEX(Simulador!$C$51:$F$51,F31)</f>
        <v>110984.810810811</v>
      </c>
      <c r="M31" s="24" t="n">
        <f aca="false">IF(H31&gt;=Simulador!$C$19,INDEX(Simulador!$C$63:$F$63,F31),INDEX(Simulador!$C$62:$F$62,F31))</f>
        <v>110082.323783784</v>
      </c>
      <c r="N31" s="24" t="n">
        <f aca="false">INDEX(Simulador!$C$64:$F$64,F31)</f>
        <v>155579.061621622</v>
      </c>
      <c r="O31" s="24" t="n">
        <f aca="false">IF(H31&gt;=Simulador!$C$19,INDEX(Simulador!$C$65:$F$65,F31),INDEX(Simulador!$C$64:$F$64,F31))</f>
        <v>155579.061621622</v>
      </c>
      <c r="P31" s="24" t="n">
        <f aca="false">IF(H31&gt;=Simulador!$C$19,INDEX(Simulador!$C$67:$F$67,F31),INDEX(Simulador!$C$66:$F$66,F31))</f>
        <v>111865.297837838</v>
      </c>
      <c r="Q31" s="24" t="n">
        <f aca="false">M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114450.323783784</v>
      </c>
      <c r="R31" s="24" t="n">
        <f aca="false">N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S31" s="24" t="n">
        <f aca="false">O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159947.061621622</v>
      </c>
      <c r="T31" s="24" t="n">
        <f aca="false">P31+(IF(I31="",J31+INDEX(Simulador!$C$40:$F$40,F31),I31)-J31-INDEX(Simulador!$C$40:$F$40,F31))*Simulador!$C$9-INDEX(Simulador!$C$69:$F$69,F31)+IF(Simulador!$N$7="Sí",MAX(0,IF(I31="",J31+INDEX(Simulador!$C$40:$F$40,F31),I31)-INDEX(Simulador!$C$41:$F$41,F31))*(INDEX(Simulador!$C$68:$F$68,F31)+Simulador!$N$8)/Simulador!$C$7,0)</f>
        <v>116233.297837838</v>
      </c>
      <c r="U31" s="2"/>
    </row>
    <row r="32" customFormat="false" ht="15" hidden="false" customHeight="false" outlineLevel="0" collapsed="false">
      <c r="B32" s="40" t="n">
        <v>45847</v>
      </c>
      <c r="C32" s="13" t="s">
        <v>458</v>
      </c>
      <c r="D32" s="41" t="n">
        <v>2</v>
      </c>
      <c r="E32" s="13" t="s">
        <v>349</v>
      </c>
      <c r="F32" s="18" t="n">
        <f aca="false">MATCH(E32,{"Misma locación","0.15 - 5 km","5 - 10 km","10+ km"},0)</f>
        <v>2</v>
      </c>
      <c r="G32" s="18" t="n">
        <f aca="false">MONTH(B32)</f>
        <v>7</v>
      </c>
      <c r="H32" s="18" t="n">
        <f aca="false">COUNTIF($G$8:G32,G32)</f>
        <v>2</v>
      </c>
      <c r="I32" s="41" t="n">
        <v>21</v>
      </c>
      <c r="J32" s="42" t="n">
        <f aca="false">INDEX(Simulador!$C$39:$F$39,F32)</f>
        <v>18</v>
      </c>
      <c r="K32" s="43" t="n">
        <f aca="false">IF(I32="","",I32-J32)</f>
        <v>3</v>
      </c>
      <c r="L32" s="44" t="n">
        <f aca="false">INDEX(Simulador!$C$51:$F$51,F32)</f>
        <v>99473.8108108108</v>
      </c>
      <c r="M32" s="24" t="n">
        <f aca="false">IF(H32&gt;=Simulador!$C$19,INDEX(Simulador!$C$63:$F$63,F32),INDEX(Simulador!$C$62:$F$62,F32))</f>
        <v>88600.7254054054</v>
      </c>
      <c r="N32" s="24" t="n">
        <f aca="false">INDEX(Simulador!$C$64:$F$64,F32)</f>
        <v>111149.808108108</v>
      </c>
      <c r="O32" s="24" t="n">
        <f aca="false">IF(H32&gt;=Simulador!$C$19,INDEX(Simulador!$C$65:$F$65,F32),INDEX(Simulador!$C$64:$F$64,F32))</f>
        <v>111149.808108108</v>
      </c>
      <c r="P32" s="24" t="n">
        <f aca="false">IF(H32&gt;=Simulador!$C$19,INDEX(Simulador!$C$67:$F$67,F32),INDEX(Simulador!$C$66:$F$66,F32))</f>
        <v>85046.6491891892</v>
      </c>
      <c r="Q32" s="24" t="n">
        <f aca="false">M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92968.7254054054</v>
      </c>
      <c r="R32" s="24" t="n">
        <f aca="false">N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S32" s="24" t="n">
        <f aca="false">O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115517.808108108</v>
      </c>
      <c r="T32" s="24" t="n">
        <f aca="false">P32+(IF(I32="",J32+INDEX(Simulador!$C$40:$F$40,F32),I32)-J32-INDEX(Simulador!$C$40:$F$40,F32))*Simulador!$C$9-INDEX(Simulador!$C$69:$F$69,F32)+IF(Simulador!$N$7="Sí",MAX(0,IF(I32="",J32+INDEX(Simulador!$C$40:$F$40,F32),I32)-INDEX(Simulador!$C$41:$F$41,F32))*(INDEX(Simulador!$C$68:$F$68,F32)+Simulador!$N$8)/Simulador!$C$7,0)</f>
        <v>89414.6491891892</v>
      </c>
      <c r="U32" s="2"/>
    </row>
    <row r="33" customFormat="false" ht="15" hidden="false" customHeight="false" outlineLevel="0" collapsed="false">
      <c r="B33" s="40" t="n">
        <v>45851</v>
      </c>
      <c r="C33" s="13" t="s">
        <v>459</v>
      </c>
      <c r="D33" s="41" t="n">
        <v>5.8</v>
      </c>
      <c r="E33" s="13" t="s">
        <v>361</v>
      </c>
      <c r="F33" s="18" t="n">
        <f aca="false">MATCH(E33,{"Misma locación","0.15 - 5 km","5 - 10 km","10+ km"},0)</f>
        <v>3</v>
      </c>
      <c r="G33" s="18" t="n">
        <f aca="false">MONTH(B33)</f>
        <v>7</v>
      </c>
      <c r="H33" s="18" t="n">
        <f aca="false">COUNTIF($G$8:G33,G33)</f>
        <v>3</v>
      </c>
      <c r="I33" s="41" t="n">
        <v>16.25</v>
      </c>
      <c r="J33" s="42" t="n">
        <f aca="false">INDEX(Simulador!$C$39:$F$39,F33)</f>
        <v>24</v>
      </c>
      <c r="K33" s="43" t="n">
        <f aca="false">IF(I33="","",I33-J33)</f>
        <v>-7.75</v>
      </c>
      <c r="L33" s="44" t="n">
        <f aca="false">INDEX(Simulador!$C$51:$F$51,F33)</f>
        <v>96184.8108108108</v>
      </c>
      <c r="M33" s="24" t="n">
        <f aca="false">IF(H33&gt;=Simulador!$C$19,INDEX(Simulador!$C$63:$F$63,F33),INDEX(Simulador!$C$62:$F$62,F33))</f>
        <v>102096.161621622</v>
      </c>
      <c r="N33" s="24" t="n">
        <f aca="false">INDEX(Simulador!$C$64:$F$64,F33)</f>
        <v>138633.155135135</v>
      </c>
      <c r="O33" s="24" t="n">
        <f aca="false">IF(H33&gt;=Simulador!$C$19,INDEX(Simulador!$C$65:$F$65,F33),INDEX(Simulador!$C$64:$F$64,F33))</f>
        <v>138633.155135135</v>
      </c>
      <c r="P33" s="24" t="n">
        <f aca="false">IF(H33&gt;=Simulador!$C$19,INDEX(Simulador!$C$67:$F$67,F33),INDEX(Simulador!$C$66:$F$66,F33))</f>
        <v>104944.811351351</v>
      </c>
      <c r="Q33" s="24" t="n">
        <f aca="false">M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90812.1616216216</v>
      </c>
      <c r="R33" s="24" t="n">
        <f aca="false">N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S33" s="24" t="n">
        <f aca="false">O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127349.155135135</v>
      </c>
      <c r="T33" s="24" t="n">
        <f aca="false">P33+(IF(I33="",J33+INDEX(Simulador!$C$40:$F$40,F33),I33)-J33-INDEX(Simulador!$C$40:$F$40,F33))*Simulador!$C$9-INDEX(Simulador!$C$69:$F$69,F33)+IF(Simulador!$N$7="Sí",MAX(0,IF(I33="",J33+INDEX(Simulador!$C$40:$F$40,F33),I33)-INDEX(Simulador!$C$41:$F$41,F33))*(INDEX(Simulador!$C$68:$F$68,F33)+Simulador!$N$8)/Simulador!$C$7,0)</f>
        <v>93660.8113513514</v>
      </c>
      <c r="U33" s="2"/>
    </row>
    <row r="34" customFormat="false" ht="15" hidden="false" customHeight="false" outlineLevel="0" collapsed="false">
      <c r="B34" s="40" t="n">
        <v>45855</v>
      </c>
      <c r="C34" s="13" t="s">
        <v>460</v>
      </c>
      <c r="D34" s="41" t="n">
        <v>6</v>
      </c>
      <c r="E34" s="13" t="s">
        <v>361</v>
      </c>
      <c r="F34" s="18" t="n">
        <f aca="false">MATCH(E34,{"Misma locación","0.15 - 5 km","5 - 10 km","10+ km"},0)</f>
        <v>3</v>
      </c>
      <c r="G34" s="18" t="n">
        <f aca="false">MONTH(B34)</f>
        <v>7</v>
      </c>
      <c r="H34" s="18" t="n">
        <f aca="false">COUNTIF($G$8:G34,G34)</f>
        <v>4</v>
      </c>
      <c r="I34" s="41" t="n">
        <v>19.75</v>
      </c>
      <c r="J34" s="42" t="n">
        <f aca="false">INDEX(Simulador!$C$39:$F$39,F34)</f>
        <v>24</v>
      </c>
      <c r="K34" s="43" t="n">
        <f aca="false">IF(I34="","",I34-J34)</f>
        <v>-4.25</v>
      </c>
      <c r="L34" s="44" t="n">
        <f aca="false">INDEX(Simulador!$C$51:$F$51,F34)</f>
        <v>96184.8108108108</v>
      </c>
      <c r="M34" s="24" t="n">
        <f aca="false">IF(H34&gt;=Simulador!$C$19,INDEX(Simulador!$C$63:$F$63,F34),INDEX(Simulador!$C$62:$F$62,F34))</f>
        <v>102096.161621622</v>
      </c>
      <c r="N34" s="24" t="n">
        <f aca="false">INDEX(Simulador!$C$64:$F$64,F34)</f>
        <v>138633.155135135</v>
      </c>
      <c r="O34" s="24" t="n">
        <f aca="false">IF(H34&gt;=Simulador!$C$19,INDEX(Simulador!$C$65:$F$65,F34),INDEX(Simulador!$C$64:$F$64,F34))</f>
        <v>138633.155135135</v>
      </c>
      <c r="P34" s="24" t="n">
        <f aca="false">IF(H34&gt;=Simulador!$C$19,INDEX(Simulador!$C$67:$F$67,F34),INDEX(Simulador!$C$66:$F$66,F34))</f>
        <v>104944.811351351</v>
      </c>
      <c r="Q34" s="24" t="n">
        <f aca="false">M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95908.1616216216</v>
      </c>
      <c r="R34" s="24" t="n">
        <f aca="false">N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S34" s="24" t="n">
        <f aca="false">O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132445.155135135</v>
      </c>
      <c r="T34" s="24" t="n">
        <f aca="false">P34+(IF(I34="",J34+INDEX(Simulador!$C$40:$F$40,F34),I34)-J34-INDEX(Simulador!$C$40:$F$40,F34))*Simulador!$C$9-INDEX(Simulador!$C$69:$F$69,F34)+IF(Simulador!$N$7="Sí",MAX(0,IF(I34="",J34+INDEX(Simulador!$C$40:$F$40,F34),I34)-INDEX(Simulador!$C$41:$F$41,F34))*(INDEX(Simulador!$C$68:$F$68,F34)+Simulador!$N$8)/Simulador!$C$7,0)</f>
        <v>98756.8113513514</v>
      </c>
      <c r="U34" s="2"/>
    </row>
    <row r="35" customFormat="false" ht="15" hidden="false" customHeight="false" outlineLevel="0" collapsed="false">
      <c r="B35" s="40" t="n">
        <v>45860</v>
      </c>
      <c r="C35" s="13" t="s">
        <v>461</v>
      </c>
      <c r="D35" s="41" t="n">
        <v>2</v>
      </c>
      <c r="E35" s="13" t="s">
        <v>349</v>
      </c>
      <c r="F35" s="18" t="n">
        <f aca="false">MATCH(E35,{"Misma locación","0.15 - 5 km","5 - 10 km","10+ km"},0)</f>
        <v>2</v>
      </c>
      <c r="G35" s="18" t="n">
        <f aca="false">MONTH(B35)</f>
        <v>7</v>
      </c>
      <c r="H35" s="18" t="n">
        <f aca="false">COUNTIF($G$8:G35,G35)</f>
        <v>5</v>
      </c>
      <c r="I35" s="41" t="n">
        <v>15.75</v>
      </c>
      <c r="J35" s="42" t="n">
        <f aca="false">INDEX(Simulador!$C$39:$F$39,F35)</f>
        <v>18</v>
      </c>
      <c r="K35" s="43" t="n">
        <f aca="false">IF(I35="","",I35-J35)</f>
        <v>-2.25</v>
      </c>
      <c r="L35" s="44" t="n">
        <f aca="false">INDEX(Simulador!$C$51:$F$51,F35)</f>
        <v>99473.8108108108</v>
      </c>
      <c r="M35" s="24" t="n">
        <f aca="false">IF(H35&gt;=Simulador!$C$19,INDEX(Simulador!$C$63:$F$63,F35),INDEX(Simulador!$C$62:$F$62,F35))</f>
        <v>88600.7254054054</v>
      </c>
      <c r="N35" s="24" t="n">
        <f aca="false">INDEX(Simulador!$C$64:$F$64,F35)</f>
        <v>111149.808108108</v>
      </c>
      <c r="O35" s="24" t="n">
        <f aca="false">IF(H35&gt;=Simulador!$C$19,INDEX(Simulador!$C$65:$F$65,F35),INDEX(Simulador!$C$64:$F$64,F35))</f>
        <v>111149.808108108</v>
      </c>
      <c r="P35" s="24" t="n">
        <f aca="false">IF(H35&gt;=Simulador!$C$19,INDEX(Simulador!$C$67:$F$67,F35),INDEX(Simulador!$C$66:$F$66,F35))</f>
        <v>85046.6491891892</v>
      </c>
      <c r="Q35" s="24" t="n">
        <f aca="false">M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85324.7254054054</v>
      </c>
      <c r="R35" s="24" t="n">
        <f aca="false">N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S35" s="24" t="n">
        <f aca="false">O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107873.808108108</v>
      </c>
      <c r="T35" s="24" t="n">
        <f aca="false">P35+(IF(I35="",J35+INDEX(Simulador!$C$40:$F$40,F35),I35)-J35-INDEX(Simulador!$C$40:$F$40,F35))*Simulador!$C$9-INDEX(Simulador!$C$69:$F$69,F35)+IF(Simulador!$N$7="Sí",MAX(0,IF(I35="",J35+INDEX(Simulador!$C$40:$F$40,F35),I35)-INDEX(Simulador!$C$41:$F$41,F35))*(INDEX(Simulador!$C$68:$F$68,F35)+Simulador!$N$8)/Simulador!$C$7,0)</f>
        <v>81770.6491891892</v>
      </c>
      <c r="U35" s="2"/>
    </row>
    <row r="36" customFormat="false" ht="15" hidden="false" customHeight="false" outlineLevel="0" collapsed="false">
      <c r="B36" s="40" t="n">
        <v>45864</v>
      </c>
      <c r="C36" s="13" t="s">
        <v>462</v>
      </c>
      <c r="D36" s="41" t="n">
        <v>2</v>
      </c>
      <c r="E36" s="13" t="s">
        <v>349</v>
      </c>
      <c r="F36" s="18" t="n">
        <f aca="false">MATCH(E36,{"Misma locación","0.15 - 5 km","5 - 10 km","10+ km"},0)</f>
        <v>2</v>
      </c>
      <c r="G36" s="18" t="n">
        <f aca="false">MONTH(B36)</f>
        <v>7</v>
      </c>
      <c r="H36" s="18" t="n">
        <f aca="false">COUNTIF($G$8:G36,G36)</f>
        <v>6</v>
      </c>
      <c r="I36" s="41" t="n">
        <v>18.75</v>
      </c>
      <c r="J36" s="42" t="n">
        <f aca="false">INDEX(Simulador!$C$39:$F$39,F36)</f>
        <v>18</v>
      </c>
      <c r="K36" s="43" t="n">
        <f aca="false">IF(I36="","",I36-J36)</f>
        <v>0.75</v>
      </c>
      <c r="L36" s="44" t="n">
        <f aca="false">INDEX(Simulador!$C$51:$F$51,F36)</f>
        <v>99473.8108108108</v>
      </c>
      <c r="M36" s="24" t="n">
        <f aca="false">IF(H36&gt;=Simulador!$C$19,INDEX(Simulador!$C$63:$F$63,F36),INDEX(Simulador!$C$62:$F$62,F36))</f>
        <v>58755.7140540541</v>
      </c>
      <c r="N36" s="24" t="n">
        <f aca="false">INDEX(Simulador!$C$64:$F$64,F36)</f>
        <v>111149.808108108</v>
      </c>
      <c r="O36" s="24" t="n">
        <f aca="false">IF(H36&gt;=Simulador!$C$19,INDEX(Simulador!$C$65:$F$65,F36),INDEX(Simulador!$C$64:$F$64,F36))</f>
        <v>70030.2554054054</v>
      </c>
      <c r="P36" s="24" t="n">
        <f aca="false">IF(H36&gt;=Simulador!$C$19,INDEX(Simulador!$C$67:$F$67,F36),INDEX(Simulador!$C$66:$F$66,F36))</f>
        <v>62202.5945945946</v>
      </c>
      <c r="Q36" s="24" t="n">
        <f aca="false">M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59847.7140540541</v>
      </c>
      <c r="R36" s="24" t="n">
        <f aca="false">N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112241.808108108</v>
      </c>
      <c r="S36" s="24" t="n">
        <f aca="false">O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71122.2554054054</v>
      </c>
      <c r="T36" s="24" t="n">
        <f aca="false">P36+(IF(I36="",J36+INDEX(Simulador!$C$40:$F$40,F36),I36)-J36-INDEX(Simulador!$C$40:$F$40,F36))*Simulador!$C$9-INDEX(Simulador!$C$69:$F$69,F36)+IF(Simulador!$N$7="Sí",MAX(0,IF(I36="",J36+INDEX(Simulador!$C$40:$F$40,F36),I36)-INDEX(Simulador!$C$41:$F$41,F36))*(INDEX(Simulador!$C$68:$F$68,F36)+Simulador!$N$8)/Simulador!$C$7,0)</f>
        <v>63294.5945945946</v>
      </c>
      <c r="U36" s="2"/>
    </row>
    <row r="37" customFormat="false" ht="15" hidden="false" customHeight="false" outlineLevel="0" collapsed="false">
      <c r="B37" s="40" t="n">
        <v>45869</v>
      </c>
      <c r="C37" s="13" t="s">
        <v>463</v>
      </c>
      <c r="D37" s="41" t="n">
        <v>8.1</v>
      </c>
      <c r="E37" s="13" t="s">
        <v>361</v>
      </c>
      <c r="F37" s="18" t="n">
        <f aca="false">MATCH(E37,{"Misma locación","0.15 - 5 km","5 - 10 km","10+ km"},0)</f>
        <v>3</v>
      </c>
      <c r="G37" s="18" t="n">
        <f aca="false">MONTH(B37)</f>
        <v>7</v>
      </c>
      <c r="H37" s="18" t="n">
        <f aca="false">COUNTIF($G$8:G37,G37)</f>
        <v>7</v>
      </c>
      <c r="I37" s="41" t="n">
        <v>24</v>
      </c>
      <c r="J37" s="42" t="n">
        <f aca="false">INDEX(Simulador!$C$39:$F$39,F37)</f>
        <v>24</v>
      </c>
      <c r="K37" s="43" t="n">
        <f aca="false">IF(I37="","",I37-J37)</f>
        <v>0</v>
      </c>
      <c r="L37" s="44" t="n">
        <f aca="false">INDEX(Simulador!$C$51:$F$51,F37)</f>
        <v>96184.8108108108</v>
      </c>
      <c r="M37" s="24" t="n">
        <f aca="false">IF(H37&gt;=Simulador!$C$19,INDEX(Simulador!$C$63:$F$63,F37),INDEX(Simulador!$C$62:$F$62,F37))</f>
        <v>69871.4321621622</v>
      </c>
      <c r="N37" s="24" t="n">
        <f aca="false">INDEX(Simulador!$C$64:$F$64,F37)</f>
        <v>138633.155135135</v>
      </c>
      <c r="O37" s="24" t="n">
        <f aca="false">IF(H37&gt;=Simulador!$C$19,INDEX(Simulador!$C$65:$F$65,F37),INDEX(Simulador!$C$64:$F$64,F37))</f>
        <v>88139.9289189189</v>
      </c>
      <c r="P37" s="24" t="n">
        <f aca="false">IF(H37&gt;=Simulador!$C$19,INDEX(Simulador!$C$67:$F$67,F37),INDEX(Simulador!$C$66:$F$66,F37))</f>
        <v>75215.6216216216</v>
      </c>
      <c r="Q37" s="24" t="n">
        <f aca="false">M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69871.4321621622</v>
      </c>
      <c r="R37" s="24" t="n">
        <f aca="false">N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138633.155135135</v>
      </c>
      <c r="S37" s="24" t="n">
        <f aca="false">O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88139.9289189189</v>
      </c>
      <c r="T37" s="24" t="n">
        <f aca="false">P37+(IF(I37="",J37+INDEX(Simulador!$C$40:$F$40,F37),I37)-J37-INDEX(Simulador!$C$40:$F$40,F37))*Simulador!$C$9-INDEX(Simulador!$C$69:$F$69,F37)+IF(Simulador!$N$7="Sí",MAX(0,IF(I37="",J37+INDEX(Simulador!$C$40:$F$40,F37),I37)-INDEX(Simulador!$C$41:$F$41,F37))*(INDEX(Simulador!$C$68:$F$68,F37)+Simulador!$N$8)/Simulador!$C$7,0)</f>
        <v>75215.6216216216</v>
      </c>
      <c r="U37" s="2"/>
    </row>
    <row r="38" customFormat="false" ht="15" hidden="false" customHeight="false" outlineLevel="0" collapsed="false">
      <c r="B38" s="40" t="n">
        <v>45873</v>
      </c>
      <c r="C38" s="13" t="s">
        <v>464</v>
      </c>
      <c r="D38" s="41" t="n">
        <v>0.0512063983613953</v>
      </c>
      <c r="E38" s="13" t="s">
        <v>363</v>
      </c>
      <c r="F38" s="18" t="n">
        <f aca="false">MATCH(E38,{"Misma locación","0.15 - 5 km","5 - 10 km","10+ km"},0)</f>
        <v>1</v>
      </c>
      <c r="G38" s="18" t="n">
        <f aca="false">MONTH(B38)</f>
        <v>8</v>
      </c>
      <c r="H38" s="18" t="n">
        <f aca="false">COUNTIF($G$8:G38,G38)</f>
        <v>1</v>
      </c>
      <c r="I38" s="41" t="n">
        <v>16.75</v>
      </c>
      <c r="J38" s="42" t="n">
        <f aca="false">INDEX(Simulador!$C$39:$F$39,F38)</f>
        <v>12</v>
      </c>
      <c r="K38" s="43" t="n">
        <f aca="false">IF(I38="","",I38-J38)</f>
        <v>4.75</v>
      </c>
      <c r="L38" s="44" t="n">
        <f aca="false">INDEX(Simulador!$C$51:$F$51,F38)</f>
        <v>76047.4054054054</v>
      </c>
      <c r="M38" s="24" t="n">
        <f aca="false">IF(H38&gt;=Simulador!$C$19,INDEX(Simulador!$C$63:$F$63,F38),INDEX(Simulador!$C$62:$F$62,F38))</f>
        <v>58116.7137837838</v>
      </c>
      <c r="N38" s="24" t="n">
        <f aca="false">INDEX(Simulador!$C$64:$F$64,F38)</f>
        <v>68381.1581081081</v>
      </c>
      <c r="O38" s="24" t="n">
        <f aca="false">IF(H38&gt;=Simulador!$C$19,INDEX(Simulador!$C$65:$F$65,F38),INDEX(Simulador!$C$64:$F$64,F38))</f>
        <v>68381.1581081081</v>
      </c>
      <c r="P38" s="24" t="n">
        <f aca="false">IF(H38&gt;=Simulador!$C$19,INDEX(Simulador!$C$67:$F$67,F38),INDEX(Simulador!$C$66:$F$66,F38))</f>
        <v>58075.5140540541</v>
      </c>
      <c r="Q38" s="24" t="n">
        <f aca="false">M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71479.2340540541</v>
      </c>
      <c r="R38" s="24" t="n">
        <f aca="false">N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S38" s="24" t="n">
        <f aca="false">O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81743.6783783784</v>
      </c>
      <c r="T38" s="24" t="n">
        <f aca="false">P38+(IF(I38="",J38+INDEX(Simulador!$C$40:$F$40,F38),I38)-J38-INDEX(Simulador!$C$40:$F$40,F38))*Simulador!$C$9-INDEX(Simulador!$C$69:$F$69,F38)+IF(Simulador!$N$7="Sí",MAX(0,IF(I38="",J38+INDEX(Simulador!$C$40:$F$40,F38),I38)-INDEX(Simulador!$C$41:$F$41,F38))*(INDEX(Simulador!$C$68:$F$68,F38)+Simulador!$N$8)/Simulador!$C$7,0)</f>
        <v>71438.0343243243</v>
      </c>
      <c r="U38" s="2"/>
    </row>
    <row r="39" customFormat="false" ht="15" hidden="false" customHeight="false" outlineLevel="0" collapsed="false">
      <c r="B39" s="40" t="n">
        <v>45877</v>
      </c>
      <c r="C39" s="13" t="s">
        <v>465</v>
      </c>
      <c r="D39" s="41" t="n">
        <v>11.1</v>
      </c>
      <c r="E39" s="13" t="s">
        <v>346</v>
      </c>
      <c r="F39" s="18" t="n">
        <f aca="false">MATCH(E39,{"Misma locación","0.15 - 5 km","5 - 10 km","10+ km"},0)</f>
        <v>4</v>
      </c>
      <c r="G39" s="18" t="n">
        <f aca="false">MONTH(B39)</f>
        <v>8</v>
      </c>
      <c r="H39" s="18" t="n">
        <f aca="false">COUNTIF($G$8:G39,G39)</f>
        <v>2</v>
      </c>
      <c r="I39" s="41" t="n">
        <v>19.5</v>
      </c>
      <c r="J39" s="42" t="n">
        <f aca="false">INDEX(Simulador!$C$39:$F$39,F39)</f>
        <v>28</v>
      </c>
      <c r="K39" s="43" t="n">
        <f aca="false">IF(I39="","",I39-J39)</f>
        <v>-8.5</v>
      </c>
      <c r="L39" s="44" t="n">
        <f aca="false">INDEX(Simulador!$C$51:$F$51,F39)</f>
        <v>110984.810810811</v>
      </c>
      <c r="M39" s="24" t="n">
        <f aca="false">IF(H39&gt;=Simulador!$C$19,INDEX(Simulador!$C$63:$F$63,F39),INDEX(Simulador!$C$62:$F$62,F39))</f>
        <v>110082.323783784</v>
      </c>
      <c r="N39" s="24" t="n">
        <f aca="false">INDEX(Simulador!$C$64:$F$64,F39)</f>
        <v>155579.061621622</v>
      </c>
      <c r="O39" s="24" t="n">
        <f aca="false">IF(H39&gt;=Simulador!$C$19,INDEX(Simulador!$C$65:$F$65,F39),INDEX(Simulador!$C$64:$F$64,F39))</f>
        <v>155579.061621622</v>
      </c>
      <c r="P39" s="24" t="n">
        <f aca="false">IF(H39&gt;=Simulador!$C$19,INDEX(Simulador!$C$67:$F$67,F39),INDEX(Simulador!$C$66:$F$66,F39))</f>
        <v>111865.297837838</v>
      </c>
      <c r="Q39" s="24" t="n">
        <f aca="false">M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97706.3237837838</v>
      </c>
      <c r="R39" s="24" t="n">
        <f aca="false">N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S39" s="24" t="n">
        <f aca="false">O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143203.061621622</v>
      </c>
      <c r="T39" s="24" t="n">
        <f aca="false">P39+(IF(I39="",J39+INDEX(Simulador!$C$40:$F$40,F39),I39)-J39-INDEX(Simulador!$C$40:$F$40,F39))*Simulador!$C$9-INDEX(Simulador!$C$69:$F$69,F39)+IF(Simulador!$N$7="Sí",MAX(0,IF(I39="",J39+INDEX(Simulador!$C$40:$F$40,F39),I39)-INDEX(Simulador!$C$41:$F$41,F39))*(INDEX(Simulador!$C$68:$F$68,F39)+Simulador!$N$8)/Simulador!$C$7,0)</f>
        <v>99489.2978378379</v>
      </c>
      <c r="U39" s="2"/>
    </row>
    <row r="40" customFormat="false" ht="15" hidden="false" customHeight="false" outlineLevel="0" collapsed="false">
      <c r="B40" s="40" t="n">
        <v>45882</v>
      </c>
      <c r="C40" s="13" t="s">
        <v>466</v>
      </c>
      <c r="D40" s="41" t="n">
        <v>0.6</v>
      </c>
      <c r="E40" s="13" t="s">
        <v>349</v>
      </c>
      <c r="F40" s="18" t="n">
        <f aca="false">MATCH(E40,{"Misma locación","0.15 - 5 km","5 - 10 km","10+ km"},0)</f>
        <v>2</v>
      </c>
      <c r="G40" s="18" t="n">
        <f aca="false">MONTH(B40)</f>
        <v>8</v>
      </c>
      <c r="H40" s="18" t="n">
        <f aca="false">COUNTIF($G$8:G40,G40)</f>
        <v>3</v>
      </c>
      <c r="I40" s="41" t="n">
        <v>26</v>
      </c>
      <c r="J40" s="42" t="n">
        <f aca="false">INDEX(Simulador!$C$39:$F$39,F40)</f>
        <v>18</v>
      </c>
      <c r="K40" s="43" t="n">
        <f aca="false">IF(I40="","",I40-J40)</f>
        <v>8</v>
      </c>
      <c r="L40" s="44" t="n">
        <f aca="false">INDEX(Simulador!$C$51:$F$51,F40)</f>
        <v>99473.8108108108</v>
      </c>
      <c r="M40" s="24" t="n">
        <f aca="false">IF(H40&gt;=Simulador!$C$19,INDEX(Simulador!$C$63:$F$63,F40),INDEX(Simulador!$C$62:$F$62,F40))</f>
        <v>88600.7254054054</v>
      </c>
      <c r="N40" s="24" t="n">
        <f aca="false">INDEX(Simulador!$C$64:$F$64,F40)</f>
        <v>111149.808108108</v>
      </c>
      <c r="O40" s="24" t="n">
        <f aca="false">IF(H40&gt;=Simulador!$C$19,INDEX(Simulador!$C$65:$F$65,F40),INDEX(Simulador!$C$64:$F$64,F40))</f>
        <v>111149.808108108</v>
      </c>
      <c r="P40" s="24" t="n">
        <f aca="false">IF(H40&gt;=Simulador!$C$19,INDEX(Simulador!$C$67:$F$67,F40),INDEX(Simulador!$C$66:$F$66,F40))</f>
        <v>85046.6491891892</v>
      </c>
      <c r="Q40" s="24" t="n">
        <f aca="false">M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102963.04972973</v>
      </c>
      <c r="R40" s="24" t="n">
        <f aca="false">N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S40" s="24" t="n">
        <f aca="false">O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125512.132432432</v>
      </c>
      <c r="T40" s="24" t="n">
        <f aca="false">P40+(IF(I40="",J40+INDEX(Simulador!$C$40:$F$40,F40),I40)-J40-INDEX(Simulador!$C$40:$F$40,F40))*Simulador!$C$9-INDEX(Simulador!$C$69:$F$69,F40)+IF(Simulador!$N$7="Sí",MAX(0,IF(I40="",J40+INDEX(Simulador!$C$40:$F$40,F40),I40)-INDEX(Simulador!$C$41:$F$41,F40))*(INDEX(Simulador!$C$68:$F$68,F40)+Simulador!$N$8)/Simulador!$C$7,0)</f>
        <v>99408.9735135135</v>
      </c>
      <c r="U40" s="2"/>
    </row>
    <row r="41" customFormat="false" ht="15" hidden="false" customHeight="false" outlineLevel="0" collapsed="false">
      <c r="B41" s="40" t="n">
        <v>45886</v>
      </c>
      <c r="C41" s="13" t="s">
        <v>467</v>
      </c>
      <c r="D41" s="41" t="n">
        <v>0.0128015995903488</v>
      </c>
      <c r="E41" s="13" t="s">
        <v>363</v>
      </c>
      <c r="F41" s="18" t="n">
        <f aca="false">MATCH(E41,{"Misma locación","0.15 - 5 km","5 - 10 km","10+ km"},0)</f>
        <v>1</v>
      </c>
      <c r="G41" s="18" t="n">
        <f aca="false">MONTH(B41)</f>
        <v>8</v>
      </c>
      <c r="H41" s="18" t="n">
        <f aca="false">COUNTIF($G$8:G41,G41)</f>
        <v>4</v>
      </c>
      <c r="I41" s="41" t="n">
        <v>17.25</v>
      </c>
      <c r="J41" s="42" t="n">
        <f aca="false">INDEX(Simulador!$C$39:$F$39,F41)</f>
        <v>12</v>
      </c>
      <c r="K41" s="43" t="n">
        <f aca="false">IF(I41="","",I41-J41)</f>
        <v>5.25</v>
      </c>
      <c r="L41" s="44" t="n">
        <f aca="false">INDEX(Simulador!$C$51:$F$51,F41)</f>
        <v>76047.4054054054</v>
      </c>
      <c r="M41" s="24" t="n">
        <f aca="false">IF(H41&gt;=Simulador!$C$19,INDEX(Simulador!$C$63:$F$63,F41),INDEX(Simulador!$C$62:$F$62,F41))</f>
        <v>58116.7137837838</v>
      </c>
      <c r="N41" s="24" t="n">
        <f aca="false">INDEX(Simulador!$C$64:$F$64,F41)</f>
        <v>68381.1581081081</v>
      </c>
      <c r="O41" s="24" t="n">
        <f aca="false">IF(H41&gt;=Simulador!$C$19,INDEX(Simulador!$C$65:$F$65,F41),INDEX(Simulador!$C$64:$F$64,F41))</f>
        <v>68381.1581081081</v>
      </c>
      <c r="P41" s="24" t="n">
        <f aca="false">IF(H41&gt;=Simulador!$C$19,INDEX(Simulador!$C$67:$F$67,F41),INDEX(Simulador!$C$66:$F$66,F41))</f>
        <v>58075.5140540541</v>
      </c>
      <c r="Q41" s="24" t="n">
        <f aca="false">M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72885.8151351351</v>
      </c>
      <c r="R41" s="24" t="n">
        <f aca="false">N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S41" s="24" t="n">
        <f aca="false">O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83150.2594594595</v>
      </c>
      <c r="T41" s="24" t="n">
        <f aca="false">P41+(IF(I41="",J41+INDEX(Simulador!$C$40:$F$40,F41),I41)-J41-INDEX(Simulador!$C$40:$F$40,F41))*Simulador!$C$9-INDEX(Simulador!$C$69:$F$69,F41)+IF(Simulador!$N$7="Sí",MAX(0,IF(I41="",J41+INDEX(Simulador!$C$40:$F$40,F41),I41)-INDEX(Simulador!$C$41:$F$41,F41))*(INDEX(Simulador!$C$68:$F$68,F41)+Simulador!$N$8)/Simulador!$C$7,0)</f>
        <v>72844.6154054054</v>
      </c>
      <c r="U41" s="2"/>
    </row>
    <row r="42" customFormat="false" ht="15" hidden="false" customHeight="false" outlineLevel="0" collapsed="false">
      <c r="B42" s="40" t="n">
        <v>45890</v>
      </c>
      <c r="C42" s="13" t="s">
        <v>468</v>
      </c>
      <c r="D42" s="41" t="n">
        <v>0.0128015995903488</v>
      </c>
      <c r="E42" s="13" t="s">
        <v>363</v>
      </c>
      <c r="F42" s="18" t="n">
        <f aca="false">MATCH(E42,{"Misma locación","0.15 - 5 km","5 - 10 km","10+ km"},0)</f>
        <v>1</v>
      </c>
      <c r="G42" s="18" t="n">
        <f aca="false">MONTH(B42)</f>
        <v>8</v>
      </c>
      <c r="H42" s="18" t="n">
        <f aca="false">COUNTIF($G$8:G42,G42)</f>
        <v>5</v>
      </c>
      <c r="I42" s="41" t="n">
        <v>19</v>
      </c>
      <c r="J42" s="42" t="n">
        <f aca="false">INDEX(Simulador!$C$39:$F$39,F42)</f>
        <v>12</v>
      </c>
      <c r="K42" s="43" t="n">
        <f aca="false">IF(I42="","",I42-J42)</f>
        <v>7</v>
      </c>
      <c r="L42" s="44" t="n">
        <f aca="false">INDEX(Simulador!$C$51:$F$51,F42)</f>
        <v>76047.4054054054</v>
      </c>
      <c r="M42" s="24" t="n">
        <f aca="false">IF(H42&gt;=Simulador!$C$19,INDEX(Simulador!$C$63:$F$63,F42),INDEX(Simulador!$C$62:$F$62,F42))</f>
        <v>58116.7137837838</v>
      </c>
      <c r="N42" s="24" t="n">
        <f aca="false">INDEX(Simulador!$C$64:$F$64,F42)</f>
        <v>68381.1581081081</v>
      </c>
      <c r="O42" s="24" t="n">
        <f aca="false">IF(H42&gt;=Simulador!$C$19,INDEX(Simulador!$C$65:$F$65,F42),INDEX(Simulador!$C$64:$F$64,F42))</f>
        <v>68381.1581081081</v>
      </c>
      <c r="P42" s="24" t="n">
        <f aca="false">IF(H42&gt;=Simulador!$C$19,INDEX(Simulador!$C$67:$F$67,F42),INDEX(Simulador!$C$66:$F$66,F42))</f>
        <v>58075.5140540541</v>
      </c>
      <c r="Q42" s="24" t="n">
        <f aca="false">M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77808.8489189189</v>
      </c>
      <c r="R42" s="24" t="n">
        <f aca="false">N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S42" s="24" t="n">
        <f aca="false">O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88073.2932432432</v>
      </c>
      <c r="T42" s="24" t="n">
        <f aca="false">P42+(IF(I42="",J42+INDEX(Simulador!$C$40:$F$40,F42),I42)-J42-INDEX(Simulador!$C$40:$F$40,F42))*Simulador!$C$9-INDEX(Simulador!$C$69:$F$69,F42)+IF(Simulador!$N$7="Sí",MAX(0,IF(I42="",J42+INDEX(Simulador!$C$40:$F$40,F42),I42)-INDEX(Simulador!$C$41:$F$41,F42))*(INDEX(Simulador!$C$68:$F$68,F42)+Simulador!$N$8)/Simulador!$C$7,0)</f>
        <v>77767.6491891892</v>
      </c>
      <c r="U42" s="2"/>
    </row>
    <row r="43" customFormat="false" ht="15" hidden="false" customHeight="false" outlineLevel="0" collapsed="false">
      <c r="B43" s="40" t="n">
        <v>45894</v>
      </c>
      <c r="C43" s="13" t="s">
        <v>469</v>
      </c>
      <c r="D43" s="41" t="n">
        <v>9.3</v>
      </c>
      <c r="E43" s="13" t="s">
        <v>361</v>
      </c>
      <c r="F43" s="18" t="n">
        <f aca="false">MATCH(E43,{"Misma locación","0.15 - 5 km","5 - 10 km","10+ km"},0)</f>
        <v>3</v>
      </c>
      <c r="G43" s="18" t="n">
        <f aca="false">MONTH(B43)</f>
        <v>8</v>
      </c>
      <c r="H43" s="18" t="n">
        <f aca="false">COUNTIF($G$8:G43,G43)</f>
        <v>6</v>
      </c>
      <c r="I43" s="41" t="n">
        <v>18.25</v>
      </c>
      <c r="J43" s="42" t="n">
        <f aca="false">INDEX(Simulador!$C$39:$F$39,F43)</f>
        <v>24</v>
      </c>
      <c r="K43" s="43" t="n">
        <f aca="false">IF(I43="","",I43-J43)</f>
        <v>-5.75</v>
      </c>
      <c r="L43" s="44" t="n">
        <f aca="false">INDEX(Simulador!$C$51:$F$51,F43)</f>
        <v>96184.8108108108</v>
      </c>
      <c r="M43" s="24" t="n">
        <f aca="false">IF(H43&gt;=Simulador!$C$19,INDEX(Simulador!$C$63:$F$63,F43),INDEX(Simulador!$C$62:$F$62,F43))</f>
        <v>69871.4321621622</v>
      </c>
      <c r="N43" s="24" t="n">
        <f aca="false">INDEX(Simulador!$C$64:$F$64,F43)</f>
        <v>138633.155135135</v>
      </c>
      <c r="O43" s="24" t="n">
        <f aca="false">IF(H43&gt;=Simulador!$C$19,INDEX(Simulador!$C$65:$F$65,F43),INDEX(Simulador!$C$64:$F$64,F43))</f>
        <v>88139.9289189189</v>
      </c>
      <c r="P43" s="24" t="n">
        <f aca="false">IF(H43&gt;=Simulador!$C$19,INDEX(Simulador!$C$67:$F$67,F43),INDEX(Simulador!$C$66:$F$66,F43))</f>
        <v>75215.6216216216</v>
      </c>
      <c r="Q43" s="24" t="n">
        <f aca="false">M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61499.4321621622</v>
      </c>
      <c r="R43" s="24" t="n">
        <f aca="false">N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130261.155135135</v>
      </c>
      <c r="S43" s="24" t="n">
        <f aca="false">O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79767.9289189189</v>
      </c>
      <c r="T43" s="24" t="n">
        <f aca="false">P43+(IF(I43="",J43+INDEX(Simulador!$C$40:$F$40,F43),I43)-J43-INDEX(Simulador!$C$40:$F$40,F43))*Simulador!$C$9-INDEX(Simulador!$C$69:$F$69,F43)+IF(Simulador!$N$7="Sí",MAX(0,IF(I43="",J43+INDEX(Simulador!$C$40:$F$40,F43),I43)-INDEX(Simulador!$C$41:$F$41,F43))*(INDEX(Simulador!$C$68:$F$68,F43)+Simulador!$N$8)/Simulador!$C$7,0)</f>
        <v>66843.6216216216</v>
      </c>
      <c r="U43" s="2"/>
    </row>
    <row r="44" customFormat="false" ht="15" hidden="false" customHeight="false" outlineLevel="0" collapsed="false">
      <c r="B44" s="40" t="n">
        <v>45899</v>
      </c>
      <c r="C44" s="13" t="s">
        <v>470</v>
      </c>
      <c r="D44" s="41" t="n">
        <v>0.00640079979517441</v>
      </c>
      <c r="E44" s="13" t="s">
        <v>363</v>
      </c>
      <c r="F44" s="18" t="n">
        <f aca="false">MATCH(E44,{"Misma locación","0.15 - 5 km","5 - 10 km","10+ km"},0)</f>
        <v>1</v>
      </c>
      <c r="G44" s="18" t="n">
        <f aca="false">MONTH(B44)</f>
        <v>8</v>
      </c>
      <c r="H44" s="18" t="n">
        <f aca="false">COUNTIF($G$8:G44,G44)</f>
        <v>7</v>
      </c>
      <c r="I44" s="41" t="n">
        <v>16</v>
      </c>
      <c r="J44" s="42" t="n">
        <f aca="false">INDEX(Simulador!$C$39:$F$39,F44)</f>
        <v>12</v>
      </c>
      <c r="K44" s="43" t="n">
        <f aca="false">IF(I44="","",I44-J44)</f>
        <v>4</v>
      </c>
      <c r="L44" s="44" t="n">
        <f aca="false">INDEX(Simulador!$C$51:$F$51,F44)</f>
        <v>76047.4054054054</v>
      </c>
      <c r="M44" s="24" t="n">
        <f aca="false">IF(H44&gt;=Simulador!$C$19,INDEX(Simulador!$C$63:$F$63,F44),INDEX(Simulador!$C$62:$F$62,F44))</f>
        <v>39145.7082432432</v>
      </c>
      <c r="N44" s="24" t="n">
        <f aca="false">INDEX(Simulador!$C$64:$F$64,F44)</f>
        <v>68381.1581081081</v>
      </c>
      <c r="O44" s="24" t="n">
        <f aca="false">IF(H44&gt;=Simulador!$C$19,INDEX(Simulador!$C$65:$F$65,F44),INDEX(Simulador!$C$64:$F$64,F44))</f>
        <v>44277.9304054054</v>
      </c>
      <c r="P44" s="24" t="n">
        <f aca="false">IF(H44&gt;=Simulador!$C$19,INDEX(Simulador!$C$67:$F$67,F44),INDEX(Simulador!$C$66:$F$66,F44))</f>
        <v>53466.5945945946</v>
      </c>
      <c r="Q44" s="24" t="n">
        <f aca="false">M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50398.3568918919</v>
      </c>
      <c r="R44" s="24" t="n">
        <f aca="false">N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79633.8067567568</v>
      </c>
      <c r="S44" s="24" t="n">
        <f aca="false">O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55530.5790540541</v>
      </c>
      <c r="T44" s="24" t="n">
        <f aca="false">P44+(IF(I44="",J44+INDEX(Simulador!$C$40:$F$40,F44),I44)-J44-INDEX(Simulador!$C$40:$F$40,F44))*Simulador!$C$9-INDEX(Simulador!$C$69:$F$69,F44)+IF(Simulador!$N$7="Sí",MAX(0,IF(I44="",J44+INDEX(Simulador!$C$40:$F$40,F44),I44)-INDEX(Simulador!$C$41:$F$41,F44))*(INDEX(Simulador!$C$68:$F$68,F44)+Simulador!$N$8)/Simulador!$C$7,0)</f>
        <v>64719.2432432432</v>
      </c>
      <c r="U44" s="2"/>
    </row>
    <row r="45" customFormat="false" ht="15" hidden="false" customHeight="false" outlineLevel="0" collapsed="false">
      <c r="B45" s="40" t="n">
        <v>45905</v>
      </c>
      <c r="C45" s="13" t="s">
        <v>471</v>
      </c>
      <c r="D45" s="41" t="n">
        <v>11.2</v>
      </c>
      <c r="E45" s="13" t="s">
        <v>346</v>
      </c>
      <c r="F45" s="18" t="n">
        <f aca="false">MATCH(E45,{"Misma locación","0.15 - 5 km","5 - 10 km","10+ km"},0)</f>
        <v>4</v>
      </c>
      <c r="G45" s="18" t="n">
        <f aca="false">MONTH(B45)</f>
        <v>9</v>
      </c>
      <c r="H45" s="18" t="n">
        <f aca="false">COUNTIF($G$8:G45,G45)</f>
        <v>1</v>
      </c>
      <c r="I45" s="41" t="n">
        <v>18.5</v>
      </c>
      <c r="J45" s="42" t="n">
        <f aca="false">INDEX(Simulador!$C$39:$F$39,F45)</f>
        <v>28</v>
      </c>
      <c r="K45" s="43" t="n">
        <f aca="false">IF(I45="","",I45-J45)</f>
        <v>-9.5</v>
      </c>
      <c r="L45" s="44" t="n">
        <f aca="false">INDEX(Simulador!$C$51:$F$51,F45)</f>
        <v>110984.810810811</v>
      </c>
      <c r="M45" s="24" t="n">
        <f aca="false">IF(H45&gt;=Simulador!$C$19,INDEX(Simulador!$C$63:$F$63,F45),INDEX(Simulador!$C$62:$F$62,F45))</f>
        <v>110082.323783784</v>
      </c>
      <c r="N45" s="24" t="n">
        <f aca="false">INDEX(Simulador!$C$64:$F$64,F45)</f>
        <v>155579.061621622</v>
      </c>
      <c r="O45" s="24" t="n">
        <f aca="false">IF(H45&gt;=Simulador!$C$19,INDEX(Simulador!$C$65:$F$65,F45),INDEX(Simulador!$C$64:$F$64,F45))</f>
        <v>155579.061621622</v>
      </c>
      <c r="P45" s="24" t="n">
        <f aca="false">IF(H45&gt;=Simulador!$C$19,INDEX(Simulador!$C$67:$F$67,F45),INDEX(Simulador!$C$66:$F$66,F45))</f>
        <v>111865.297837838</v>
      </c>
      <c r="Q45" s="24" t="n">
        <f aca="false">M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96250.3237837838</v>
      </c>
      <c r="R45" s="24" t="n">
        <f aca="false">N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S45" s="24" t="n">
        <f aca="false">O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141747.061621622</v>
      </c>
      <c r="T45" s="24" t="n">
        <f aca="false">P45+(IF(I45="",J45+INDEX(Simulador!$C$40:$F$40,F45),I45)-J45-INDEX(Simulador!$C$40:$F$40,F45))*Simulador!$C$9-INDEX(Simulador!$C$69:$F$69,F45)+IF(Simulador!$N$7="Sí",MAX(0,IF(I45="",J45+INDEX(Simulador!$C$40:$F$40,F45),I45)-INDEX(Simulador!$C$41:$F$41,F45))*(INDEX(Simulador!$C$68:$F$68,F45)+Simulador!$N$8)/Simulador!$C$7,0)</f>
        <v>98033.2978378379</v>
      </c>
      <c r="U45" s="2"/>
    </row>
    <row r="46" customFormat="false" ht="15" hidden="false" customHeight="false" outlineLevel="0" collapsed="false">
      <c r="B46" s="40" t="n">
        <v>45909</v>
      </c>
      <c r="C46" s="13" t="s">
        <v>472</v>
      </c>
      <c r="D46" s="41" t="n">
        <v>0.00640079979517441</v>
      </c>
      <c r="E46" s="13" t="s">
        <v>363</v>
      </c>
      <c r="F46" s="18" t="n">
        <f aca="false">MATCH(E46,{"Misma locación","0.15 - 5 km","5 - 10 km","10+ km"},0)</f>
        <v>1</v>
      </c>
      <c r="G46" s="18" t="n">
        <f aca="false">MONTH(B46)</f>
        <v>9</v>
      </c>
      <c r="H46" s="18" t="n">
        <f aca="false">COUNTIF($G$8:G46,G46)</f>
        <v>2</v>
      </c>
      <c r="I46" s="41" t="n">
        <v>14</v>
      </c>
      <c r="J46" s="42" t="n">
        <f aca="false">INDEX(Simulador!$C$39:$F$39,F46)</f>
        <v>12</v>
      </c>
      <c r="K46" s="43" t="n">
        <f aca="false">IF(I46="","",I46-J46)</f>
        <v>2</v>
      </c>
      <c r="L46" s="44" t="n">
        <f aca="false">INDEX(Simulador!$C$51:$F$51,F46)</f>
        <v>76047.4054054054</v>
      </c>
      <c r="M46" s="24" t="n">
        <f aca="false">IF(H46&gt;=Simulador!$C$19,INDEX(Simulador!$C$63:$F$63,F46),INDEX(Simulador!$C$62:$F$62,F46))</f>
        <v>58116.7137837838</v>
      </c>
      <c r="N46" s="24" t="n">
        <f aca="false">INDEX(Simulador!$C$64:$F$64,F46)</f>
        <v>68381.1581081081</v>
      </c>
      <c r="O46" s="24" t="n">
        <f aca="false">IF(H46&gt;=Simulador!$C$19,INDEX(Simulador!$C$65:$F$65,F46),INDEX(Simulador!$C$64:$F$64,F46))</f>
        <v>68381.1581081081</v>
      </c>
      <c r="P46" s="24" t="n">
        <f aca="false">IF(H46&gt;=Simulador!$C$19,INDEX(Simulador!$C$67:$F$67,F46),INDEX(Simulador!$C$66:$F$66,F46))</f>
        <v>58075.5140540541</v>
      </c>
      <c r="Q46" s="24" t="n">
        <f aca="false">M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63743.0381081081</v>
      </c>
      <c r="R46" s="24" t="n">
        <f aca="false">N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S46" s="24" t="n">
        <f aca="false">O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74007.4824324324</v>
      </c>
      <c r="T46" s="24" t="n">
        <f aca="false">P46+(IF(I46="",J46+INDEX(Simulador!$C$40:$F$40,F46),I46)-J46-INDEX(Simulador!$C$40:$F$40,F46))*Simulador!$C$9-INDEX(Simulador!$C$69:$F$69,F46)+IF(Simulador!$N$7="Sí",MAX(0,IF(I46="",J46+INDEX(Simulador!$C$40:$F$40,F46),I46)-INDEX(Simulador!$C$41:$F$41,F46))*(INDEX(Simulador!$C$68:$F$68,F46)+Simulador!$N$8)/Simulador!$C$7,0)</f>
        <v>63701.8383783784</v>
      </c>
      <c r="U46" s="2"/>
    </row>
    <row r="47" customFormat="false" ht="15" hidden="false" customHeight="false" outlineLevel="0" collapsed="false">
      <c r="B47" s="40" t="n">
        <v>45912</v>
      </c>
      <c r="C47" s="13" t="s">
        <v>473</v>
      </c>
      <c r="D47" s="41" t="n">
        <v>1.6</v>
      </c>
      <c r="E47" s="13" t="s">
        <v>349</v>
      </c>
      <c r="F47" s="18" t="n">
        <f aca="false">MATCH(E47,{"Misma locación","0.15 - 5 km","5 - 10 km","10+ km"},0)</f>
        <v>2</v>
      </c>
      <c r="G47" s="18" t="n">
        <f aca="false">MONTH(B47)</f>
        <v>9</v>
      </c>
      <c r="H47" s="18" t="n">
        <f aca="false">COUNTIF($G$8:G47,G47)</f>
        <v>3</v>
      </c>
      <c r="I47" s="41" t="n">
        <v>20.25</v>
      </c>
      <c r="J47" s="42" t="n">
        <f aca="false">INDEX(Simulador!$C$39:$F$39,F47)</f>
        <v>18</v>
      </c>
      <c r="K47" s="43" t="n">
        <f aca="false">IF(I47="","",I47-J47)</f>
        <v>2.25</v>
      </c>
      <c r="L47" s="44" t="n">
        <f aca="false">INDEX(Simulador!$C$51:$F$51,F47)</f>
        <v>99473.8108108108</v>
      </c>
      <c r="M47" s="24" t="n">
        <f aca="false">IF(H47&gt;=Simulador!$C$19,INDEX(Simulador!$C$63:$F$63,F47),INDEX(Simulador!$C$62:$F$62,F47))</f>
        <v>88600.7254054054</v>
      </c>
      <c r="N47" s="24" t="n">
        <f aca="false">INDEX(Simulador!$C$64:$F$64,F47)</f>
        <v>111149.808108108</v>
      </c>
      <c r="O47" s="24" t="n">
        <f aca="false">IF(H47&gt;=Simulador!$C$19,INDEX(Simulador!$C$65:$F$65,F47),INDEX(Simulador!$C$64:$F$64,F47))</f>
        <v>111149.808108108</v>
      </c>
      <c r="P47" s="24" t="n">
        <f aca="false">IF(H47&gt;=Simulador!$C$19,INDEX(Simulador!$C$67:$F$67,F47),INDEX(Simulador!$C$66:$F$66,F47))</f>
        <v>85046.6491891892</v>
      </c>
      <c r="Q47" s="24" t="n">
        <f aca="false">M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91876.7254054054</v>
      </c>
      <c r="R47" s="24" t="n">
        <f aca="false">N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S47" s="24" t="n">
        <f aca="false">O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114425.808108108</v>
      </c>
      <c r="T47" s="24" t="n">
        <f aca="false">P47+(IF(I47="",J47+INDEX(Simulador!$C$40:$F$40,F47),I47)-J47-INDEX(Simulador!$C$40:$F$40,F47))*Simulador!$C$9-INDEX(Simulador!$C$69:$F$69,F47)+IF(Simulador!$N$7="Sí",MAX(0,IF(I47="",J47+INDEX(Simulador!$C$40:$F$40,F47),I47)-INDEX(Simulador!$C$41:$F$41,F47))*(INDEX(Simulador!$C$68:$F$68,F47)+Simulador!$N$8)/Simulador!$C$7,0)</f>
        <v>88322.6491891892</v>
      </c>
      <c r="U47" s="2"/>
    </row>
    <row r="48" customFormat="false" ht="15" hidden="false" customHeight="false" outlineLevel="0" collapsed="false">
      <c r="B48" s="40" t="n">
        <v>45916</v>
      </c>
      <c r="C48" s="13" t="s">
        <v>474</v>
      </c>
      <c r="D48" s="41" t="n">
        <v>7.2</v>
      </c>
      <c r="E48" s="13" t="s">
        <v>361</v>
      </c>
      <c r="F48" s="18" t="n">
        <f aca="false">MATCH(E48,{"Misma locación","0.15 - 5 km","5 - 10 km","10+ km"},0)</f>
        <v>3</v>
      </c>
      <c r="G48" s="18" t="n">
        <f aca="false">MONTH(B48)</f>
        <v>9</v>
      </c>
      <c r="H48" s="18" t="n">
        <f aca="false">COUNTIF($G$8:G48,G48)</f>
        <v>4</v>
      </c>
      <c r="I48" s="41" t="n">
        <v>17.25</v>
      </c>
      <c r="J48" s="42" t="n">
        <f aca="false">INDEX(Simulador!$C$39:$F$39,F48)</f>
        <v>24</v>
      </c>
      <c r="K48" s="43" t="n">
        <f aca="false">IF(I48="","",I48-J48)</f>
        <v>-6.75</v>
      </c>
      <c r="L48" s="44" t="n">
        <f aca="false">INDEX(Simulador!$C$51:$F$51,F48)</f>
        <v>96184.8108108108</v>
      </c>
      <c r="M48" s="24" t="n">
        <f aca="false">IF(H48&gt;=Simulador!$C$19,INDEX(Simulador!$C$63:$F$63,F48),INDEX(Simulador!$C$62:$F$62,F48))</f>
        <v>102096.161621622</v>
      </c>
      <c r="N48" s="24" t="n">
        <f aca="false">INDEX(Simulador!$C$64:$F$64,F48)</f>
        <v>138633.155135135</v>
      </c>
      <c r="O48" s="24" t="n">
        <f aca="false">IF(H48&gt;=Simulador!$C$19,INDEX(Simulador!$C$65:$F$65,F48),INDEX(Simulador!$C$64:$F$64,F48))</f>
        <v>138633.155135135</v>
      </c>
      <c r="P48" s="24" t="n">
        <f aca="false">IF(H48&gt;=Simulador!$C$19,INDEX(Simulador!$C$67:$F$67,F48),INDEX(Simulador!$C$66:$F$66,F48))</f>
        <v>104944.811351351</v>
      </c>
      <c r="Q48" s="24" t="n">
        <f aca="false">M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92268.1616216216</v>
      </c>
      <c r="R48" s="24" t="n">
        <f aca="false">N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S48" s="24" t="n">
        <f aca="false">O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128805.155135135</v>
      </c>
      <c r="T48" s="24" t="n">
        <f aca="false">P48+(IF(I48="",J48+INDEX(Simulador!$C$40:$F$40,F48),I48)-J48-INDEX(Simulador!$C$40:$F$40,F48))*Simulador!$C$9-INDEX(Simulador!$C$69:$F$69,F48)+IF(Simulador!$N$7="Sí",MAX(0,IF(I48="",J48+INDEX(Simulador!$C$40:$F$40,F48),I48)-INDEX(Simulador!$C$41:$F$41,F48))*(INDEX(Simulador!$C$68:$F$68,F48)+Simulador!$N$8)/Simulador!$C$7,0)</f>
        <v>95116.8113513514</v>
      </c>
      <c r="U48" s="2"/>
    </row>
    <row r="49" customFormat="false" ht="15" hidden="false" customHeight="false" outlineLevel="0" collapsed="false">
      <c r="B49" s="40" t="n">
        <v>45928</v>
      </c>
      <c r="C49" s="13" t="s">
        <v>475</v>
      </c>
      <c r="D49" s="41" t="n">
        <v>0.0384047987710464</v>
      </c>
      <c r="E49" s="13" t="s">
        <v>363</v>
      </c>
      <c r="F49" s="18" t="n">
        <f aca="false">MATCH(E49,{"Misma locación","0.15 - 5 km","5 - 10 km","10+ km"},0)</f>
        <v>1</v>
      </c>
      <c r="G49" s="18" t="n">
        <f aca="false">MONTH(B49)</f>
        <v>9</v>
      </c>
      <c r="H49" s="18" t="n">
        <f aca="false">COUNTIF($G$8:G49,G49)</f>
        <v>5</v>
      </c>
      <c r="I49" s="41" t="n">
        <v>18</v>
      </c>
      <c r="J49" s="42" t="n">
        <f aca="false">INDEX(Simulador!$C$39:$F$39,F49)</f>
        <v>12</v>
      </c>
      <c r="K49" s="43" t="n">
        <f aca="false">IF(I49="","",I49-J49)</f>
        <v>6</v>
      </c>
      <c r="L49" s="44" t="n">
        <f aca="false">INDEX(Simulador!$C$51:$F$51,F49)</f>
        <v>76047.4054054054</v>
      </c>
      <c r="M49" s="24" t="n">
        <f aca="false">IF(H49&gt;=Simulador!$C$19,INDEX(Simulador!$C$63:$F$63,F49),INDEX(Simulador!$C$62:$F$62,F49))</f>
        <v>58116.7137837838</v>
      </c>
      <c r="N49" s="24" t="n">
        <f aca="false">INDEX(Simulador!$C$64:$F$64,F49)</f>
        <v>68381.1581081081</v>
      </c>
      <c r="O49" s="24" t="n">
        <f aca="false">IF(H49&gt;=Simulador!$C$19,INDEX(Simulador!$C$65:$F$65,F49),INDEX(Simulador!$C$64:$F$64,F49))</f>
        <v>68381.1581081081</v>
      </c>
      <c r="P49" s="24" t="n">
        <f aca="false">IF(H49&gt;=Simulador!$C$19,INDEX(Simulador!$C$67:$F$67,F49),INDEX(Simulador!$C$66:$F$66,F49))</f>
        <v>58075.5140540541</v>
      </c>
      <c r="Q49" s="24" t="n">
        <f aca="false">M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74995.6867567568</v>
      </c>
      <c r="R49" s="24" t="n">
        <f aca="false">N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S49" s="24" t="n">
        <f aca="false">O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85260.1310810811</v>
      </c>
      <c r="T49" s="24" t="n">
        <f aca="false">P49+(IF(I49="",J49+INDEX(Simulador!$C$40:$F$40,F49),I49)-J49-INDEX(Simulador!$C$40:$F$40,F49))*Simulador!$C$9-INDEX(Simulador!$C$69:$F$69,F49)+IF(Simulador!$N$7="Sí",MAX(0,IF(I49="",J49+INDEX(Simulador!$C$40:$F$40,F49),I49)-INDEX(Simulador!$C$41:$F$41,F49))*(INDEX(Simulador!$C$68:$F$68,F49)+Simulador!$N$8)/Simulador!$C$7,0)</f>
        <v>74954.487027027</v>
      </c>
      <c r="U49" s="2"/>
    </row>
    <row r="50" customFormat="false" ht="15" hidden="false" customHeight="false" outlineLevel="0" collapsed="false">
      <c r="B50" s="40" t="n">
        <v>45931</v>
      </c>
      <c r="C50" s="13" t="s">
        <v>476</v>
      </c>
      <c r="D50" s="41" t="n">
        <v>1.2</v>
      </c>
      <c r="E50" s="13" t="s">
        <v>349</v>
      </c>
      <c r="F50" s="18" t="n">
        <f aca="false">MATCH(E50,{"Misma locación","0.15 - 5 km","5 - 10 km","10+ km"},0)</f>
        <v>2</v>
      </c>
      <c r="G50" s="18" t="n">
        <f aca="false">MONTH(B50)</f>
        <v>10</v>
      </c>
      <c r="H50" s="18" t="n">
        <f aca="false">COUNTIF($G$8:G50,G50)</f>
        <v>1</v>
      </c>
      <c r="I50" s="41" t="n">
        <v>22</v>
      </c>
      <c r="J50" s="42" t="n">
        <f aca="false">INDEX(Simulador!$C$39:$F$39,F50)</f>
        <v>18</v>
      </c>
      <c r="K50" s="43" t="n">
        <f aca="false">IF(I50="","",I50-J50)</f>
        <v>4</v>
      </c>
      <c r="L50" s="44" t="n">
        <f aca="false">INDEX(Simulador!$C$51:$F$51,F50)</f>
        <v>99473.8108108108</v>
      </c>
      <c r="M50" s="24" t="n">
        <f aca="false">IF(H50&gt;=Simulador!$C$19,INDEX(Simulador!$C$63:$F$63,F50),INDEX(Simulador!$C$62:$F$62,F50))</f>
        <v>88600.7254054054</v>
      </c>
      <c r="N50" s="24" t="n">
        <f aca="false">INDEX(Simulador!$C$64:$F$64,F50)</f>
        <v>111149.808108108</v>
      </c>
      <c r="O50" s="24" t="n">
        <f aca="false">IF(H50&gt;=Simulador!$C$19,INDEX(Simulador!$C$65:$F$65,F50),INDEX(Simulador!$C$64:$F$64,F50))</f>
        <v>111149.808108108</v>
      </c>
      <c r="P50" s="24" t="n">
        <f aca="false">IF(H50&gt;=Simulador!$C$19,INDEX(Simulador!$C$67:$F$67,F50),INDEX(Simulador!$C$66:$F$66,F50))</f>
        <v>85046.6491891892</v>
      </c>
      <c r="Q50" s="24" t="n">
        <f aca="false">M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94424.7254054054</v>
      </c>
      <c r="R50" s="24" t="n">
        <f aca="false">N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S50" s="24" t="n">
        <f aca="false">O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116973.808108108</v>
      </c>
      <c r="T50" s="24" t="n">
        <f aca="false">P50+(IF(I50="",J50+INDEX(Simulador!$C$40:$F$40,F50),I50)-J50-INDEX(Simulador!$C$40:$F$40,F50))*Simulador!$C$9-INDEX(Simulador!$C$69:$F$69,F50)+IF(Simulador!$N$7="Sí",MAX(0,IF(I50="",J50+INDEX(Simulador!$C$40:$F$40,F50),I50)-INDEX(Simulador!$C$41:$F$41,F50))*(INDEX(Simulador!$C$68:$F$68,F50)+Simulador!$N$8)/Simulador!$C$7,0)</f>
        <v>90870.6491891892</v>
      </c>
      <c r="U50" s="2"/>
    </row>
    <row r="51" customFormat="false" ht="15" hidden="false" customHeight="false" outlineLevel="0" collapsed="false">
      <c r="B51" s="40" t="n">
        <v>45935</v>
      </c>
      <c r="C51" s="13" t="s">
        <v>477</v>
      </c>
      <c r="D51" s="41" t="n">
        <v>3.1</v>
      </c>
      <c r="E51" s="13" t="s">
        <v>349</v>
      </c>
      <c r="F51" s="18" t="n">
        <f aca="false">MATCH(E51,{"Misma locación","0.15 - 5 km","5 - 10 km","10+ km"},0)</f>
        <v>2</v>
      </c>
      <c r="G51" s="18" t="n">
        <f aca="false">MONTH(B51)</f>
        <v>10</v>
      </c>
      <c r="H51" s="18" t="n">
        <f aca="false">COUNTIF($G$8:G51,G51)</f>
        <v>2</v>
      </c>
      <c r="I51" s="41" t="n">
        <v>16.75</v>
      </c>
      <c r="J51" s="42" t="n">
        <f aca="false">INDEX(Simulador!$C$39:$F$39,F51)</f>
        <v>18</v>
      </c>
      <c r="K51" s="43" t="n">
        <f aca="false">IF(I51="","",I51-J51)</f>
        <v>-1.25</v>
      </c>
      <c r="L51" s="44" t="n">
        <f aca="false">INDEX(Simulador!$C$51:$F$51,F51)</f>
        <v>99473.8108108108</v>
      </c>
      <c r="M51" s="24" t="n">
        <f aca="false">IF(H51&gt;=Simulador!$C$19,INDEX(Simulador!$C$63:$F$63,F51),INDEX(Simulador!$C$62:$F$62,F51))</f>
        <v>88600.7254054054</v>
      </c>
      <c r="N51" s="24" t="n">
        <f aca="false">INDEX(Simulador!$C$64:$F$64,F51)</f>
        <v>111149.808108108</v>
      </c>
      <c r="O51" s="24" t="n">
        <f aca="false">IF(H51&gt;=Simulador!$C$19,INDEX(Simulador!$C$65:$F$65,F51),INDEX(Simulador!$C$64:$F$64,F51))</f>
        <v>111149.808108108</v>
      </c>
      <c r="P51" s="24" t="n">
        <f aca="false">IF(H51&gt;=Simulador!$C$19,INDEX(Simulador!$C$67:$F$67,F51),INDEX(Simulador!$C$66:$F$66,F51))</f>
        <v>85046.6491891892</v>
      </c>
      <c r="Q51" s="24" t="n">
        <f aca="false">M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86780.7254054054</v>
      </c>
      <c r="R51" s="24" t="n">
        <f aca="false">N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S51" s="24" t="n">
        <f aca="false">O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109329.808108108</v>
      </c>
      <c r="T51" s="24" t="n">
        <f aca="false">P51+(IF(I51="",J51+INDEX(Simulador!$C$40:$F$40,F51),I51)-J51-INDEX(Simulador!$C$40:$F$40,F51))*Simulador!$C$9-INDEX(Simulador!$C$69:$F$69,F51)+IF(Simulador!$N$7="Sí",MAX(0,IF(I51="",J51+INDEX(Simulador!$C$40:$F$40,F51),I51)-INDEX(Simulador!$C$41:$F$41,F51))*(INDEX(Simulador!$C$68:$F$68,F51)+Simulador!$N$8)/Simulador!$C$7,0)</f>
        <v>83226.6491891892</v>
      </c>
      <c r="U51" s="2"/>
    </row>
    <row r="52" customFormat="false" ht="15" hidden="false" customHeight="false" outlineLevel="0" collapsed="false">
      <c r="B52" s="40" t="n">
        <v>45943</v>
      </c>
      <c r="C52" s="13" t="s">
        <v>478</v>
      </c>
      <c r="D52" s="41" t="n">
        <v>14.6</v>
      </c>
      <c r="E52" s="13" t="s">
        <v>346</v>
      </c>
      <c r="F52" s="18" t="n">
        <f aca="false">MATCH(E52,{"Misma locación","0.15 - 5 km","5 - 10 km","10+ km"},0)</f>
        <v>4</v>
      </c>
      <c r="G52" s="18" t="n">
        <f aca="false">MONTH(B52)</f>
        <v>10</v>
      </c>
      <c r="H52" s="18" t="n">
        <f aca="false">COUNTIF($G$8:G52,G52)</f>
        <v>3</v>
      </c>
      <c r="I52" s="41" t="n">
        <v>34</v>
      </c>
      <c r="J52" s="42" t="n">
        <f aca="false">INDEX(Simulador!$C$39:$F$39,F52)</f>
        <v>28</v>
      </c>
      <c r="K52" s="43" t="n">
        <f aca="false">IF(I52="","",I52-J52)</f>
        <v>6</v>
      </c>
      <c r="L52" s="44" t="n">
        <f aca="false">INDEX(Simulador!$C$51:$F$51,F52)</f>
        <v>110984.810810811</v>
      </c>
      <c r="M52" s="24" t="n">
        <f aca="false">IF(H52&gt;=Simulador!$C$19,INDEX(Simulador!$C$63:$F$63,F52),INDEX(Simulador!$C$62:$F$62,F52))</f>
        <v>110082.323783784</v>
      </c>
      <c r="N52" s="24" t="n">
        <f aca="false">INDEX(Simulador!$C$64:$F$64,F52)</f>
        <v>155579.061621622</v>
      </c>
      <c r="O52" s="24" t="n">
        <f aca="false">IF(H52&gt;=Simulador!$C$19,INDEX(Simulador!$C$65:$F$65,F52),INDEX(Simulador!$C$64:$F$64,F52))</f>
        <v>155579.061621622</v>
      </c>
      <c r="P52" s="24" t="n">
        <f aca="false">IF(H52&gt;=Simulador!$C$19,INDEX(Simulador!$C$67:$F$67,F52),INDEX(Simulador!$C$66:$F$66,F52))</f>
        <v>111865.297837838</v>
      </c>
      <c r="Q52" s="24" t="n">
        <f aca="false">M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118818.323783784</v>
      </c>
      <c r="R52" s="24" t="n">
        <f aca="false">N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S52" s="24" t="n">
        <f aca="false">O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164315.061621622</v>
      </c>
      <c r="T52" s="24" t="n">
        <f aca="false">P52+(IF(I52="",J52+INDEX(Simulador!$C$40:$F$40,F52),I52)-J52-INDEX(Simulador!$C$40:$F$40,F52))*Simulador!$C$9-INDEX(Simulador!$C$69:$F$69,F52)+IF(Simulador!$N$7="Sí",MAX(0,IF(I52="",J52+INDEX(Simulador!$C$40:$F$40,F52),I52)-INDEX(Simulador!$C$41:$F$41,F52))*(INDEX(Simulador!$C$68:$F$68,F52)+Simulador!$N$8)/Simulador!$C$7,0)</f>
        <v>120601.297837838</v>
      </c>
      <c r="U52" s="2"/>
    </row>
    <row r="54" customFormat="false" ht="15" hidden="false" customHeight="false" outlineLevel="0" collapsed="false">
      <c r="B54" s="38" t="s">
        <v>426</v>
      </c>
      <c r="L54" s="23" t="n">
        <f aca="false">SUM(L8:L52)</f>
        <v>4266318.02702703</v>
      </c>
      <c r="M54" s="23" t="n">
        <f aca="false">SUM(M8:M52)</f>
        <v>3739267.04486487</v>
      </c>
      <c r="N54" s="23" t="n">
        <f aca="false">SUM(N8:N52)</f>
        <v>5117124.45972973</v>
      </c>
      <c r="O54" s="23" t="n">
        <f aca="false">SUM(O8:O52)</f>
        <v>4820264.59351351</v>
      </c>
      <c r="P54" s="23" t="n">
        <f aca="false">SUM(P8:P52)</f>
        <v>3772634.83135135</v>
      </c>
      <c r="Q54" s="23" t="n">
        <f aca="false">SUM(Q8:Q52)</f>
        <v>3970944.28810811</v>
      </c>
      <c r="R54" s="23" t="n">
        <f aca="false">SUM(R8:R52)</f>
        <v>5348801.70297297</v>
      </c>
      <c r="S54" s="23" t="n">
        <f aca="false">SUM(S8:S52)</f>
        <v>5051941.83675676</v>
      </c>
      <c r="T54" s="23" t="n">
        <f aca="false">SUM(T8:T52)</f>
        <v>4004312.0745946</v>
      </c>
    </row>
    <row r="57" customFormat="false" ht="15" hidden="false" customHeight="false" outlineLevel="0" collapsed="false">
      <c r="B57" s="38" t="s">
        <v>352</v>
      </c>
    </row>
    <row r="58" customFormat="false" ht="35.05" hidden="false" customHeight="false" outlineLevel="0" collapsed="false">
      <c r="B58" s="37" t="s">
        <v>330</v>
      </c>
      <c r="C58" s="37" t="s">
        <v>350</v>
      </c>
      <c r="D58" s="37" t="s">
        <v>427</v>
      </c>
      <c r="E58" s="37" t="s">
        <v>428</v>
      </c>
      <c r="F58" s="37" t="s">
        <v>90</v>
      </c>
      <c r="G58" s="37" t="s">
        <v>91</v>
      </c>
      <c r="H58" s="37" t="s">
        <v>429</v>
      </c>
      <c r="I58" s="37" t="s">
        <v>430</v>
      </c>
      <c r="J58" s="37" t="s">
        <v>431</v>
      </c>
    </row>
    <row r="59" customFormat="false" ht="15" hidden="false" customHeight="false" outlineLevel="0" collapsed="false">
      <c r="B59" s="18" t="n">
        <v>2</v>
      </c>
      <c r="C59" s="18" t="n">
        <f aca="false">COUNTIF($G$8:$G$52,B59)</f>
        <v>1</v>
      </c>
      <c r="D59" s="18" t="n">
        <f aca="false">COUNTIFS($G$8:$G$52,B59,$F$8:$F$52,1)</f>
        <v>0</v>
      </c>
      <c r="E59" s="18" t="n">
        <f aca="false">COUNTIFS($G$8:$G$52,B59,$F$8:$F$52,2)</f>
        <v>0</v>
      </c>
      <c r="F59" s="18" t="n">
        <f aca="false">COUNTIFS($G$8:$G$52,B59,$F$8:$F$52,3)</f>
        <v>0</v>
      </c>
      <c r="G59" s="18" t="n">
        <f aca="false">COUNTIFS($G$8:$G$52,B59,$F$8:$F$52,4)</f>
        <v>1</v>
      </c>
      <c r="H59" s="24" t="n">
        <f aca="false">IF(C59=0,0,INDEX(Simulador!$E$72:$E$78,MIN(C59,6)+1))</f>
        <v>133751.222162162</v>
      </c>
      <c r="I59" s="24" t="n">
        <f aca="false">IF(C59=0,0,INDEX(Simulador!$F$72:$F$78,MIN(C59,6)+1))</f>
        <v>181054.018378378</v>
      </c>
      <c r="J59" s="24" t="n">
        <f aca="false">IF(AND(C59&gt;0,Simulador!$C$16="Mensual fijo"),Simulador!$C$14/Simulador!$C$7,0)</f>
        <v>0</v>
      </c>
    </row>
    <row r="60" customFormat="false" ht="15" hidden="false" customHeight="false" outlineLevel="0" collapsed="false">
      <c r="B60" s="18" t="n">
        <v>3</v>
      </c>
      <c r="C60" s="18" t="n">
        <f aca="false">COUNTIF($G$8:$G$52,B60)</f>
        <v>4</v>
      </c>
      <c r="D60" s="18" t="n">
        <f aca="false">COUNTIFS($G$8:$G$52,B60,$F$8:$F$52,1)</f>
        <v>1</v>
      </c>
      <c r="E60" s="18" t="n">
        <f aca="false">COUNTIFS($G$8:$G$52,B60,$F$8:$F$52,2)</f>
        <v>2</v>
      </c>
      <c r="F60" s="18" t="n">
        <f aca="false">COUNTIFS($G$8:$G$52,B60,$F$8:$F$52,3)</f>
        <v>0</v>
      </c>
      <c r="G60" s="18" t="n">
        <f aca="false">COUNTIFS($G$8:$G$52,B60,$F$8:$F$52,4)</f>
        <v>1</v>
      </c>
      <c r="H60" s="24" t="n">
        <f aca="false">IF(C60=0,0,INDEX(Simulador!$E$72:$E$78,MIN(C60,6)+1))</f>
        <v>56465.2881081081</v>
      </c>
      <c r="I60" s="24" t="n">
        <f aca="false">IF(C60=0,0,INDEX(Simulador!$F$72:$F$78,MIN(C60,6)+1))</f>
        <v>45263.5045945946</v>
      </c>
      <c r="J60" s="24" t="n">
        <f aca="false">IF(AND(C60&gt;0,Simulador!$C$16="Mensual fijo"),Simulador!$C$14/Simulador!$C$7,0)</f>
        <v>0</v>
      </c>
    </row>
    <row r="61" customFormat="false" ht="15" hidden="false" customHeight="false" outlineLevel="0" collapsed="false">
      <c r="B61" s="18" t="n">
        <v>4</v>
      </c>
      <c r="C61" s="18" t="n">
        <f aca="false">COUNTIF($G$8:$G$52,B61)</f>
        <v>7</v>
      </c>
      <c r="D61" s="18" t="n">
        <f aca="false">COUNTIFS($G$8:$G$52,B61,$F$8:$F$52,1)</f>
        <v>3</v>
      </c>
      <c r="E61" s="18" t="n">
        <f aca="false">COUNTIFS($G$8:$G$52,B61,$F$8:$F$52,2)</f>
        <v>2</v>
      </c>
      <c r="F61" s="18" t="n">
        <f aca="false">COUNTIFS($G$8:$G$52,B61,$F$8:$F$52,3)</f>
        <v>2</v>
      </c>
      <c r="G61" s="18" t="n">
        <f aca="false">COUNTIFS($G$8:$G$52,B61,$F$8:$F$52,4)</f>
        <v>0</v>
      </c>
      <c r="H61" s="24" t="n">
        <f aca="false">IF(C61=0,0,INDEX(Simulador!$E$72:$E$78,MIN(C61,6)+1))</f>
        <v>0</v>
      </c>
      <c r="I61" s="24" t="n">
        <f aca="false">IF(C61=0,0,INDEX(Simulador!$F$72:$F$78,MIN(C61,6)+1))</f>
        <v>0</v>
      </c>
      <c r="J61" s="24" t="n">
        <f aca="false">IF(AND(C61&gt;0,Simulador!$C$16="Mensual fijo"),Simulador!$C$14/Simulador!$C$7,0)</f>
        <v>0</v>
      </c>
    </row>
    <row r="62" customFormat="false" ht="15" hidden="false" customHeight="false" outlineLevel="0" collapsed="false">
      <c r="B62" s="18" t="n">
        <v>5</v>
      </c>
      <c r="C62" s="18" t="n">
        <f aca="false">COUNTIF($G$8:$G$52,B62)</f>
        <v>5</v>
      </c>
      <c r="D62" s="18" t="n">
        <f aca="false">COUNTIFS($G$8:$G$52,B62,$F$8:$F$52,1)</f>
        <v>0</v>
      </c>
      <c r="E62" s="18" t="n">
        <f aca="false">COUNTIFS($G$8:$G$52,B62,$F$8:$F$52,2)</f>
        <v>3</v>
      </c>
      <c r="F62" s="18" t="n">
        <f aca="false">COUNTIFS($G$8:$G$52,B62,$F$8:$F$52,3)</f>
        <v>2</v>
      </c>
      <c r="G62" s="18" t="n">
        <f aca="false">COUNTIFS($G$8:$G$52,B62,$F$8:$F$52,4)</f>
        <v>0</v>
      </c>
      <c r="H62" s="24" t="n">
        <f aca="false">IF(C62=0,0,INDEX(Simulador!$E$72:$E$78,MIN(C62,6)+1))</f>
        <v>40952.5381081081</v>
      </c>
      <c r="I62" s="24" t="n">
        <f aca="false">IF(C62=0,0,INDEX(Simulador!$F$72:$F$78,MIN(C62,6)+1))</f>
        <v>0</v>
      </c>
      <c r="J62" s="24" t="n">
        <f aca="false">IF(AND(C62&gt;0,Simulador!$C$16="Mensual fijo"),Simulador!$C$14/Simulador!$C$7,0)</f>
        <v>0</v>
      </c>
    </row>
    <row r="63" customFormat="false" ht="15" hidden="false" customHeight="false" outlineLevel="0" collapsed="false">
      <c r="B63" s="18" t="n">
        <v>6</v>
      </c>
      <c r="C63" s="18" t="n">
        <f aca="false">COUNTIF($G$8:$G$52,B63)</f>
        <v>6</v>
      </c>
      <c r="D63" s="18" t="n">
        <f aca="false">COUNTIFS($G$8:$G$52,B63,$F$8:$F$52,1)</f>
        <v>1</v>
      </c>
      <c r="E63" s="18" t="n">
        <f aca="false">COUNTIFS($G$8:$G$52,B63,$F$8:$F$52,2)</f>
        <v>3</v>
      </c>
      <c r="F63" s="18" t="n">
        <f aca="false">COUNTIFS($G$8:$G$52,B63,$F$8:$F$52,3)</f>
        <v>1</v>
      </c>
      <c r="G63" s="18" t="n">
        <f aca="false">COUNTIFS($G$8:$G$52,B63,$F$8:$F$52,4)</f>
        <v>1</v>
      </c>
      <c r="H63" s="24" t="n">
        <f aca="false">IF(C63=0,0,INDEX(Simulador!$E$72:$E$78,MIN(C63,6)+1))</f>
        <v>0</v>
      </c>
      <c r="I63" s="24" t="n">
        <f aca="false">IF(C63=0,0,INDEX(Simulador!$F$72:$F$78,MIN(C63,6)+1))</f>
        <v>0</v>
      </c>
      <c r="J63" s="24" t="n">
        <f aca="false">IF(AND(C63&gt;0,Simulador!$C$16="Mensual fijo"),Simulador!$C$14/Simulador!$C$7,0)</f>
        <v>0</v>
      </c>
    </row>
    <row r="64" customFormat="false" ht="15" hidden="false" customHeight="false" outlineLevel="0" collapsed="false">
      <c r="B64" s="18" t="n">
        <v>7</v>
      </c>
      <c r="C64" s="18" t="n">
        <f aca="false">COUNTIF($G$8:$G$52,B64)</f>
        <v>7</v>
      </c>
      <c r="D64" s="18" t="n">
        <f aca="false">COUNTIFS($G$8:$G$52,B64,$F$8:$F$52,1)</f>
        <v>0</v>
      </c>
      <c r="E64" s="18" t="n">
        <f aca="false">COUNTIFS($G$8:$G$52,B64,$F$8:$F$52,2)</f>
        <v>3</v>
      </c>
      <c r="F64" s="18" t="n">
        <f aca="false">COUNTIFS($G$8:$G$52,B64,$F$8:$F$52,3)</f>
        <v>3</v>
      </c>
      <c r="G64" s="18" t="n">
        <f aca="false">COUNTIFS($G$8:$G$52,B64,$F$8:$F$52,4)</f>
        <v>1</v>
      </c>
      <c r="H64" s="24" t="n">
        <f aca="false">IF(C64=0,0,INDEX(Simulador!$E$72:$E$78,MIN(C64,6)+1))</f>
        <v>0</v>
      </c>
      <c r="I64" s="24" t="n">
        <f aca="false">IF(C64=0,0,INDEX(Simulador!$F$72:$F$78,MIN(C64,6)+1))</f>
        <v>0</v>
      </c>
      <c r="J64" s="24" t="n">
        <f aca="false">IF(AND(C64&gt;0,Simulador!$C$16="Mensual fijo"),Simulador!$C$14/Simulador!$C$7,0)</f>
        <v>0</v>
      </c>
    </row>
    <row r="65" customFormat="false" ht="15" hidden="false" customHeight="false" outlineLevel="0" collapsed="false">
      <c r="B65" s="18" t="n">
        <v>8</v>
      </c>
      <c r="C65" s="18" t="n">
        <f aca="false">COUNTIF($G$8:$G$52,B65)</f>
        <v>7</v>
      </c>
      <c r="D65" s="18" t="n">
        <f aca="false">COUNTIFS($G$8:$G$52,B65,$F$8:$F$52,1)</f>
        <v>4</v>
      </c>
      <c r="E65" s="18" t="n">
        <f aca="false">COUNTIFS($G$8:$G$52,B65,$F$8:$F$52,2)</f>
        <v>1</v>
      </c>
      <c r="F65" s="18" t="n">
        <f aca="false">COUNTIFS($G$8:$G$52,B65,$F$8:$F$52,3)</f>
        <v>1</v>
      </c>
      <c r="G65" s="18" t="n">
        <f aca="false">COUNTIFS($G$8:$G$52,B65,$F$8:$F$52,4)</f>
        <v>1</v>
      </c>
      <c r="H65" s="24" t="n">
        <f aca="false">IF(C65=0,0,INDEX(Simulador!$E$72:$E$78,MIN(C65,6)+1))</f>
        <v>0</v>
      </c>
      <c r="I65" s="24" t="n">
        <f aca="false">IF(C65=0,0,INDEX(Simulador!$F$72:$F$78,MIN(C65,6)+1))</f>
        <v>0</v>
      </c>
      <c r="J65" s="24" t="n">
        <f aca="false">IF(AND(C65&gt;0,Simulador!$C$16="Mensual fijo"),Simulador!$C$14/Simulador!$C$7,0)</f>
        <v>0</v>
      </c>
    </row>
    <row r="66" customFormat="false" ht="15" hidden="false" customHeight="false" outlineLevel="0" collapsed="false">
      <c r="B66" s="18" t="n">
        <v>9</v>
      </c>
      <c r="C66" s="18" t="n">
        <f aca="false">COUNTIF($G$8:$G$52,B66)</f>
        <v>5</v>
      </c>
      <c r="D66" s="18" t="n">
        <f aca="false">COUNTIFS($G$8:$G$52,B66,$F$8:$F$52,1)</f>
        <v>2</v>
      </c>
      <c r="E66" s="18" t="n">
        <f aca="false">COUNTIFS($G$8:$G$52,B66,$F$8:$F$52,2)</f>
        <v>1</v>
      </c>
      <c r="F66" s="18" t="n">
        <f aca="false">COUNTIFS($G$8:$G$52,B66,$F$8:$F$52,3)</f>
        <v>1</v>
      </c>
      <c r="G66" s="18" t="n">
        <f aca="false">COUNTIFS($G$8:$G$52,B66,$F$8:$F$52,4)</f>
        <v>1</v>
      </c>
      <c r="H66" s="24" t="n">
        <f aca="false">IF(C66=0,0,INDEX(Simulador!$E$72:$E$78,MIN(C66,6)+1))</f>
        <v>40952.5381081081</v>
      </c>
      <c r="I66" s="24" t="n">
        <f aca="false">IF(C66=0,0,INDEX(Simulador!$F$72:$F$78,MIN(C66,6)+1))</f>
        <v>0</v>
      </c>
      <c r="J66" s="24" t="n">
        <f aca="false">IF(AND(C66&gt;0,Simulador!$C$16="Mensual fijo"),Simulador!$C$14/Simulador!$C$7,0)</f>
        <v>0</v>
      </c>
    </row>
    <row r="67" customFormat="false" ht="15" hidden="false" customHeight="false" outlineLevel="0" collapsed="false">
      <c r="B67" s="18" t="n">
        <v>10</v>
      </c>
      <c r="C67" s="18" t="n">
        <f aca="false">COUNTIF($G$8:$G$52,B67)</f>
        <v>3</v>
      </c>
      <c r="D67" s="18" t="n">
        <f aca="false">COUNTIFS($G$8:$G$52,B67,$F$8:$F$52,1)</f>
        <v>0</v>
      </c>
      <c r="E67" s="18" t="n">
        <f aca="false">COUNTIFS($G$8:$G$52,B67,$F$8:$F$52,2)</f>
        <v>2</v>
      </c>
      <c r="F67" s="18" t="n">
        <f aca="false">COUNTIFS($G$8:$G$52,B67,$F$8:$F$52,3)</f>
        <v>0</v>
      </c>
      <c r="G67" s="18" t="n">
        <f aca="false">COUNTIFS($G$8:$G$52,B67,$F$8:$F$52,4)</f>
        <v>1</v>
      </c>
      <c r="H67" s="24" t="n">
        <f aca="false">IF(C67=0,0,INDEX(Simulador!$E$72:$E$78,MIN(C67,6)+1))</f>
        <v>69757.6113513514</v>
      </c>
      <c r="I67" s="24" t="n">
        <f aca="false">IF(C67=0,0,INDEX(Simulador!$F$72:$F$78,MIN(C67,6)+1))</f>
        <v>90527.0091891892</v>
      </c>
      <c r="J67" s="24" t="n">
        <f aca="false">IF(AND(C67&gt;0,Simulador!$C$16="Mensual fijo"),Simulador!$C$14/Simulador!$C$7,0)</f>
        <v>0</v>
      </c>
    </row>
    <row r="68" customFormat="false" ht="15" hidden="false" customHeight="false" outlineLevel="0" collapsed="false">
      <c r="B68" s="38" t="s">
        <v>200</v>
      </c>
      <c r="C68" s="35" t="n">
        <f aca="false">SUM(C59:C67)</f>
        <v>45</v>
      </c>
      <c r="D68" s="35" t="n">
        <f aca="false">SUM(D59:D67)</f>
        <v>11</v>
      </c>
      <c r="E68" s="35" t="n">
        <f aca="false">SUM(E59:E67)</f>
        <v>17</v>
      </c>
      <c r="F68" s="35" t="n">
        <f aca="false">SUM(F59:F67)</f>
        <v>10</v>
      </c>
      <c r="G68" s="35" t="n">
        <f aca="false">SUM(G59:G67)</f>
        <v>7</v>
      </c>
      <c r="H68" s="23" t="n">
        <f aca="false">SUM(H59:H67)</f>
        <v>341879.197837838</v>
      </c>
      <c r="I68" s="23" t="n">
        <f aca="false">SUM(I59:I67)</f>
        <v>316844.532162162</v>
      </c>
      <c r="J68" s="23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479</v>
      </c>
    </row>
    <row r="2" customFormat="false" ht="15" hidden="false" customHeight="false" outlineLevel="0" collapsed="false">
      <c r="B2" s="2" t="s">
        <v>480</v>
      </c>
    </row>
    <row r="4" customFormat="false" ht="23.85" hidden="false" customHeight="false" outlineLevel="0" collapsed="false">
      <c r="B4" s="25" t="s">
        <v>481</v>
      </c>
      <c r="C4" s="25" t="s">
        <v>482</v>
      </c>
      <c r="D4" s="25" t="s">
        <v>483</v>
      </c>
      <c r="E4" s="25" t="s">
        <v>161</v>
      </c>
      <c r="F4" s="25" t="s">
        <v>484</v>
      </c>
      <c r="G4" s="25" t="s">
        <v>8</v>
      </c>
    </row>
    <row r="5" customFormat="false" ht="15" hidden="false" customHeight="false" outlineLevel="0" collapsed="false">
      <c r="B5" s="7" t="s">
        <v>485</v>
      </c>
      <c r="C5" s="47" t="n">
        <f aca="false">Simulador!C7</f>
        <v>3700</v>
      </c>
      <c r="D5" s="48" t="n">
        <v>3700</v>
      </c>
      <c r="E5" s="7" t="str">
        <f aca="false">IF(ABS(C5-D5)&lt;0.005,"OK","DIFERENCIA")</f>
        <v>OK</v>
      </c>
      <c r="F5" s="7" t="s">
        <v>486</v>
      </c>
      <c r="G5" s="7" t="s">
        <v>18</v>
      </c>
    </row>
    <row r="6" customFormat="false" ht="15" hidden="false" customHeight="false" outlineLevel="0" collapsed="false">
      <c r="B6" s="7" t="s">
        <v>487</v>
      </c>
      <c r="C6" s="47" t="n">
        <f aca="false">Simulador!C8</f>
        <v>34944</v>
      </c>
      <c r="D6" s="48" t="n">
        <v>34944</v>
      </c>
      <c r="E6" s="7" t="str">
        <f aca="false">IF(ABS(C6-D6)&lt;0.005,"OK","DIFERENCIA")</f>
        <v>OK</v>
      </c>
      <c r="F6" s="7" t="s">
        <v>19</v>
      </c>
      <c r="G6" s="7" t="s">
        <v>18</v>
      </c>
    </row>
    <row r="7" customFormat="false" ht="15" hidden="false" customHeight="false" outlineLevel="0" collapsed="false">
      <c r="B7" s="7" t="s">
        <v>488</v>
      </c>
      <c r="C7" s="47" t="n">
        <f aca="false">Simulador!C9</f>
        <v>1456</v>
      </c>
      <c r="D7" s="48" t="n">
        <v>1456</v>
      </c>
      <c r="E7" s="7" t="str">
        <f aca="false">IF(ABS(C7-D7)&lt;0.005,"OK","DIFERENCIA")</f>
        <v>OK</v>
      </c>
      <c r="F7" s="7" t="s">
        <v>489</v>
      </c>
      <c r="G7" s="7" t="s">
        <v>18</v>
      </c>
    </row>
    <row r="8" customFormat="false" ht="15" hidden="false" customHeight="false" outlineLevel="0" collapsed="false">
      <c r="B8" s="7" t="s">
        <v>490</v>
      </c>
      <c r="C8" s="47" t="n">
        <f aca="false">Simulador!C11</f>
        <v>0</v>
      </c>
      <c r="D8" s="48" t="n">
        <v>0</v>
      </c>
      <c r="E8" s="7" t="str">
        <f aca="false">IF(ABS(C8-D8)&lt;0.005,"OK","DIFERENCIA")</f>
        <v>OK</v>
      </c>
      <c r="F8" s="7" t="s">
        <v>491</v>
      </c>
      <c r="G8" s="7" t="s">
        <v>492</v>
      </c>
    </row>
    <row r="9" customFormat="false" ht="15" hidden="false" customHeight="false" outlineLevel="0" collapsed="false">
      <c r="B9" s="7" t="s">
        <v>493</v>
      </c>
      <c r="C9" s="47" t="n">
        <f aca="false">Simulador!C12</f>
        <v>0</v>
      </c>
      <c r="D9" s="48" t="n">
        <v>0</v>
      </c>
      <c r="E9" s="7" t="str">
        <f aca="false">IF(ABS(C9-D9)&lt;0.005,"OK","DIFERENCIA")</f>
        <v>OK</v>
      </c>
      <c r="F9" s="7" t="s">
        <v>36</v>
      </c>
      <c r="G9" s="7" t="s">
        <v>492</v>
      </c>
    </row>
    <row r="10" customFormat="false" ht="15" hidden="false" customHeight="false" outlineLevel="0" collapsed="false">
      <c r="B10" s="7" t="s">
        <v>494</v>
      </c>
      <c r="C10" s="47" t="n">
        <f aca="false">Simulador!C54</f>
        <v>2702.7027027027</v>
      </c>
      <c r="D10" s="48" t="n">
        <v>2702.7027027027</v>
      </c>
      <c r="E10" s="7" t="str">
        <f aca="false">IF(ABS(C10-D10)&lt;0.005,"OK","DIFERENCIA")</f>
        <v>OK</v>
      </c>
      <c r="F10" s="7" t="s">
        <v>45</v>
      </c>
      <c r="G10" s="7" t="s">
        <v>18</v>
      </c>
    </row>
    <row r="11" customFormat="false" ht="15" hidden="false" customHeight="false" outlineLevel="0" collapsed="false">
      <c r="B11" s="7" t="s">
        <v>495</v>
      </c>
      <c r="C11" s="47" t="n">
        <f aca="false">Simulador!C39</f>
        <v>12</v>
      </c>
      <c r="D11" s="48" t="n">
        <v>12</v>
      </c>
      <c r="E11" s="7" t="str">
        <f aca="false">IF(ABS(C11-D11)&lt;0.005,"OK","DIFERENCIA")</f>
        <v>OK</v>
      </c>
      <c r="F11" s="7" t="s">
        <v>496</v>
      </c>
      <c r="G11" s="7" t="s">
        <v>497</v>
      </c>
    </row>
    <row r="12" customFormat="false" ht="15" hidden="false" customHeight="false" outlineLevel="0" collapsed="false">
      <c r="B12" s="7" t="s">
        <v>498</v>
      </c>
      <c r="C12" s="47" t="n">
        <f aca="false">Simulador!D39</f>
        <v>18</v>
      </c>
      <c r="D12" s="48" t="n">
        <v>18</v>
      </c>
      <c r="E12" s="7" t="str">
        <f aca="false">IF(ABS(C12-D12)&lt;0.005,"OK","DIFERENCIA")</f>
        <v>OK</v>
      </c>
      <c r="F12" s="7" t="s">
        <v>499</v>
      </c>
      <c r="G12" s="7" t="s">
        <v>497</v>
      </c>
    </row>
    <row r="13" customFormat="false" ht="15" hidden="false" customHeight="false" outlineLevel="0" collapsed="false">
      <c r="B13" s="7" t="s">
        <v>500</v>
      </c>
      <c r="C13" s="47" t="n">
        <f aca="false">Simulador!E39</f>
        <v>24</v>
      </c>
      <c r="D13" s="48" t="n">
        <v>24</v>
      </c>
      <c r="E13" s="7" t="str">
        <f aca="false">IF(ABS(C13-D13)&lt;0.005,"OK","DIFERENCIA")</f>
        <v>OK</v>
      </c>
      <c r="F13" s="7" t="s">
        <v>501</v>
      </c>
      <c r="G13" s="7" t="s">
        <v>497</v>
      </c>
    </row>
    <row r="14" customFormat="false" ht="15" hidden="false" customHeight="false" outlineLevel="0" collapsed="false">
      <c r="B14" s="7" t="s">
        <v>502</v>
      </c>
      <c r="C14" s="47" t="n">
        <f aca="false">Simulador!F39</f>
        <v>28</v>
      </c>
      <c r="D14" s="48" t="n">
        <v>28</v>
      </c>
      <c r="E14" s="7" t="str">
        <f aca="false">IF(ABS(C14-D14)&lt;0.005,"OK","DIFERENCIA")</f>
        <v>OK</v>
      </c>
      <c r="F14" s="7" t="s">
        <v>503</v>
      </c>
      <c r="G14" s="7" t="s">
        <v>497</v>
      </c>
    </row>
    <row r="15" customFormat="false" ht="15" hidden="false" customHeight="false" outlineLevel="0" collapsed="false">
      <c r="B15" s="7" t="s">
        <v>504</v>
      </c>
      <c r="C15" s="47" t="n">
        <f aca="false">Simulador!C43</f>
        <v>75642</v>
      </c>
      <c r="D15" s="48" t="n">
        <v>75642</v>
      </c>
      <c r="E15" s="7" t="str">
        <f aca="false">IF(ABS(C15-D15)&lt;0.005,"OK","DIFERENCIA")</f>
        <v>OK</v>
      </c>
      <c r="F15" s="7" t="s">
        <v>505</v>
      </c>
      <c r="G15" s="7" t="s">
        <v>492</v>
      </c>
    </row>
    <row r="16" customFormat="false" ht="15" hidden="false" customHeight="false" outlineLevel="0" collapsed="false">
      <c r="B16" s="7" t="s">
        <v>506</v>
      </c>
      <c r="C16" s="47" t="n">
        <f aca="false">Simulador!D43</f>
        <v>98663</v>
      </c>
      <c r="D16" s="48" t="n">
        <v>98663</v>
      </c>
      <c r="E16" s="7" t="str">
        <f aca="false">IF(ABS(C16-D16)&lt;0.005,"OK","DIFERENCIA")</f>
        <v>OK</v>
      </c>
      <c r="F16" s="7" t="s">
        <v>507</v>
      </c>
      <c r="G16" s="7" t="s">
        <v>492</v>
      </c>
    </row>
    <row r="17" customFormat="false" ht="15" hidden="false" customHeight="false" outlineLevel="0" collapsed="false">
      <c r="B17" s="7" t="s">
        <v>508</v>
      </c>
      <c r="C17" s="47" t="n">
        <f aca="false">Simulador!E43</f>
        <v>95374</v>
      </c>
      <c r="D17" s="48" t="n">
        <v>95374</v>
      </c>
      <c r="E17" s="7" t="str">
        <f aca="false">IF(ABS(C17-D17)&lt;0.005,"OK","DIFERENCIA")</f>
        <v>OK</v>
      </c>
      <c r="F17" s="7" t="s">
        <v>509</v>
      </c>
      <c r="G17" s="7" t="s">
        <v>492</v>
      </c>
    </row>
    <row r="18" customFormat="false" ht="15" hidden="false" customHeight="false" outlineLevel="0" collapsed="false">
      <c r="B18" s="7" t="s">
        <v>510</v>
      </c>
      <c r="C18" s="47" t="n">
        <f aca="false">Simulador!F43</f>
        <v>110174</v>
      </c>
      <c r="D18" s="48" t="n">
        <v>110174</v>
      </c>
      <c r="E18" s="7" t="str">
        <f aca="false">IF(ABS(C18-D18)&lt;0.005,"OK","DIFERENCIA")</f>
        <v>OK</v>
      </c>
      <c r="F18" s="7" t="s">
        <v>511</v>
      </c>
      <c r="G18" s="7" t="s">
        <v>492</v>
      </c>
    </row>
    <row r="19" customFormat="false" ht="15" hidden="false" customHeight="false" outlineLevel="0" collapsed="false">
      <c r="B19" s="7" t="s">
        <v>512</v>
      </c>
      <c r="C19" s="47" t="n">
        <f aca="false">Simulador!C44</f>
        <v>140385441</v>
      </c>
      <c r="D19" s="48" t="n">
        <v>140385441</v>
      </c>
      <c r="E19" s="7" t="str">
        <f aca="false">IF(ABS(C19-D19)&lt;0.005,"OK","DIFERENCIA")</f>
        <v>OK</v>
      </c>
      <c r="F19" s="7" t="s">
        <v>513</v>
      </c>
      <c r="G19" s="7" t="s">
        <v>18</v>
      </c>
    </row>
    <row r="20" customFormat="false" ht="15" hidden="false" customHeight="false" outlineLevel="0" collapsed="false">
      <c r="B20" s="7" t="s">
        <v>514</v>
      </c>
      <c r="C20" s="47" t="n">
        <f aca="false">Simulador!C45</f>
        <v>178363885</v>
      </c>
      <c r="D20" s="48" t="n">
        <v>178363885</v>
      </c>
      <c r="E20" s="7" t="str">
        <f aca="false">IF(ABS(C20-D20)&lt;0.005,"OK","DIFERENCIA")</f>
        <v>OK</v>
      </c>
      <c r="F20" s="7" t="s">
        <v>515</v>
      </c>
      <c r="G20" s="7" t="s">
        <v>18</v>
      </c>
    </row>
    <row r="21" customFormat="false" ht="15" hidden="false" customHeight="false" outlineLevel="0" collapsed="false">
      <c r="B21" s="7" t="s">
        <v>516</v>
      </c>
      <c r="C21" s="47" t="n">
        <f aca="false">Simulador!C46</f>
        <v>140233002</v>
      </c>
      <c r="D21" s="48" t="n">
        <v>140233002</v>
      </c>
      <c r="E21" s="7" t="str">
        <f aca="false">IF(ABS(C21-D21)&lt;0.005,"OK","DIFERENCIA")</f>
        <v>OK</v>
      </c>
      <c r="F21" s="7" t="s">
        <v>517</v>
      </c>
      <c r="G21" s="7" t="s">
        <v>18</v>
      </c>
    </row>
    <row r="22" customFormat="false" ht="15" hidden="false" customHeight="false" outlineLevel="0" collapsed="false">
      <c r="B22" s="7" t="s">
        <v>518</v>
      </c>
      <c r="C22" s="47" t="n">
        <f aca="false">Simulador!D44</f>
        <v>220853084</v>
      </c>
      <c r="D22" s="48" t="n">
        <v>220853084</v>
      </c>
      <c r="E22" s="7" t="str">
        <f aca="false">IF(ABS(C22-D22)&lt;0.005,"OK","DIFERENCIA")</f>
        <v>OK</v>
      </c>
      <c r="F22" s="7" t="s">
        <v>519</v>
      </c>
      <c r="G22" s="7" t="s">
        <v>18</v>
      </c>
    </row>
    <row r="23" customFormat="false" ht="15" hidden="false" customHeight="false" outlineLevel="0" collapsed="false">
      <c r="B23" s="7" t="s">
        <v>520</v>
      </c>
      <c r="C23" s="47" t="n">
        <f aca="false">Simulador!D45</f>
        <v>304284690</v>
      </c>
      <c r="D23" s="48" t="n">
        <v>304284690</v>
      </c>
      <c r="E23" s="7" t="str">
        <f aca="false">IF(ABS(C23-D23)&lt;0.005,"OK","DIFERENCIA")</f>
        <v>OK</v>
      </c>
      <c r="F23" s="7" t="s">
        <v>521</v>
      </c>
      <c r="G23" s="7" t="s">
        <v>18</v>
      </c>
    </row>
    <row r="24" customFormat="false" ht="15" hidden="false" customHeight="false" outlineLevel="0" collapsed="false">
      <c r="B24" s="7" t="s">
        <v>522</v>
      </c>
      <c r="C24" s="47" t="n">
        <f aca="false">Simulador!D46</f>
        <v>207703002</v>
      </c>
      <c r="D24" s="48" t="n">
        <v>207703002</v>
      </c>
      <c r="E24" s="7" t="str">
        <f aca="false">IF(ABS(C24-D24)&lt;0.005,"OK","DIFERENCIA")</f>
        <v>OK</v>
      </c>
      <c r="F24" s="7" t="s">
        <v>523</v>
      </c>
      <c r="G24" s="7" t="s">
        <v>18</v>
      </c>
    </row>
    <row r="25" customFormat="false" ht="15" hidden="false" customHeight="false" outlineLevel="0" collapsed="false">
      <c r="B25" s="7" t="s">
        <v>524</v>
      </c>
      <c r="C25" s="47" t="n">
        <f aca="false">Simulador!E44</f>
        <v>238462998</v>
      </c>
      <c r="D25" s="48" t="n">
        <v>238462998</v>
      </c>
      <c r="E25" s="7" t="str">
        <f aca="false">IF(ABS(C25-D25)&lt;0.005,"OK","DIFERENCIA")</f>
        <v>OK</v>
      </c>
      <c r="F25" s="7" t="s">
        <v>525</v>
      </c>
      <c r="G25" s="7" t="s">
        <v>18</v>
      </c>
    </row>
    <row r="26" customFormat="false" ht="15" hidden="false" customHeight="false" outlineLevel="0" collapsed="false">
      <c r="B26" s="7" t="s">
        <v>526</v>
      </c>
      <c r="C26" s="47" t="n">
        <f aca="false">Simulador!E45</f>
        <v>373649874</v>
      </c>
      <c r="D26" s="48" t="n">
        <v>373649874</v>
      </c>
      <c r="E26" s="7" t="str">
        <f aca="false">IF(ABS(C26-D26)&lt;0.005,"OK","DIFERENCIA")</f>
        <v>OK</v>
      </c>
      <c r="F26" s="7" t="s">
        <v>527</v>
      </c>
      <c r="G26" s="7" t="s">
        <v>18</v>
      </c>
    </row>
    <row r="27" customFormat="false" ht="15" hidden="false" customHeight="false" outlineLevel="0" collapsed="false">
      <c r="B27" s="7" t="s">
        <v>528</v>
      </c>
      <c r="C27" s="47" t="n">
        <f aca="false">Simulador!E46</f>
        <v>249003002</v>
      </c>
      <c r="D27" s="48" t="n">
        <v>249003002</v>
      </c>
      <c r="E27" s="7" t="str">
        <f aca="false">IF(ABS(C27-D27)&lt;0.005,"OK","DIFERENCIA")</f>
        <v>OK</v>
      </c>
      <c r="F27" s="7" t="s">
        <v>529</v>
      </c>
      <c r="G27" s="7" t="s">
        <v>18</v>
      </c>
    </row>
    <row r="28" customFormat="false" ht="15" hidden="false" customHeight="false" outlineLevel="0" collapsed="false">
      <c r="B28" s="7" t="s">
        <v>530</v>
      </c>
      <c r="C28" s="47" t="n">
        <f aca="false">Simulador!F44</f>
        <v>246462998</v>
      </c>
      <c r="D28" s="48" t="n">
        <v>246462998</v>
      </c>
      <c r="E28" s="7" t="str">
        <f aca="false">IF(ABS(C28-D28)&lt;0.005,"OK","DIFERENCIA")</f>
        <v>OK</v>
      </c>
      <c r="F28" s="7" t="s">
        <v>531</v>
      </c>
      <c r="G28" s="7" t="s">
        <v>18</v>
      </c>
    </row>
    <row r="29" customFormat="false" ht="15" hidden="false" customHeight="false" outlineLevel="0" collapsed="false">
      <c r="B29" s="7" t="s">
        <v>532</v>
      </c>
      <c r="C29" s="47" t="n">
        <f aca="false">Simulador!F45</f>
        <v>414800928</v>
      </c>
      <c r="D29" s="48" t="n">
        <v>414800928</v>
      </c>
      <c r="E29" s="7" t="str">
        <f aca="false">IF(ABS(C29-D29)&lt;0.005,"OK","DIFERENCIA")</f>
        <v>OK</v>
      </c>
      <c r="F29" s="7" t="s">
        <v>533</v>
      </c>
      <c r="G29" s="7" t="s">
        <v>18</v>
      </c>
    </row>
    <row r="30" customFormat="false" ht="15" hidden="false" customHeight="false" outlineLevel="0" collapsed="false">
      <c r="B30" s="7" t="s">
        <v>534</v>
      </c>
      <c r="C30" s="47" t="n">
        <f aca="false">Simulador!F46</f>
        <v>253060002</v>
      </c>
      <c r="D30" s="48" t="n">
        <v>253060002</v>
      </c>
      <c r="E30" s="7" t="str">
        <f aca="false">IF(ABS(C30-D30)&lt;0.005,"OK","DIFERENCIA")</f>
        <v>OK</v>
      </c>
      <c r="F30" s="7" t="s">
        <v>535</v>
      </c>
      <c r="G30" s="7" t="s">
        <v>18</v>
      </c>
    </row>
    <row r="31" customFormat="false" ht="15" hidden="false" customHeight="false" outlineLevel="0" collapsed="false">
      <c r="B31" s="7" t="s">
        <v>536</v>
      </c>
      <c r="C31" s="47" t="n">
        <f aca="false">Simulador!C21</f>
        <v>375000</v>
      </c>
      <c r="D31" s="48" t="n">
        <v>375000</v>
      </c>
      <c r="E31" s="7" t="str">
        <f aca="false">IF(ABS(C31-D31)&lt;0.005,"OK","DIFERENCIA")</f>
        <v>OK</v>
      </c>
      <c r="F31" s="7" t="s">
        <v>537</v>
      </c>
      <c r="G31" s="7" t="s">
        <v>18</v>
      </c>
    </row>
    <row r="32" customFormat="false" ht="15" hidden="false" customHeight="false" outlineLevel="0" collapsed="false">
      <c r="B32" s="7" t="s">
        <v>538</v>
      </c>
      <c r="C32" s="47" t="n">
        <f aca="false">Simulador!C50</f>
        <v>405.405405405405</v>
      </c>
      <c r="D32" s="48" t="n">
        <v>405.405405405405</v>
      </c>
      <c r="E32" s="7" t="str">
        <f aca="false">IF(ABS(C32-D32)&lt;0.005,"OK","DIFERENCIA")</f>
        <v>OK</v>
      </c>
      <c r="F32" s="7" t="s">
        <v>539</v>
      </c>
      <c r="G32" s="7" t="s">
        <v>23</v>
      </c>
    </row>
    <row r="33" customFormat="false" ht="15" hidden="false" customHeight="false" outlineLevel="0" collapsed="false">
      <c r="B33" s="7" t="s">
        <v>540</v>
      </c>
      <c r="C33" s="47" t="n">
        <f aca="false">Simulador!D50</f>
        <v>810.810810810811</v>
      </c>
      <c r="D33" s="48" t="n">
        <v>810.810810810811</v>
      </c>
      <c r="E33" s="7" t="str">
        <f aca="false">IF(ABS(C33-D33)&lt;0.005,"OK","DIFERENCIA")</f>
        <v>OK</v>
      </c>
      <c r="F33" s="7" t="s">
        <v>541</v>
      </c>
      <c r="G33" s="7" t="s">
        <v>23</v>
      </c>
    </row>
    <row r="34" customFormat="false" ht="15" hidden="false" customHeight="false" outlineLevel="0" collapsed="false">
      <c r="B34" s="7" t="s">
        <v>542</v>
      </c>
      <c r="C34" s="47" t="n">
        <f aca="false">Simulador!C62</f>
        <v>58116.7137837838</v>
      </c>
      <c r="D34" s="48" t="n">
        <v>58116.7137837838</v>
      </c>
      <c r="E34" s="7" t="str">
        <f aca="false">IF(ABS(C34-D34)&lt;0.005,"OK","DIFERENCIA")</f>
        <v>OK</v>
      </c>
      <c r="F34" s="7" t="s">
        <v>543</v>
      </c>
      <c r="G34" s="7" t="s">
        <v>161</v>
      </c>
    </row>
    <row r="35" customFormat="false" ht="15" hidden="false" customHeight="false" outlineLevel="0" collapsed="false">
      <c r="B35" s="7" t="s">
        <v>544</v>
      </c>
      <c r="C35" s="47" t="n">
        <f aca="false">Simulador!D62</f>
        <v>88600.7254054054</v>
      </c>
      <c r="D35" s="48" t="n">
        <v>88600.7254054054</v>
      </c>
      <c r="E35" s="7" t="str">
        <f aca="false">IF(ABS(C35-D35)&lt;0.005,"OK","DIFERENCIA")</f>
        <v>OK</v>
      </c>
      <c r="F35" s="7" t="s">
        <v>545</v>
      </c>
      <c r="G35" s="7" t="s">
        <v>161</v>
      </c>
    </row>
    <row r="36" customFormat="false" ht="15" hidden="false" customHeight="false" outlineLevel="0" collapsed="false">
      <c r="B36" s="7" t="s">
        <v>546</v>
      </c>
      <c r="C36" s="47" t="n">
        <f aca="false">Simulador!E62</f>
        <v>102096.161621622</v>
      </c>
      <c r="D36" s="48" t="n">
        <v>102096.161621622</v>
      </c>
      <c r="E36" s="7" t="str">
        <f aca="false">IF(ABS(C36-D36)&lt;0.005,"OK","DIFERENCIA")</f>
        <v>OK</v>
      </c>
      <c r="F36" s="7" t="s">
        <v>547</v>
      </c>
      <c r="G36" s="7" t="s">
        <v>161</v>
      </c>
    </row>
    <row r="37" customFormat="false" ht="15" hidden="false" customHeight="false" outlineLevel="0" collapsed="false">
      <c r="B37" s="7" t="s">
        <v>548</v>
      </c>
      <c r="C37" s="47" t="n">
        <f aca="false">Simulador!F62</f>
        <v>110082.323783784</v>
      </c>
      <c r="D37" s="48" t="n">
        <v>110082.323783784</v>
      </c>
      <c r="E37" s="7" t="str">
        <f aca="false">IF(ABS(C37-D37)&lt;0.005,"OK","DIFERENCIA")</f>
        <v>OK</v>
      </c>
      <c r="F37" s="7" t="s">
        <v>549</v>
      </c>
      <c r="G37" s="7" t="s">
        <v>161</v>
      </c>
    </row>
    <row r="38" customFormat="false" ht="15" hidden="false" customHeight="false" outlineLevel="0" collapsed="false">
      <c r="B38" s="7" t="s">
        <v>550</v>
      </c>
      <c r="C38" s="47" t="n">
        <f aca="false">Simulador!C64</f>
        <v>68381.1581081081</v>
      </c>
      <c r="D38" s="48" t="n">
        <v>68381.1581081081</v>
      </c>
      <c r="E38" s="7" t="str">
        <f aca="false">IF(ABS(C38-D38)&lt;0.005,"OK","DIFERENCIA")</f>
        <v>OK</v>
      </c>
      <c r="F38" s="7" t="s">
        <v>551</v>
      </c>
      <c r="G38" s="7" t="s">
        <v>161</v>
      </c>
    </row>
    <row r="39" customFormat="false" ht="15" hidden="false" customHeight="false" outlineLevel="0" collapsed="false">
      <c r="B39" s="7" t="s">
        <v>552</v>
      </c>
      <c r="C39" s="47" t="n">
        <f aca="false">Simulador!D64</f>
        <v>111149.808108108</v>
      </c>
      <c r="D39" s="48" t="n">
        <v>111149.808108108</v>
      </c>
      <c r="E39" s="7" t="str">
        <f aca="false">IF(ABS(C39-D39)&lt;0.005,"OK","DIFERENCIA")</f>
        <v>OK</v>
      </c>
      <c r="F39" s="7" t="s">
        <v>553</v>
      </c>
      <c r="G39" s="7" t="s">
        <v>161</v>
      </c>
    </row>
    <row r="40" customFormat="false" ht="15" hidden="false" customHeight="false" outlineLevel="0" collapsed="false">
      <c r="B40" s="7" t="s">
        <v>554</v>
      </c>
      <c r="C40" s="47" t="n">
        <f aca="false">Simulador!E64</f>
        <v>138633.155135135</v>
      </c>
      <c r="D40" s="48" t="n">
        <v>138633.155135135</v>
      </c>
      <c r="E40" s="7" t="str">
        <f aca="false">IF(ABS(C40-D40)&lt;0.005,"OK","DIFERENCIA")</f>
        <v>OK</v>
      </c>
      <c r="F40" s="7" t="s">
        <v>555</v>
      </c>
      <c r="G40" s="7" t="s">
        <v>161</v>
      </c>
    </row>
    <row r="41" customFormat="false" ht="15" hidden="false" customHeight="false" outlineLevel="0" collapsed="false">
      <c r="B41" s="7" t="s">
        <v>556</v>
      </c>
      <c r="C41" s="47" t="n">
        <f aca="false">Simulador!F64</f>
        <v>155579.061621622</v>
      </c>
      <c r="D41" s="48" t="n">
        <v>155579.061621622</v>
      </c>
      <c r="E41" s="7" t="str">
        <f aca="false">IF(ABS(C41-D41)&lt;0.005,"OK","DIFERENCIA")</f>
        <v>OK</v>
      </c>
      <c r="F41" s="7" t="s">
        <v>557</v>
      </c>
      <c r="G41" s="7" t="s">
        <v>161</v>
      </c>
    </row>
    <row r="42" customFormat="false" ht="15" hidden="false" customHeight="false" outlineLevel="0" collapsed="false">
      <c r="B42" s="7" t="s">
        <v>558</v>
      </c>
      <c r="C42" s="47" t="n">
        <f aca="false">Simulador!C66</f>
        <v>58075.5140540541</v>
      </c>
      <c r="D42" s="48" t="n">
        <v>58075.5140540541</v>
      </c>
      <c r="E42" s="7" t="str">
        <f aca="false">IF(ABS(C42-D42)&lt;0.005,"OK","DIFERENCIA")</f>
        <v>OK</v>
      </c>
      <c r="F42" s="7" t="s">
        <v>559</v>
      </c>
      <c r="G42" s="7" t="s">
        <v>161</v>
      </c>
    </row>
    <row r="43" customFormat="false" ht="15" hidden="false" customHeight="false" outlineLevel="0" collapsed="false">
      <c r="B43" s="7" t="s">
        <v>560</v>
      </c>
      <c r="C43" s="47" t="n">
        <f aca="false">Simulador!D66</f>
        <v>85046.6491891892</v>
      </c>
      <c r="D43" s="48" t="n">
        <v>85046.6491891892</v>
      </c>
      <c r="E43" s="7" t="str">
        <f aca="false">IF(ABS(C43-D43)&lt;0.005,"OK","DIFERENCIA")</f>
        <v>OK</v>
      </c>
      <c r="F43" s="7" t="s">
        <v>561</v>
      </c>
      <c r="G43" s="7" t="s">
        <v>161</v>
      </c>
    </row>
    <row r="44" customFormat="false" ht="15" hidden="false" customHeight="false" outlineLevel="0" collapsed="false">
      <c r="B44" s="7" t="s">
        <v>562</v>
      </c>
      <c r="C44" s="47" t="n">
        <f aca="false">Simulador!E66</f>
        <v>104944.811351351</v>
      </c>
      <c r="D44" s="48" t="n">
        <v>104944.811351351</v>
      </c>
      <c r="E44" s="7" t="str">
        <f aca="false">IF(ABS(C44-D44)&lt;0.005,"OK","DIFERENCIA")</f>
        <v>OK</v>
      </c>
      <c r="F44" s="7" t="s">
        <v>563</v>
      </c>
      <c r="G44" s="7" t="s">
        <v>161</v>
      </c>
    </row>
    <row r="45" customFormat="false" ht="15" hidden="false" customHeight="false" outlineLevel="0" collapsed="false">
      <c r="B45" s="7" t="s">
        <v>564</v>
      </c>
      <c r="C45" s="47" t="n">
        <f aca="false">Simulador!F66</f>
        <v>111865.297837838</v>
      </c>
      <c r="D45" s="48" t="n">
        <v>111865.297837838</v>
      </c>
      <c r="E45" s="7" t="str">
        <f aca="false">IF(ABS(C45-D45)&lt;0.005,"OK","DIFERENCIA")</f>
        <v>OK</v>
      </c>
      <c r="F45" s="7" t="s">
        <v>565</v>
      </c>
      <c r="G45" s="7" t="s">
        <v>161</v>
      </c>
    </row>
    <row r="46" customFormat="false" ht="15" hidden="false" customHeight="false" outlineLevel="0" collapsed="false">
      <c r="B46" s="7" t="s">
        <v>566</v>
      </c>
      <c r="C46" s="47" t="n">
        <f aca="false">Simulador!C83</f>
        <v>3130187.2972973</v>
      </c>
      <c r="D46" s="48" t="n">
        <v>3130187.2972973</v>
      </c>
      <c r="E46" s="7" t="str">
        <f aca="false">IF(ABS(C46-D46)&lt;0.005,"OK","DIFERENCIA")</f>
        <v>OK</v>
      </c>
      <c r="F46" s="7" t="s">
        <v>567</v>
      </c>
      <c r="G46" s="7" t="s">
        <v>161</v>
      </c>
    </row>
    <row r="48" customFormat="false" ht="15" hidden="false" customHeight="false" outlineLevel="0" collapsed="false">
      <c r="B48" s="2" t="s">
        <v>568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569</v>
      </c>
    </row>
    <row r="2" customFormat="false" ht="15" hidden="false" customHeight="false" outlineLevel="0" collapsed="false">
      <c r="B2" s="2" t="s">
        <v>570</v>
      </c>
    </row>
    <row r="4" customFormat="false" ht="15" hidden="false" customHeight="false" outlineLevel="0" collapsed="false">
      <c r="B4" s="25" t="s">
        <v>571</v>
      </c>
      <c r="C4" s="25" t="s">
        <v>9</v>
      </c>
      <c r="D4" s="25" t="s">
        <v>215</v>
      </c>
    </row>
    <row r="5" customFormat="false" ht="27.75" hidden="false" customHeight="true" outlineLevel="0" collapsed="false">
      <c r="B5" s="7" t="s">
        <v>572</v>
      </c>
      <c r="C5" s="7" t="s">
        <v>573</v>
      </c>
      <c r="D5" s="7" t="s">
        <v>574</v>
      </c>
    </row>
    <row r="6" customFormat="false" ht="27.75" hidden="false" customHeight="true" outlineLevel="0" collapsed="false">
      <c r="B6" s="7" t="s">
        <v>575</v>
      </c>
      <c r="C6" s="7" t="s">
        <v>576</v>
      </c>
      <c r="D6" s="7"/>
    </row>
    <row r="7" customFormat="false" ht="27.75" hidden="false" customHeight="true" outlineLevel="0" collapsed="false">
      <c r="B7" s="7" t="s">
        <v>577</v>
      </c>
      <c r="C7" s="7" t="s">
        <v>578</v>
      </c>
      <c r="D7" s="7"/>
    </row>
    <row r="8" customFormat="false" ht="27.75" hidden="false" customHeight="true" outlineLevel="0" collapsed="false">
      <c r="B8" s="7" t="s">
        <v>579</v>
      </c>
      <c r="C8" s="7" t="s">
        <v>56</v>
      </c>
      <c r="D8" s="7"/>
    </row>
    <row r="9" customFormat="false" ht="27.75" hidden="false" customHeight="true" outlineLevel="0" collapsed="false">
      <c r="B9" s="7" t="s">
        <v>580</v>
      </c>
      <c r="C9" s="7" t="s">
        <v>537</v>
      </c>
      <c r="D9" s="7"/>
    </row>
    <row r="10" customFormat="false" ht="27.75" hidden="false" customHeight="true" outlineLevel="0" collapsed="false">
      <c r="B10" s="7" t="s">
        <v>581</v>
      </c>
      <c r="C10" s="7" t="s">
        <v>582</v>
      </c>
      <c r="D10" s="7" t="s">
        <v>583</v>
      </c>
    </row>
    <row r="11" customFormat="false" ht="27.75" hidden="false" customHeight="true" outlineLevel="0" collapsed="false">
      <c r="B11" s="7" t="s">
        <v>584</v>
      </c>
      <c r="C11" s="7" t="s">
        <v>585</v>
      </c>
      <c r="D11" s="7"/>
    </row>
    <row r="12" customFormat="false" ht="27.75" hidden="false" customHeight="true" outlineLevel="0" collapsed="false">
      <c r="B12" s="7" t="s">
        <v>586</v>
      </c>
      <c r="C12" s="7" t="s">
        <v>587</v>
      </c>
      <c r="D12" s="7" t="s">
        <v>588</v>
      </c>
    </row>
    <row r="13" customFormat="false" ht="27.75" hidden="false" customHeight="true" outlineLevel="0" collapsed="false">
      <c r="B13" s="7" t="s">
        <v>589</v>
      </c>
      <c r="C13" s="7" t="s">
        <v>590</v>
      </c>
      <c r="D13" s="7" t="s">
        <v>591</v>
      </c>
    </row>
    <row r="14" customFormat="false" ht="27.75" hidden="false" customHeight="true" outlineLevel="0" collapsed="false">
      <c r="B14" s="7" t="s">
        <v>592</v>
      </c>
      <c r="C14" s="7" t="s">
        <v>593</v>
      </c>
      <c r="D14" s="7" t="s">
        <v>594</v>
      </c>
    </row>
    <row r="17" customFormat="false" ht="15" hidden="false" customHeight="false" outlineLevel="0" collapsed="false">
      <c r="B17" s="25" t="s">
        <v>595</v>
      </c>
      <c r="C17" s="25" t="s">
        <v>596</v>
      </c>
      <c r="D17" s="25" t="s">
        <v>215</v>
      </c>
    </row>
    <row r="18" customFormat="false" ht="27.75" hidden="false" customHeight="true" outlineLevel="0" collapsed="false">
      <c r="B18" s="7" t="s">
        <v>597</v>
      </c>
      <c r="C18" s="7" t="s">
        <v>12</v>
      </c>
      <c r="D18" s="7" t="s">
        <v>598</v>
      </c>
    </row>
    <row r="19" customFormat="false" ht="27.75" hidden="false" customHeight="true" outlineLevel="0" collapsed="false">
      <c r="B19" s="7" t="s">
        <v>599</v>
      </c>
      <c r="C19" s="7" t="s">
        <v>12</v>
      </c>
      <c r="D19" s="7" t="s">
        <v>600</v>
      </c>
    </row>
    <row r="20" customFormat="false" ht="27.75" hidden="false" customHeight="true" outlineLevel="0" collapsed="false">
      <c r="B20" s="7" t="s">
        <v>601</v>
      </c>
      <c r="C20" s="7" t="s">
        <v>12</v>
      </c>
      <c r="D20" s="7" t="s">
        <v>602</v>
      </c>
    </row>
    <row r="21" customFormat="false" ht="27.75" hidden="false" customHeight="true" outlineLevel="0" collapsed="false">
      <c r="B21" s="7" t="s">
        <v>603</v>
      </c>
      <c r="C21" s="7" t="s">
        <v>12</v>
      </c>
      <c r="D21" s="7" t="s">
        <v>604</v>
      </c>
    </row>
    <row r="22" customFormat="false" ht="27.75" hidden="false" customHeight="true" outlineLevel="0" collapsed="false">
      <c r="B22" s="7" t="s">
        <v>605</v>
      </c>
      <c r="C22" s="7" t="s">
        <v>12</v>
      </c>
      <c r="D22" s="7" t="s">
        <v>606</v>
      </c>
    </row>
    <row r="23" customFormat="false" ht="27.75" hidden="false" customHeight="true" outlineLevel="0" collapsed="false">
      <c r="B23" s="7" t="s">
        <v>607</v>
      </c>
      <c r="C23" s="7" t="s">
        <v>12</v>
      </c>
      <c r="D23" s="7" t="s">
        <v>608</v>
      </c>
    </row>
    <row r="24" customFormat="false" ht="27.75" hidden="false" customHeight="true" outlineLevel="0" collapsed="false">
      <c r="B24" s="7" t="s">
        <v>609</v>
      </c>
      <c r="C24" s="7" t="s">
        <v>12</v>
      </c>
      <c r="D24" s="7" t="s">
        <v>610</v>
      </c>
    </row>
    <row r="25" customFormat="false" ht="27.75" hidden="false" customHeight="true" outlineLevel="0" collapsed="false">
      <c r="B25" s="7" t="s">
        <v>611</v>
      </c>
      <c r="C25" s="7" t="s">
        <v>612</v>
      </c>
      <c r="D25" s="7" t="s">
        <v>613</v>
      </c>
    </row>
    <row r="26" customFormat="false" ht="27.75" hidden="false" customHeight="true" outlineLevel="0" collapsed="false">
      <c r="B26" s="7" t="s">
        <v>614</v>
      </c>
      <c r="C26" s="7" t="s">
        <v>615</v>
      </c>
      <c r="D26" s="7" t="s">
        <v>616</v>
      </c>
    </row>
    <row r="27" customFormat="false" ht="27.75" hidden="false" customHeight="true" outlineLevel="0" collapsed="false">
      <c r="B27" s="7" t="s">
        <v>617</v>
      </c>
      <c r="C27" s="7" t="s">
        <v>618</v>
      </c>
      <c r="D27" s="7" t="s">
        <v>619</v>
      </c>
    </row>
    <row r="28" customFormat="false" ht="27.75" hidden="false" customHeight="true" outlineLevel="0" collapsed="false">
      <c r="B28" s="7" t="s">
        <v>620</v>
      </c>
      <c r="C28" s="7" t="s">
        <v>12</v>
      </c>
      <c r="D28" s="7" t="s">
        <v>621</v>
      </c>
    </row>
    <row r="29" customFormat="false" ht="27.75" hidden="false" customHeight="true" outlineLevel="0" collapsed="false">
      <c r="B29" s="7" t="s">
        <v>622</v>
      </c>
      <c r="C29" s="7" t="s">
        <v>612</v>
      </c>
      <c r="D29" s="7" t="s">
        <v>623</v>
      </c>
    </row>
    <row r="30" customFormat="false" ht="27.75" hidden="false" customHeight="true" outlineLevel="0" collapsed="false">
      <c r="B30" s="7" t="s">
        <v>624</v>
      </c>
      <c r="C30" s="7" t="s">
        <v>612</v>
      </c>
      <c r="D30" s="7" t="s">
        <v>625</v>
      </c>
    </row>
    <row r="31" customFormat="false" ht="27.75" hidden="false" customHeight="true" outlineLevel="0" collapsed="false">
      <c r="B31" s="7" t="s">
        <v>626</v>
      </c>
      <c r="C31" s="7" t="s">
        <v>93</v>
      </c>
      <c r="D31" s="7" t="s">
        <v>627</v>
      </c>
    </row>
    <row r="32" customFormat="false" ht="27.75" hidden="false" customHeight="true" outlineLevel="0" collapsed="false">
      <c r="B32" s="7" t="s">
        <v>628</v>
      </c>
      <c r="C32" s="7" t="s">
        <v>67</v>
      </c>
      <c r="D32" s="7" t="s">
        <v>629</v>
      </c>
    </row>
    <row r="33" customFormat="false" ht="27.75" hidden="false" customHeight="true" outlineLevel="0" collapsed="false">
      <c r="B33" s="7" t="s">
        <v>630</v>
      </c>
      <c r="C33" s="7" t="s">
        <v>12</v>
      </c>
      <c r="D33" s="7" t="s">
        <v>631</v>
      </c>
    </row>
    <row r="34" customFormat="false" ht="27.75" hidden="false" customHeight="true" outlineLevel="0" collapsed="false">
      <c r="B34" s="7" t="s">
        <v>632</v>
      </c>
      <c r="C34" s="7" t="s">
        <v>612</v>
      </c>
      <c r="D34" s="7" t="s">
        <v>633</v>
      </c>
    </row>
    <row r="35" customFormat="false" ht="27.75" hidden="false" customHeight="true" outlineLevel="0" collapsed="false">
      <c r="B35" s="7" t="s">
        <v>634</v>
      </c>
      <c r="C35" s="7" t="s">
        <v>12</v>
      </c>
      <c r="D35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10" min="8" style="0" width="16"/>
  </cols>
  <sheetData>
    <row r="1" customFormat="false" ht="17.35" hidden="false" customHeight="false" outlineLevel="0" collapsed="false">
      <c r="B1" s="1" t="s">
        <v>635</v>
      </c>
    </row>
    <row r="2" customFormat="false" ht="15" hidden="false" customHeight="false" outlineLevel="0" collapsed="false">
      <c r="B2" s="2" t="s">
        <v>636</v>
      </c>
    </row>
    <row r="4" customFormat="false" ht="15" hidden="false" customHeight="false" outlineLevel="0" collapsed="false">
      <c r="B4" s="3" t="s">
        <v>637</v>
      </c>
      <c r="C4" s="3"/>
      <c r="D4" s="3"/>
      <c r="E4" s="3"/>
      <c r="F4" s="3"/>
      <c r="G4" s="3"/>
      <c r="H4" s="3"/>
      <c r="I4" s="3"/>
    </row>
    <row r="5" customFormat="false" ht="23.85" hidden="false" customHeight="false" outlineLevel="0" collapsed="false">
      <c r="B5" s="25" t="s">
        <v>638</v>
      </c>
      <c r="C5" s="25" t="s">
        <v>639</v>
      </c>
      <c r="D5" s="25" t="s">
        <v>640</v>
      </c>
      <c r="E5" s="25" t="s">
        <v>641</v>
      </c>
      <c r="F5" s="25" t="s">
        <v>642</v>
      </c>
      <c r="G5" s="25" t="s">
        <v>643</v>
      </c>
      <c r="H5" s="25" t="s">
        <v>644</v>
      </c>
    </row>
    <row r="6" customFormat="false" ht="18" hidden="false" customHeight="true" outlineLevel="0" collapsed="false">
      <c r="B6" s="7" t="s">
        <v>645</v>
      </c>
      <c r="C6" s="49" t="n">
        <v>-35057.833783783</v>
      </c>
      <c r="D6" s="49" t="n">
        <v>-640006.152702703</v>
      </c>
      <c r="E6" s="49" t="n">
        <v>105486.556756756</v>
      </c>
      <c r="F6" s="49" t="n">
        <v>-209777.833783783</v>
      </c>
      <c r="G6" s="49" t="n">
        <v>-814726.152702703</v>
      </c>
      <c r="H6" s="49" t="n">
        <v>-69233.4432432433</v>
      </c>
    </row>
    <row r="7" customFormat="false" ht="18" hidden="false" customHeight="true" outlineLevel="0" collapsed="false">
      <c r="B7" s="7" t="s">
        <v>646</v>
      </c>
      <c r="C7" s="49" t="n">
        <v>81238.0275675682</v>
      </c>
      <c r="D7" s="49" t="n">
        <v>-523710.291351351</v>
      </c>
      <c r="E7" s="49" t="n">
        <v>331804.07972973</v>
      </c>
      <c r="F7" s="49" t="n">
        <v>-93481.9724324318</v>
      </c>
      <c r="G7" s="49" t="n">
        <v>-698430.291351351</v>
      </c>
      <c r="H7" s="49" t="n">
        <v>157084.07972973</v>
      </c>
    </row>
    <row r="8" customFormat="false" ht="18" hidden="false" customHeight="true" outlineLevel="0" collapsed="false">
      <c r="B8" s="7" t="s">
        <v>647</v>
      </c>
      <c r="C8" s="49" t="n">
        <v>199754.315675676</v>
      </c>
      <c r="D8" s="49" t="n">
        <v>-405194.003243243</v>
      </c>
      <c r="E8" s="49" t="n">
        <v>558121.602702703</v>
      </c>
      <c r="F8" s="49" t="n">
        <v>25034.3156756763</v>
      </c>
      <c r="G8" s="49" t="n">
        <v>-579914.003243243</v>
      </c>
      <c r="H8" s="49" t="n">
        <v>383401.602702704</v>
      </c>
    </row>
    <row r="9" customFormat="false" ht="18" hidden="false" customHeight="true" outlineLevel="0" collapsed="false">
      <c r="B9" s="7" t="s">
        <v>648</v>
      </c>
      <c r="C9" s="49" t="n">
        <v>347086.307162163</v>
      </c>
      <c r="D9" s="49" t="n">
        <v>-336523.04</v>
      </c>
      <c r="E9" s="49" t="n">
        <v>472628.117567568</v>
      </c>
      <c r="F9" s="49" t="n">
        <v>172366.307162163</v>
      </c>
      <c r="G9" s="49" t="n">
        <v>-511243.04</v>
      </c>
      <c r="H9" s="49" t="n">
        <v>297908.117567569</v>
      </c>
    </row>
    <row r="10" customFormat="false" ht="18" hidden="false" customHeight="true" outlineLevel="0" collapsed="false">
      <c r="B10" s="7" t="s">
        <v>649</v>
      </c>
      <c r="C10" s="49" t="n">
        <v>572946.58945946</v>
      </c>
      <c r="D10" s="49" t="n">
        <v>-159478.774594595</v>
      </c>
      <c r="E10" s="49" t="n">
        <v>635871.605405407</v>
      </c>
      <c r="F10" s="49" t="n">
        <v>398226.58945946</v>
      </c>
      <c r="G10" s="49" t="n">
        <v>-334198.774594595</v>
      </c>
      <c r="H10" s="49" t="n">
        <v>461151.605405407</v>
      </c>
    </row>
    <row r="11" customFormat="false" ht="18" hidden="false" customHeight="true" outlineLevel="0" collapsed="false">
      <c r="B11" s="7" t="s">
        <v>650</v>
      </c>
      <c r="C11" s="49" t="n">
        <v>592957.533108108</v>
      </c>
      <c r="D11" s="49" t="n">
        <v>-188283.847837838</v>
      </c>
      <c r="E11" s="49" t="n">
        <v>572797.570270272</v>
      </c>
      <c r="F11" s="49" t="n">
        <v>418237.533108109</v>
      </c>
      <c r="G11" s="49" t="n">
        <v>-363003.847837838</v>
      </c>
      <c r="H11" s="49" t="n">
        <v>398077.570270272</v>
      </c>
    </row>
    <row r="12" customFormat="false" ht="18" hidden="false" customHeight="true" outlineLevel="0" collapsed="false">
      <c r="B12" s="7" t="s">
        <v>651</v>
      </c>
      <c r="C12" s="49" t="n">
        <v>730502.166891892</v>
      </c>
      <c r="D12" s="49" t="n">
        <v>-118526.236486487</v>
      </c>
      <c r="E12" s="49" t="n">
        <v>695386.472972974</v>
      </c>
      <c r="F12" s="49" t="n">
        <v>555782.166891892</v>
      </c>
      <c r="G12" s="49" t="n">
        <v>-293246.236486487</v>
      </c>
      <c r="H12" s="49" t="n">
        <v>520666.472972974</v>
      </c>
    </row>
    <row r="13" customFormat="false" ht="18" hidden="false" customHeight="true" outlineLevel="0" collapsed="false">
      <c r="B13" s="7" t="s">
        <v>652</v>
      </c>
      <c r="C13" s="49" t="n">
        <v>731308.584054055</v>
      </c>
      <c r="D13" s="49" t="n">
        <v>-188283.847837838</v>
      </c>
      <c r="E13" s="49" t="n">
        <v>668782.708108109</v>
      </c>
      <c r="F13" s="49" t="n">
        <v>556588.584054054</v>
      </c>
      <c r="G13" s="49" t="n">
        <v>-363003.847837838</v>
      </c>
      <c r="H13" s="49" t="n">
        <v>494062.708108109</v>
      </c>
    </row>
    <row r="14" customFormat="false" ht="15" hidden="false" customHeight="false" outlineLevel="0" collapsed="false">
      <c r="B14" s="2" t="s">
        <v>653</v>
      </c>
    </row>
    <row r="16" customFormat="false" ht="15" hidden="false" customHeight="false" outlineLevel="0" collapsed="false">
      <c r="B16" s="3" t="s">
        <v>654</v>
      </c>
      <c r="C16" s="3"/>
      <c r="D16" s="3"/>
      <c r="E16" s="3"/>
      <c r="F16" s="3"/>
      <c r="G16" s="3"/>
      <c r="H16" s="3"/>
      <c r="I16" s="3"/>
      <c r="J16" s="3"/>
    </row>
    <row r="17" customFormat="false" ht="57.45" hidden="false" customHeight="false" outlineLevel="0" collapsed="false">
      <c r="B17" s="25" t="s">
        <v>638</v>
      </c>
      <c r="C17" s="25" t="s">
        <v>655</v>
      </c>
      <c r="D17" s="25" t="s">
        <v>656</v>
      </c>
      <c r="E17" s="25" t="s">
        <v>162</v>
      </c>
      <c r="F17" s="25" t="s">
        <v>657</v>
      </c>
      <c r="G17" s="25" t="s">
        <v>658</v>
      </c>
      <c r="H17" s="25" t="s">
        <v>659</v>
      </c>
      <c r="I17" s="25" t="s">
        <v>660</v>
      </c>
      <c r="J17" s="25" t="s">
        <v>661</v>
      </c>
    </row>
    <row r="18" customFormat="false" ht="30" hidden="false" customHeight="true" outlineLevel="0" collapsed="false">
      <c r="B18" s="50" t="n">
        <v>5</v>
      </c>
      <c r="C18" s="7" t="s">
        <v>662</v>
      </c>
      <c r="D18" s="49" t="n">
        <v>199754.315675676</v>
      </c>
      <c r="E18" s="49" t="n">
        <v>5707.26616216218</v>
      </c>
      <c r="F18" s="51" t="n">
        <v>0.0103768475675676</v>
      </c>
      <c r="G18" s="52" t="n">
        <v>3.91982566082567</v>
      </c>
      <c r="H18" s="52" t="n">
        <v>2.02877254604322</v>
      </c>
      <c r="I18" s="52" t="n">
        <v>5.71641242203744</v>
      </c>
      <c r="J18" s="52" t="n">
        <v>1.24262915363664</v>
      </c>
    </row>
    <row r="19" customFormat="false" ht="30" hidden="false" customHeight="true" outlineLevel="0" collapsed="false">
      <c r="B19" s="50" t="n">
        <v>5</v>
      </c>
      <c r="C19" s="7" t="s">
        <v>167</v>
      </c>
      <c r="D19" s="49" t="n">
        <v>558121.602702703</v>
      </c>
      <c r="E19" s="49" t="n">
        <v>15946.3315057915</v>
      </c>
      <c r="F19" s="51" t="n">
        <v>0.02899333001053</v>
      </c>
      <c r="G19" s="52" t="n">
        <v>10.9521507594722</v>
      </c>
      <c r="H19" s="52" t="n">
        <v>5.66847219839448</v>
      </c>
      <c r="I19" s="52" t="n">
        <v>15.9718865242303</v>
      </c>
      <c r="J19" s="52" t="n">
        <v>2.46609982015999</v>
      </c>
    </row>
    <row r="20" customFormat="false" ht="30" hidden="false" customHeight="true" outlineLevel="0" collapsed="false">
      <c r="B20" s="50" t="n">
        <v>6</v>
      </c>
      <c r="C20" s="7" t="s">
        <v>662</v>
      </c>
      <c r="D20" s="49" t="n">
        <v>572946.58945946</v>
      </c>
      <c r="E20" s="49" t="n">
        <v>16369.9025559846</v>
      </c>
      <c r="F20" s="51" t="n">
        <v>0.0297634591926992</v>
      </c>
      <c r="G20" s="52" t="n">
        <v>11.2430649422971</v>
      </c>
      <c r="H20" s="52" t="n">
        <v>5.81903978951674</v>
      </c>
      <c r="I20" s="52" t="n">
        <v>16.3961363741833</v>
      </c>
      <c r="J20" s="52" t="n">
        <v>3.56417899223242</v>
      </c>
    </row>
    <row r="21" customFormat="false" ht="30" hidden="false" customHeight="true" outlineLevel="0" collapsed="false">
      <c r="B21" s="50" t="n">
        <v>6</v>
      </c>
      <c r="C21" s="7" t="s">
        <v>167</v>
      </c>
      <c r="D21" s="49" t="n">
        <v>635871.605405407</v>
      </c>
      <c r="E21" s="49" t="n">
        <v>18167.7601544402</v>
      </c>
      <c r="F21" s="51" t="n">
        <v>0.0330322911898913</v>
      </c>
      <c r="G21" s="52" t="n">
        <v>12.4778572489287</v>
      </c>
      <c r="H21" s="52" t="n">
        <v>6.45812758283251</v>
      </c>
      <c r="I21" s="52" t="n">
        <v>18.1968751546877</v>
      </c>
      <c r="J21" s="52" t="n">
        <v>2.80964371230478</v>
      </c>
    </row>
    <row r="22" customFormat="false" ht="15" hidden="false" customHeight="false" outlineLevel="0" collapsed="false">
      <c r="B22" s="2" t="s">
        <v>663</v>
      </c>
    </row>
    <row r="24" customFormat="false" ht="15" hidden="false" customHeight="false" outlineLevel="0" collapsed="false">
      <c r="B24" s="3" t="s">
        <v>664</v>
      </c>
      <c r="C24" s="3"/>
      <c r="D24" s="3"/>
      <c r="E24" s="3"/>
      <c r="F24" s="3"/>
      <c r="G24" s="3"/>
      <c r="H24" s="3"/>
      <c r="I24" s="3"/>
      <c r="J24" s="3"/>
    </row>
    <row r="25" customFormat="false" ht="35.05" hidden="false" customHeight="false" outlineLevel="0" collapsed="false">
      <c r="B25" s="25" t="s">
        <v>665</v>
      </c>
      <c r="C25" s="25" t="s">
        <v>655</v>
      </c>
      <c r="D25" s="25" t="s">
        <v>666</v>
      </c>
      <c r="E25" s="25" t="s">
        <v>667</v>
      </c>
      <c r="F25" s="25" t="s">
        <v>668</v>
      </c>
      <c r="G25" s="25" t="s">
        <v>669</v>
      </c>
      <c r="H25" s="25" t="s">
        <v>670</v>
      </c>
      <c r="I25" s="25" t="s">
        <v>671</v>
      </c>
      <c r="J25" s="25" t="s">
        <v>672</v>
      </c>
    </row>
    <row r="26" customFormat="false" ht="30" hidden="false" customHeight="true" outlineLevel="0" collapsed="false">
      <c r="B26" s="7" t="s">
        <v>673</v>
      </c>
      <c r="C26" s="7" t="s">
        <v>662</v>
      </c>
      <c r="D26" s="49" t="n">
        <v>1034726.05635135</v>
      </c>
      <c r="E26" s="49" t="n">
        <v>1215124.45635135</v>
      </c>
      <c r="F26" s="49" t="n">
        <v>1125212.46310811</v>
      </c>
      <c r="G26" s="50" t="n">
        <v>10</v>
      </c>
      <c r="H26" s="52" t="n">
        <v>66.25</v>
      </c>
      <c r="I26" s="49" t="n">
        <v>89911.9932432432</v>
      </c>
      <c r="J26" s="49" t="n">
        <v>96460</v>
      </c>
    </row>
    <row r="27" customFormat="false" ht="30" hidden="false" customHeight="true" outlineLevel="0" collapsed="false">
      <c r="B27" s="7" t="s">
        <v>673</v>
      </c>
      <c r="C27" s="7" t="s">
        <v>167</v>
      </c>
      <c r="D27" s="49" t="n">
        <v>895327.656756755</v>
      </c>
      <c r="E27" s="49" t="n">
        <v>1075726.05675675</v>
      </c>
      <c r="F27" s="49" t="n">
        <v>985814.063513512</v>
      </c>
      <c r="G27" s="50" t="n">
        <v>10</v>
      </c>
      <c r="H27" s="52" t="n">
        <v>66.25</v>
      </c>
      <c r="I27" s="49" t="n">
        <v>89911.9932432432</v>
      </c>
      <c r="J27" s="49" t="n">
        <v>96460</v>
      </c>
    </row>
    <row r="28" customFormat="false" ht="30" hidden="false" customHeight="true" outlineLevel="0" collapsed="false">
      <c r="B28" s="7" t="s">
        <v>673</v>
      </c>
      <c r="C28" s="7" t="s">
        <v>674</v>
      </c>
      <c r="D28" s="49" t="n">
        <v>-1074449.28027027</v>
      </c>
      <c r="E28" s="49" t="n">
        <v>-894050.880270269</v>
      </c>
      <c r="F28" s="49" t="n">
        <v>-983962.873513512</v>
      </c>
      <c r="G28" s="50" t="n">
        <v>10</v>
      </c>
      <c r="H28" s="52" t="n">
        <v>66.25</v>
      </c>
      <c r="I28" s="49" t="n">
        <v>89911.9932432432</v>
      </c>
      <c r="J28" s="49" t="n">
        <v>96460</v>
      </c>
    </row>
    <row r="29" customFormat="false" ht="30" hidden="false" customHeight="true" outlineLevel="0" collapsed="false">
      <c r="B29" s="7" t="s">
        <v>675</v>
      </c>
      <c r="C29" s="7" t="s">
        <v>662</v>
      </c>
      <c r="D29" s="49" t="n">
        <v>185171.784324325</v>
      </c>
      <c r="E29" s="49" t="n">
        <v>81067.7843243252</v>
      </c>
      <c r="F29" s="49" t="n">
        <v>-46505.4589189179</v>
      </c>
      <c r="G29" s="50" t="n">
        <v>15</v>
      </c>
      <c r="H29" s="52" t="n">
        <v>94</v>
      </c>
      <c r="I29" s="49" t="n">
        <v>127573.243243243</v>
      </c>
      <c r="J29" s="49" t="n">
        <v>136864</v>
      </c>
    </row>
    <row r="30" customFormat="false" ht="30" hidden="false" customHeight="true" outlineLevel="0" collapsed="false">
      <c r="B30" s="7" t="s">
        <v>675</v>
      </c>
      <c r="C30" s="7" t="s">
        <v>167</v>
      </c>
      <c r="D30" s="49" t="n">
        <v>176838.663513515</v>
      </c>
      <c r="E30" s="49" t="n">
        <v>72734.6635135151</v>
      </c>
      <c r="F30" s="49" t="n">
        <v>-54838.5797297284</v>
      </c>
      <c r="G30" s="50" t="n">
        <v>15</v>
      </c>
      <c r="H30" s="52" t="n">
        <v>94</v>
      </c>
      <c r="I30" s="49" t="n">
        <v>127573.243243243</v>
      </c>
      <c r="J30" s="49" t="n">
        <v>136864</v>
      </c>
    </row>
    <row r="31" customFormat="false" ht="30" hidden="false" customHeight="true" outlineLevel="0" collapsed="false">
      <c r="B31" s="7" t="s">
        <v>675</v>
      </c>
      <c r="C31" s="7" t="s">
        <v>674</v>
      </c>
      <c r="D31" s="49" t="n">
        <v>-1192685.63054054</v>
      </c>
      <c r="E31" s="49" t="n">
        <v>-1296789.63054054</v>
      </c>
      <c r="F31" s="49" t="n">
        <v>-1424362.87378378</v>
      </c>
      <c r="G31" s="50" t="n">
        <v>15</v>
      </c>
      <c r="H31" s="52" t="n">
        <v>94</v>
      </c>
      <c r="I31" s="49" t="n">
        <v>127573.243243243</v>
      </c>
      <c r="J31" s="49" t="n">
        <v>136864</v>
      </c>
    </row>
    <row r="32" customFormat="false" ht="15" hidden="false" customHeight="false" outlineLevel="0" collapsed="false">
      <c r="B32" s="2" t="s">
        <v>676</v>
      </c>
    </row>
    <row r="34" customFormat="false" ht="15" hidden="false" customHeight="false" outlineLevel="0" collapsed="false">
      <c r="B34" s="3" t="s">
        <v>677</v>
      </c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B35" s="25" t="s">
        <v>5</v>
      </c>
      <c r="C35" s="25" t="s">
        <v>8</v>
      </c>
      <c r="D35" s="25" t="s">
        <v>678</v>
      </c>
      <c r="E35" s="25" t="s">
        <v>679</v>
      </c>
      <c r="F35" s="25" t="s">
        <v>680</v>
      </c>
      <c r="G35" s="25" t="s">
        <v>681</v>
      </c>
      <c r="H35" s="25" t="s">
        <v>680</v>
      </c>
      <c r="I35" s="25" t="s">
        <v>682</v>
      </c>
    </row>
    <row r="36" customFormat="false" ht="27.75" hidden="false" customHeight="true" outlineLevel="0" collapsed="false">
      <c r="B36" s="7" t="s">
        <v>78</v>
      </c>
      <c r="C36" s="7" t="s">
        <v>683</v>
      </c>
      <c r="D36" s="7" t="s">
        <v>684</v>
      </c>
      <c r="E36" s="7" t="s">
        <v>685</v>
      </c>
      <c r="F36" s="49" t="n">
        <v>572946.58945946</v>
      </c>
      <c r="G36" s="7" t="s">
        <v>684</v>
      </c>
      <c r="H36" s="49" t="n">
        <v>199754.315675676</v>
      </c>
      <c r="I36" s="49" t="n">
        <v>373192.273783783</v>
      </c>
    </row>
    <row r="37" customFormat="false" ht="27.75" hidden="false" customHeight="true" outlineLevel="0" collapsed="false">
      <c r="B37" s="7" t="s">
        <v>686</v>
      </c>
      <c r="C37" s="7" t="s">
        <v>687</v>
      </c>
      <c r="D37" s="7" t="s">
        <v>688</v>
      </c>
      <c r="E37" s="7" t="s">
        <v>688</v>
      </c>
      <c r="F37" s="49" t="n">
        <v>199754.315675676</v>
      </c>
      <c r="G37" s="7" t="s">
        <v>689</v>
      </c>
      <c r="H37" s="49" t="n">
        <v>-171887.035675674</v>
      </c>
      <c r="I37" s="49" t="n">
        <v>371641.35135135</v>
      </c>
    </row>
    <row r="38" customFormat="false" ht="27.75" hidden="false" customHeight="true" outlineLevel="0" collapsed="false">
      <c r="B38" s="7" t="s">
        <v>690</v>
      </c>
      <c r="C38" s="7" t="s">
        <v>691</v>
      </c>
      <c r="D38" s="7" t="s">
        <v>692</v>
      </c>
      <c r="E38" s="7" t="s">
        <v>693</v>
      </c>
      <c r="F38" s="49" t="n">
        <v>486422.082432433</v>
      </c>
      <c r="G38" s="7" t="s">
        <v>694</v>
      </c>
      <c r="H38" s="49" t="n">
        <v>199754.315675676</v>
      </c>
      <c r="I38" s="49" t="n">
        <v>286667.766756757</v>
      </c>
    </row>
    <row r="39" customFormat="false" ht="27.75" hidden="false" customHeight="true" outlineLevel="0" collapsed="false">
      <c r="B39" s="7" t="s">
        <v>695</v>
      </c>
      <c r="C39" s="7" t="s">
        <v>687</v>
      </c>
      <c r="D39" s="7" t="s">
        <v>688</v>
      </c>
      <c r="E39" s="7" t="s">
        <v>688</v>
      </c>
      <c r="F39" s="49" t="n">
        <v>199754.315675676</v>
      </c>
      <c r="G39" s="7" t="s">
        <v>696</v>
      </c>
      <c r="H39" s="49" t="n">
        <v>-49856.6978378361</v>
      </c>
      <c r="I39" s="49" t="n">
        <v>249611.013513512</v>
      </c>
    </row>
    <row r="40" customFormat="false" ht="27.75" hidden="false" customHeight="true" outlineLevel="0" collapsed="false">
      <c r="B40" s="7" t="s">
        <v>697</v>
      </c>
      <c r="C40" s="7" t="s">
        <v>698</v>
      </c>
      <c r="D40" s="7" t="s">
        <v>699</v>
      </c>
      <c r="E40" s="7" t="s">
        <v>699</v>
      </c>
      <c r="F40" s="49" t="n">
        <v>199754.315675676</v>
      </c>
      <c r="G40" s="7" t="s">
        <v>700</v>
      </c>
      <c r="H40" s="49" t="n">
        <v>-35057.833783783</v>
      </c>
      <c r="I40" s="49" t="n">
        <v>234812.149459459</v>
      </c>
    </row>
    <row r="41" customFormat="false" ht="27.75" hidden="false" customHeight="true" outlineLevel="0" collapsed="false">
      <c r="B41" s="7" t="s">
        <v>701</v>
      </c>
      <c r="C41" s="7" t="s">
        <v>702</v>
      </c>
      <c r="D41" s="7" t="s">
        <v>703</v>
      </c>
      <c r="E41" s="7" t="s">
        <v>703</v>
      </c>
      <c r="F41" s="49" t="n">
        <v>199754.315675676</v>
      </c>
      <c r="G41" s="7" t="s">
        <v>704</v>
      </c>
      <c r="H41" s="49" t="n">
        <v>25034.3156756763</v>
      </c>
      <c r="I41" s="49" t="n">
        <v>174720</v>
      </c>
    </row>
    <row r="42" customFormat="false" ht="27.75" hidden="false" customHeight="true" outlineLevel="0" collapsed="false">
      <c r="B42" s="7" t="s">
        <v>705</v>
      </c>
      <c r="C42" s="7" t="s">
        <v>618</v>
      </c>
      <c r="D42" s="7" t="s">
        <v>706</v>
      </c>
      <c r="E42" s="7" t="s">
        <v>706</v>
      </c>
      <c r="F42" s="49" t="n">
        <v>199754.315675676</v>
      </c>
      <c r="G42" s="7" t="s">
        <v>707</v>
      </c>
      <c r="H42" s="49" t="n">
        <v>39002.9643243249</v>
      </c>
      <c r="I42" s="49" t="n">
        <v>160751.351351352</v>
      </c>
    </row>
    <row r="43" customFormat="false" ht="27.75" hidden="false" customHeight="true" outlineLevel="0" collapsed="false">
      <c r="B43" s="7" t="s">
        <v>284</v>
      </c>
      <c r="C43" s="7" t="s">
        <v>18</v>
      </c>
      <c r="D43" s="7" t="s">
        <v>708</v>
      </c>
      <c r="E43" s="7" t="s">
        <v>709</v>
      </c>
      <c r="F43" s="49" t="n">
        <v>278378.315675676</v>
      </c>
      <c r="G43" s="7" t="s">
        <v>710</v>
      </c>
      <c r="H43" s="49" t="n">
        <v>121130.315675678</v>
      </c>
      <c r="I43" s="49" t="n">
        <v>157247.999999999</v>
      </c>
    </row>
    <row r="44" customFormat="false" ht="27.75" hidden="false" customHeight="true" outlineLevel="0" collapsed="false">
      <c r="B44" s="7" t="s">
        <v>711</v>
      </c>
      <c r="C44" s="7" t="s">
        <v>712</v>
      </c>
      <c r="D44" s="7" t="s">
        <v>699</v>
      </c>
      <c r="E44" s="7" t="s">
        <v>713</v>
      </c>
      <c r="F44" s="49" t="n">
        <v>355148.815675675</v>
      </c>
      <c r="G44" s="7" t="s">
        <v>699</v>
      </c>
      <c r="H44" s="49" t="n">
        <v>199754.315675676</v>
      </c>
      <c r="I44" s="49" t="n">
        <v>155394.499999999</v>
      </c>
    </row>
    <row r="45" customFormat="false" ht="27.75" hidden="false" customHeight="true" outlineLevel="0" collapsed="false">
      <c r="B45" s="7" t="s">
        <v>714</v>
      </c>
      <c r="C45" s="7" t="s">
        <v>12</v>
      </c>
      <c r="D45" s="7" t="s">
        <v>715</v>
      </c>
      <c r="E45" s="7" t="s">
        <v>716</v>
      </c>
      <c r="F45" s="49" t="n">
        <v>199754.315675676</v>
      </c>
      <c r="G45" s="7" t="s">
        <v>717</v>
      </c>
      <c r="H45" s="49" t="n">
        <v>111607.784662164</v>
      </c>
      <c r="I45" s="49" t="n">
        <v>88146.5310135125</v>
      </c>
    </row>
    <row r="46" customFormat="false" ht="27.75" hidden="false" customHeight="true" outlineLevel="0" collapsed="false">
      <c r="B46" s="7" t="s">
        <v>718</v>
      </c>
      <c r="C46" s="7" t="s">
        <v>12</v>
      </c>
      <c r="D46" s="7" t="s">
        <v>719</v>
      </c>
      <c r="E46" s="7" t="s">
        <v>719</v>
      </c>
      <c r="F46" s="49" t="n">
        <v>199754.315675676</v>
      </c>
      <c r="G46" s="7" t="s">
        <v>720</v>
      </c>
      <c r="H46" s="49" t="n">
        <v>177457.018378378</v>
      </c>
      <c r="I46" s="49" t="n">
        <v>22297.2972972984</v>
      </c>
    </row>
    <row r="47" customFormat="false" ht="27.75" hidden="false" customHeight="true" outlineLevel="0" collapsed="false">
      <c r="B47" s="7" t="s">
        <v>247</v>
      </c>
      <c r="C47" s="7" t="s">
        <v>12</v>
      </c>
      <c r="D47" s="7" t="s">
        <v>721</v>
      </c>
      <c r="E47" s="7" t="s">
        <v>721</v>
      </c>
      <c r="F47" s="49" t="n">
        <v>199754.315675676</v>
      </c>
      <c r="G47" s="7" t="s">
        <v>722</v>
      </c>
      <c r="H47" s="49" t="n">
        <v>180835.396756757</v>
      </c>
      <c r="I47" s="49" t="n">
        <v>18918.9189189198</v>
      </c>
    </row>
    <row r="49" customFormat="false" ht="15" hidden="false" customHeight="false" outlineLevel="0" collapsed="false">
      <c r="B49" s="3" t="s">
        <v>723</v>
      </c>
      <c r="C49" s="3"/>
      <c r="D49" s="3"/>
      <c r="E49" s="3"/>
      <c r="F49" s="3"/>
      <c r="G49" s="3"/>
      <c r="H49" s="3"/>
      <c r="I49" s="3"/>
    </row>
    <row r="50" customFormat="false" ht="15" hidden="false" customHeight="false" outlineLevel="0" collapsed="false">
      <c r="B50" s="25" t="s">
        <v>5</v>
      </c>
      <c r="C50" s="25" t="s">
        <v>8</v>
      </c>
      <c r="D50" s="25" t="s">
        <v>678</v>
      </c>
      <c r="E50" s="25" t="s">
        <v>679</v>
      </c>
      <c r="F50" s="25" t="s">
        <v>680</v>
      </c>
      <c r="G50" s="25" t="s">
        <v>681</v>
      </c>
      <c r="H50" s="25" t="s">
        <v>680</v>
      </c>
      <c r="I50" s="25" t="s">
        <v>682</v>
      </c>
    </row>
    <row r="51" customFormat="false" ht="27.75" hidden="false" customHeight="true" outlineLevel="0" collapsed="false">
      <c r="B51" s="7" t="s">
        <v>686</v>
      </c>
      <c r="C51" s="7" t="s">
        <v>687</v>
      </c>
      <c r="D51" s="7" t="s">
        <v>688</v>
      </c>
      <c r="E51" s="7" t="s">
        <v>688</v>
      </c>
      <c r="F51" s="49" t="n">
        <v>-405194.003243243</v>
      </c>
      <c r="G51" s="7" t="s">
        <v>689</v>
      </c>
      <c r="H51" s="49" t="n">
        <v>-776835.354594593</v>
      </c>
      <c r="I51" s="49" t="n">
        <v>371641.35135135</v>
      </c>
    </row>
    <row r="52" customFormat="false" ht="27.75" hidden="false" customHeight="true" outlineLevel="0" collapsed="false">
      <c r="B52" s="7" t="s">
        <v>690</v>
      </c>
      <c r="C52" s="7" t="s">
        <v>691</v>
      </c>
      <c r="D52" s="7" t="s">
        <v>692</v>
      </c>
      <c r="E52" s="7" t="s">
        <v>693</v>
      </c>
      <c r="F52" s="49" t="n">
        <v>-118526.236486487</v>
      </c>
      <c r="G52" s="7" t="s">
        <v>694</v>
      </c>
      <c r="H52" s="49" t="n">
        <v>-405194.003243243</v>
      </c>
      <c r="I52" s="49" t="n">
        <v>286667.766756757</v>
      </c>
    </row>
    <row r="53" customFormat="false" ht="27.75" hidden="false" customHeight="true" outlineLevel="0" collapsed="false">
      <c r="B53" s="7" t="s">
        <v>695</v>
      </c>
      <c r="C53" s="7" t="s">
        <v>687</v>
      </c>
      <c r="D53" s="7" t="s">
        <v>688</v>
      </c>
      <c r="E53" s="7" t="s">
        <v>688</v>
      </c>
      <c r="F53" s="49" t="n">
        <v>-405194.003243243</v>
      </c>
      <c r="G53" s="7" t="s">
        <v>696</v>
      </c>
      <c r="H53" s="49" t="n">
        <v>-654805.016756755</v>
      </c>
      <c r="I53" s="49" t="n">
        <v>249611.013513512</v>
      </c>
    </row>
    <row r="54" customFormat="false" ht="27.75" hidden="false" customHeight="true" outlineLevel="0" collapsed="false">
      <c r="B54" s="7" t="s">
        <v>78</v>
      </c>
      <c r="C54" s="7" t="s">
        <v>683</v>
      </c>
      <c r="D54" s="7" t="s">
        <v>684</v>
      </c>
      <c r="E54" s="7" t="s">
        <v>685</v>
      </c>
      <c r="F54" s="49" t="n">
        <v>-159478.774594595</v>
      </c>
      <c r="G54" s="7" t="s">
        <v>684</v>
      </c>
      <c r="H54" s="49" t="n">
        <v>-405194.003243243</v>
      </c>
      <c r="I54" s="49" t="n">
        <v>245715.228648649</v>
      </c>
    </row>
    <row r="55" customFormat="false" ht="27.75" hidden="false" customHeight="true" outlineLevel="0" collapsed="false">
      <c r="B55" s="7" t="s">
        <v>697</v>
      </c>
      <c r="C55" s="7" t="s">
        <v>698</v>
      </c>
      <c r="D55" s="7" t="s">
        <v>699</v>
      </c>
      <c r="E55" s="7" t="s">
        <v>699</v>
      </c>
      <c r="F55" s="49" t="n">
        <v>-405194.003243243</v>
      </c>
      <c r="G55" s="7" t="s">
        <v>700</v>
      </c>
      <c r="H55" s="49" t="n">
        <v>-640006.152702703</v>
      </c>
      <c r="I55" s="49" t="n">
        <v>234812.149459459</v>
      </c>
    </row>
    <row r="56" customFormat="false" ht="27.75" hidden="false" customHeight="true" outlineLevel="0" collapsed="false">
      <c r="B56" s="7" t="s">
        <v>701</v>
      </c>
      <c r="C56" s="7" t="s">
        <v>702</v>
      </c>
      <c r="D56" s="7" t="s">
        <v>703</v>
      </c>
      <c r="E56" s="7" t="s">
        <v>703</v>
      </c>
      <c r="F56" s="49" t="n">
        <v>-405194.003243243</v>
      </c>
      <c r="G56" s="7" t="s">
        <v>704</v>
      </c>
      <c r="H56" s="49" t="n">
        <v>-579914.003243243</v>
      </c>
      <c r="I56" s="49" t="n">
        <v>174720</v>
      </c>
    </row>
    <row r="57" customFormat="false" ht="27.75" hidden="false" customHeight="true" outlineLevel="0" collapsed="false">
      <c r="B57" s="7" t="s">
        <v>705</v>
      </c>
      <c r="C57" s="7" t="s">
        <v>618</v>
      </c>
      <c r="D57" s="7" t="s">
        <v>706</v>
      </c>
      <c r="E57" s="7" t="s">
        <v>706</v>
      </c>
      <c r="F57" s="49" t="n">
        <v>-405194.003243243</v>
      </c>
      <c r="G57" s="7" t="s">
        <v>707</v>
      </c>
      <c r="H57" s="49" t="n">
        <v>-565945.354594595</v>
      </c>
      <c r="I57" s="49" t="n">
        <v>160751.351351352</v>
      </c>
    </row>
    <row r="58" customFormat="false" ht="27.75" hidden="false" customHeight="true" outlineLevel="0" collapsed="false">
      <c r="B58" s="7" t="s">
        <v>284</v>
      </c>
      <c r="C58" s="7" t="s">
        <v>18</v>
      </c>
      <c r="D58" s="7" t="s">
        <v>708</v>
      </c>
      <c r="E58" s="7" t="s">
        <v>709</v>
      </c>
      <c r="F58" s="49" t="n">
        <v>-326570.003243242</v>
      </c>
      <c r="G58" s="7" t="s">
        <v>710</v>
      </c>
      <c r="H58" s="49" t="n">
        <v>-483818.003243241</v>
      </c>
      <c r="I58" s="49" t="n">
        <v>157247.999999998</v>
      </c>
    </row>
    <row r="59" customFormat="false" ht="27.75" hidden="false" customHeight="true" outlineLevel="0" collapsed="false">
      <c r="B59" s="7" t="s">
        <v>711</v>
      </c>
      <c r="C59" s="7" t="s">
        <v>712</v>
      </c>
      <c r="D59" s="7" t="s">
        <v>699</v>
      </c>
      <c r="E59" s="7" t="s">
        <v>713</v>
      </c>
      <c r="F59" s="49" t="n">
        <v>-249799.503243244</v>
      </c>
      <c r="G59" s="7" t="s">
        <v>699</v>
      </c>
      <c r="H59" s="49" t="n">
        <v>-405194.003243243</v>
      </c>
      <c r="I59" s="49" t="n">
        <v>155394.499999999</v>
      </c>
    </row>
    <row r="60" customFormat="false" ht="27.75" hidden="false" customHeight="true" outlineLevel="0" collapsed="false">
      <c r="B60" s="7" t="s">
        <v>714</v>
      </c>
      <c r="C60" s="7" t="s">
        <v>12</v>
      </c>
      <c r="D60" s="7" t="s">
        <v>715</v>
      </c>
      <c r="E60" s="7" t="s">
        <v>716</v>
      </c>
      <c r="F60" s="49" t="n">
        <v>-405194.003243243</v>
      </c>
      <c r="G60" s="7" t="s">
        <v>717</v>
      </c>
      <c r="H60" s="49" t="n">
        <v>-523587.950202702</v>
      </c>
      <c r="I60" s="49" t="n">
        <v>118393.946959458</v>
      </c>
    </row>
    <row r="61" customFormat="false" ht="27.75" hidden="false" customHeight="true" outlineLevel="0" collapsed="false">
      <c r="B61" s="7" t="s">
        <v>718</v>
      </c>
      <c r="C61" s="7" t="s">
        <v>12</v>
      </c>
      <c r="D61" s="7" t="s">
        <v>719</v>
      </c>
      <c r="E61" s="7" t="s">
        <v>719</v>
      </c>
      <c r="F61" s="49" t="n">
        <v>-405194.003243243</v>
      </c>
      <c r="G61" s="7" t="s">
        <v>720</v>
      </c>
      <c r="H61" s="49" t="n">
        <v>-427491.300540542</v>
      </c>
      <c r="I61" s="49" t="n">
        <v>22297.2972972984</v>
      </c>
    </row>
    <row r="62" customFormat="false" ht="27.75" hidden="false" customHeight="true" outlineLevel="0" collapsed="false">
      <c r="B62" s="7" t="s">
        <v>247</v>
      </c>
      <c r="C62" s="7" t="s">
        <v>12</v>
      </c>
      <c r="D62" s="7" t="s">
        <v>721</v>
      </c>
      <c r="E62" s="7" t="s">
        <v>721</v>
      </c>
      <c r="F62" s="49" t="n">
        <v>-405194.003243243</v>
      </c>
      <c r="G62" s="7" t="s">
        <v>722</v>
      </c>
      <c r="H62" s="49" t="n">
        <v>-424112.922162163</v>
      </c>
      <c r="I62" s="49" t="n">
        <v>18918.9189189193</v>
      </c>
    </row>
    <row r="64" customFormat="false" ht="15" hidden="false" customHeight="false" outlineLevel="0" collapsed="false">
      <c r="B64" s="3" t="s">
        <v>724</v>
      </c>
      <c r="C64" s="3"/>
      <c r="D64" s="3"/>
      <c r="E64" s="3"/>
      <c r="F64" s="3"/>
      <c r="G64" s="3"/>
      <c r="H64" s="3"/>
      <c r="I64" s="3"/>
    </row>
    <row r="65" customFormat="false" ht="15" hidden="false" customHeight="false" outlineLevel="0" collapsed="false">
      <c r="B65" s="25" t="s">
        <v>5</v>
      </c>
      <c r="C65" s="25" t="s">
        <v>8</v>
      </c>
      <c r="D65" s="25" t="s">
        <v>678</v>
      </c>
      <c r="E65" s="25" t="s">
        <v>679</v>
      </c>
      <c r="F65" s="25" t="s">
        <v>680</v>
      </c>
      <c r="G65" s="25" t="s">
        <v>681</v>
      </c>
      <c r="H65" s="25" t="s">
        <v>680</v>
      </c>
      <c r="I65" s="25" t="s">
        <v>682</v>
      </c>
    </row>
    <row r="66" customFormat="false" ht="27.75" hidden="false" customHeight="true" outlineLevel="0" collapsed="false">
      <c r="B66" s="7" t="s">
        <v>697</v>
      </c>
      <c r="C66" s="7" t="s">
        <v>698</v>
      </c>
      <c r="D66" s="7" t="s">
        <v>699</v>
      </c>
      <c r="E66" s="7" t="s">
        <v>699</v>
      </c>
      <c r="F66" s="49" t="n">
        <v>558121.602702703</v>
      </c>
      <c r="G66" s="7" t="s">
        <v>700</v>
      </c>
      <c r="H66" s="49" t="n">
        <v>105486.556756756</v>
      </c>
      <c r="I66" s="49" t="n">
        <v>452635.045945947</v>
      </c>
    </row>
    <row r="67" customFormat="false" ht="27.75" hidden="false" customHeight="true" outlineLevel="0" collapsed="false">
      <c r="B67" s="7" t="s">
        <v>686</v>
      </c>
      <c r="C67" s="7" t="s">
        <v>687</v>
      </c>
      <c r="D67" s="7" t="s">
        <v>688</v>
      </c>
      <c r="E67" s="7" t="s">
        <v>688</v>
      </c>
      <c r="F67" s="49" t="n">
        <v>558121.602702703</v>
      </c>
      <c r="G67" s="7" t="s">
        <v>689</v>
      </c>
      <c r="H67" s="49" t="n">
        <v>186480.251351354</v>
      </c>
      <c r="I67" s="49" t="n">
        <v>371641.35135135</v>
      </c>
    </row>
    <row r="68" customFormat="false" ht="27.75" hidden="false" customHeight="true" outlineLevel="0" collapsed="false">
      <c r="B68" s="7" t="s">
        <v>695</v>
      </c>
      <c r="C68" s="7" t="s">
        <v>687</v>
      </c>
      <c r="D68" s="7" t="s">
        <v>688</v>
      </c>
      <c r="E68" s="7" t="s">
        <v>688</v>
      </c>
      <c r="F68" s="49" t="n">
        <v>558121.602702703</v>
      </c>
      <c r="G68" s="7" t="s">
        <v>696</v>
      </c>
      <c r="H68" s="49" t="n">
        <v>308510.58918919</v>
      </c>
      <c r="I68" s="49" t="n">
        <v>249611.013513513</v>
      </c>
    </row>
    <row r="69" customFormat="false" ht="27.75" hidden="false" customHeight="true" outlineLevel="0" collapsed="false">
      <c r="B69" s="7" t="s">
        <v>705</v>
      </c>
      <c r="C69" s="7" t="s">
        <v>618</v>
      </c>
      <c r="D69" s="7" t="s">
        <v>706</v>
      </c>
      <c r="E69" s="7" t="s">
        <v>706</v>
      </c>
      <c r="F69" s="49" t="n">
        <v>558121.602702703</v>
      </c>
      <c r="G69" s="7" t="s">
        <v>707</v>
      </c>
      <c r="H69" s="49" t="n">
        <v>331804.07972973</v>
      </c>
      <c r="I69" s="49" t="n">
        <v>226317.522972973</v>
      </c>
    </row>
    <row r="70" customFormat="false" ht="27.75" hidden="false" customHeight="true" outlineLevel="0" collapsed="false">
      <c r="B70" s="7" t="s">
        <v>701</v>
      </c>
      <c r="C70" s="7" t="s">
        <v>702</v>
      </c>
      <c r="D70" s="7" t="s">
        <v>703</v>
      </c>
      <c r="E70" s="7" t="s">
        <v>703</v>
      </c>
      <c r="F70" s="49" t="n">
        <v>558121.602702703</v>
      </c>
      <c r="G70" s="7" t="s">
        <v>704</v>
      </c>
      <c r="H70" s="49" t="n">
        <v>383401.602702704</v>
      </c>
      <c r="I70" s="49" t="n">
        <v>174720</v>
      </c>
    </row>
    <row r="71" customFormat="false" ht="27.75" hidden="false" customHeight="true" outlineLevel="0" collapsed="false">
      <c r="B71" s="7" t="s">
        <v>284</v>
      </c>
      <c r="C71" s="7" t="s">
        <v>18</v>
      </c>
      <c r="D71" s="7" t="s">
        <v>708</v>
      </c>
      <c r="E71" s="7" t="s">
        <v>709</v>
      </c>
      <c r="F71" s="49" t="n">
        <v>636745.602702703</v>
      </c>
      <c r="G71" s="7" t="s">
        <v>710</v>
      </c>
      <c r="H71" s="49" t="n">
        <v>479497.602702703</v>
      </c>
      <c r="I71" s="49" t="n">
        <v>157248</v>
      </c>
    </row>
    <row r="72" customFormat="false" ht="27.75" hidden="false" customHeight="true" outlineLevel="0" collapsed="false">
      <c r="B72" s="7" t="s">
        <v>711</v>
      </c>
      <c r="C72" s="7" t="s">
        <v>712</v>
      </c>
      <c r="D72" s="7" t="s">
        <v>699</v>
      </c>
      <c r="E72" s="7" t="s">
        <v>713</v>
      </c>
      <c r="F72" s="49" t="n">
        <v>713516.102702702</v>
      </c>
      <c r="G72" s="7" t="s">
        <v>699</v>
      </c>
      <c r="H72" s="49" t="n">
        <v>558121.602702703</v>
      </c>
      <c r="I72" s="49" t="n">
        <v>155394.499999999</v>
      </c>
    </row>
    <row r="73" customFormat="false" ht="27.75" hidden="false" customHeight="true" outlineLevel="0" collapsed="false">
      <c r="B73" s="7" t="s">
        <v>714</v>
      </c>
      <c r="C73" s="7" t="s">
        <v>12</v>
      </c>
      <c r="D73" s="7" t="s">
        <v>715</v>
      </c>
      <c r="E73" s="7" t="s">
        <v>716</v>
      </c>
      <c r="F73" s="49" t="n">
        <v>558121.602702703</v>
      </c>
      <c r="G73" s="7" t="s">
        <v>717</v>
      </c>
      <c r="H73" s="49" t="n">
        <v>473560.047702703</v>
      </c>
      <c r="I73" s="49" t="n">
        <v>84561.5550000006</v>
      </c>
    </row>
    <row r="74" customFormat="false" ht="27.75" hidden="false" customHeight="true" outlineLevel="0" collapsed="false">
      <c r="B74" s="7" t="s">
        <v>78</v>
      </c>
      <c r="C74" s="7" t="s">
        <v>683</v>
      </c>
      <c r="D74" s="7" t="s">
        <v>684</v>
      </c>
      <c r="E74" s="7" t="s">
        <v>685</v>
      </c>
      <c r="F74" s="49" t="n">
        <v>635871.605405407</v>
      </c>
      <c r="G74" s="7" t="s">
        <v>684</v>
      </c>
      <c r="H74" s="49" t="n">
        <v>558121.602702703</v>
      </c>
      <c r="I74" s="49" t="n">
        <v>77750.0027027032</v>
      </c>
    </row>
    <row r="75" customFormat="false" ht="27.75" hidden="false" customHeight="true" outlineLevel="0" collapsed="false">
      <c r="B75" s="7" t="s">
        <v>718</v>
      </c>
      <c r="C75" s="7" t="s">
        <v>12</v>
      </c>
      <c r="D75" s="7" t="s">
        <v>719</v>
      </c>
      <c r="E75" s="7" t="s">
        <v>719</v>
      </c>
      <c r="F75" s="49" t="n">
        <v>558121.602702703</v>
      </c>
      <c r="G75" s="7" t="s">
        <v>720</v>
      </c>
      <c r="H75" s="49" t="n">
        <v>535824.305405405</v>
      </c>
      <c r="I75" s="49" t="n">
        <v>22297.2972972984</v>
      </c>
    </row>
    <row r="76" customFormat="false" ht="27.75" hidden="false" customHeight="true" outlineLevel="0" collapsed="false">
      <c r="B76" s="7" t="s">
        <v>247</v>
      </c>
      <c r="C76" s="7" t="s">
        <v>12</v>
      </c>
      <c r="D76" s="7" t="s">
        <v>721</v>
      </c>
      <c r="E76" s="7" t="s">
        <v>721</v>
      </c>
      <c r="F76" s="49" t="n">
        <v>558121.602702703</v>
      </c>
      <c r="G76" s="7" t="s">
        <v>722</v>
      </c>
      <c r="H76" s="49" t="n">
        <v>539202.683783783</v>
      </c>
      <c r="I76" s="49" t="n">
        <v>18918.9189189207</v>
      </c>
    </row>
    <row r="78" customFormat="false" ht="15" hidden="false" customHeight="false" outlineLevel="0" collapsed="false">
      <c r="B78" s="3" t="s">
        <v>725</v>
      </c>
      <c r="C78" s="3"/>
      <c r="D78" s="3"/>
      <c r="E78" s="3"/>
      <c r="F78" s="3"/>
      <c r="G78" s="3"/>
      <c r="H78" s="3"/>
      <c r="I78" s="3"/>
    </row>
    <row r="79" customFormat="false" ht="15" hidden="false" customHeight="false" outlineLevel="0" collapsed="false">
      <c r="B79" s="25" t="s">
        <v>5</v>
      </c>
      <c r="C79" s="25" t="s">
        <v>8</v>
      </c>
      <c r="D79" s="25" t="s">
        <v>678</v>
      </c>
      <c r="E79" s="25" t="s">
        <v>679</v>
      </c>
      <c r="F79" s="25" t="s">
        <v>680</v>
      </c>
      <c r="G79" s="25" t="s">
        <v>681</v>
      </c>
      <c r="H79" s="25" t="s">
        <v>680</v>
      </c>
      <c r="I79" s="25" t="s">
        <v>682</v>
      </c>
    </row>
    <row r="80" customFormat="false" ht="27.75" hidden="false" customHeight="true" outlineLevel="0" collapsed="false">
      <c r="B80" s="7" t="s">
        <v>697</v>
      </c>
      <c r="C80" s="7" t="s">
        <v>698</v>
      </c>
      <c r="D80" s="7" t="s">
        <v>699</v>
      </c>
      <c r="E80" s="7" t="s">
        <v>699</v>
      </c>
      <c r="F80" s="49" t="n">
        <v>572946.58945946</v>
      </c>
      <c r="G80" s="7" t="s">
        <v>700</v>
      </c>
      <c r="H80" s="49" t="n">
        <v>73589.6264864872</v>
      </c>
      <c r="I80" s="49" t="n">
        <v>499356.962972973</v>
      </c>
    </row>
    <row r="81" customFormat="false" ht="27.75" hidden="false" customHeight="true" outlineLevel="0" collapsed="false">
      <c r="B81" s="7" t="s">
        <v>78</v>
      </c>
      <c r="C81" s="7" t="s">
        <v>683</v>
      </c>
      <c r="D81" s="7" t="s">
        <v>685</v>
      </c>
      <c r="E81" s="7" t="s">
        <v>685</v>
      </c>
      <c r="F81" s="49" t="n">
        <v>572946.58945946</v>
      </c>
      <c r="G81" s="7" t="s">
        <v>684</v>
      </c>
      <c r="H81" s="49" t="n">
        <v>199754.315675676</v>
      </c>
      <c r="I81" s="49" t="n">
        <v>373192.273783783</v>
      </c>
    </row>
    <row r="82" customFormat="false" ht="27.75" hidden="false" customHeight="true" outlineLevel="0" collapsed="false">
      <c r="B82" s="7" t="s">
        <v>686</v>
      </c>
      <c r="C82" s="7" t="s">
        <v>687</v>
      </c>
      <c r="D82" s="7" t="s">
        <v>688</v>
      </c>
      <c r="E82" s="7" t="s">
        <v>688</v>
      </c>
      <c r="F82" s="49" t="n">
        <v>572946.58945946</v>
      </c>
      <c r="G82" s="7" t="s">
        <v>689</v>
      </c>
      <c r="H82" s="49" t="n">
        <v>201305.23810811</v>
      </c>
      <c r="I82" s="49" t="n">
        <v>371641.35135135</v>
      </c>
    </row>
    <row r="83" customFormat="false" ht="27.75" hidden="false" customHeight="true" outlineLevel="0" collapsed="false">
      <c r="B83" s="7" t="s">
        <v>695</v>
      </c>
      <c r="C83" s="7" t="s">
        <v>687</v>
      </c>
      <c r="D83" s="7" t="s">
        <v>688</v>
      </c>
      <c r="E83" s="7" t="s">
        <v>688</v>
      </c>
      <c r="F83" s="49" t="n">
        <v>572946.58945946</v>
      </c>
      <c r="G83" s="7" t="s">
        <v>696</v>
      </c>
      <c r="H83" s="49" t="n">
        <v>323335.575945947</v>
      </c>
      <c r="I83" s="49" t="n">
        <v>249611.013513512</v>
      </c>
    </row>
    <row r="84" customFormat="false" ht="27.75" hidden="false" customHeight="true" outlineLevel="0" collapsed="false">
      <c r="B84" s="7" t="s">
        <v>701</v>
      </c>
      <c r="C84" s="7" t="s">
        <v>702</v>
      </c>
      <c r="D84" s="7" t="s">
        <v>703</v>
      </c>
      <c r="E84" s="7" t="s">
        <v>703</v>
      </c>
      <c r="F84" s="49" t="n">
        <v>572946.58945946</v>
      </c>
      <c r="G84" s="7" t="s">
        <v>704</v>
      </c>
      <c r="H84" s="49" t="n">
        <v>398226.58945946</v>
      </c>
      <c r="I84" s="49" t="n">
        <v>174720</v>
      </c>
    </row>
    <row r="85" customFormat="false" ht="27.75" hidden="false" customHeight="true" outlineLevel="0" collapsed="false">
      <c r="B85" s="7" t="s">
        <v>705</v>
      </c>
      <c r="C85" s="7" t="s">
        <v>618</v>
      </c>
      <c r="D85" s="7" t="s">
        <v>706</v>
      </c>
      <c r="E85" s="7" t="s">
        <v>706</v>
      </c>
      <c r="F85" s="49" t="n">
        <v>572946.58945946</v>
      </c>
      <c r="G85" s="7" t="s">
        <v>707</v>
      </c>
      <c r="H85" s="49" t="n">
        <v>412195.238108108</v>
      </c>
      <c r="I85" s="49" t="n">
        <v>160751.351351352</v>
      </c>
    </row>
    <row r="86" customFormat="false" ht="27.75" hidden="false" customHeight="true" outlineLevel="0" collapsed="false">
      <c r="B86" s="7" t="s">
        <v>284</v>
      </c>
      <c r="C86" s="7" t="s">
        <v>18</v>
      </c>
      <c r="D86" s="7" t="s">
        <v>708</v>
      </c>
      <c r="E86" s="7" t="s">
        <v>709</v>
      </c>
      <c r="F86" s="49" t="n">
        <v>651570.58945946</v>
      </c>
      <c r="G86" s="7" t="s">
        <v>710</v>
      </c>
      <c r="H86" s="49" t="n">
        <v>494322.589459461</v>
      </c>
      <c r="I86" s="49" t="n">
        <v>157247.999999999</v>
      </c>
    </row>
    <row r="87" customFormat="false" ht="27.75" hidden="false" customHeight="true" outlineLevel="0" collapsed="false">
      <c r="B87" s="7" t="s">
        <v>711</v>
      </c>
      <c r="C87" s="7" t="s">
        <v>712</v>
      </c>
      <c r="D87" s="7" t="s">
        <v>699</v>
      </c>
      <c r="E87" s="7" t="s">
        <v>713</v>
      </c>
      <c r="F87" s="49" t="n">
        <v>728341.089459459</v>
      </c>
      <c r="G87" s="7" t="s">
        <v>699</v>
      </c>
      <c r="H87" s="49" t="n">
        <v>572946.58945946</v>
      </c>
      <c r="I87" s="49" t="n">
        <v>155394.499999999</v>
      </c>
    </row>
    <row r="88" customFormat="false" ht="27.75" hidden="false" customHeight="true" outlineLevel="0" collapsed="false">
      <c r="B88" s="7" t="s">
        <v>714</v>
      </c>
      <c r="C88" s="7" t="s">
        <v>12</v>
      </c>
      <c r="D88" s="7" t="s">
        <v>715</v>
      </c>
      <c r="E88" s="7" t="s">
        <v>716</v>
      </c>
      <c r="F88" s="49" t="n">
        <v>572946.58945946</v>
      </c>
      <c r="G88" s="7" t="s">
        <v>717</v>
      </c>
      <c r="H88" s="49" t="n">
        <v>491173.910702704</v>
      </c>
      <c r="I88" s="49" t="n">
        <v>81772.6787567558</v>
      </c>
    </row>
    <row r="89" customFormat="false" ht="27.75" hidden="false" customHeight="true" outlineLevel="0" collapsed="false">
      <c r="B89" s="7" t="s">
        <v>726</v>
      </c>
      <c r="C89" s="7" t="s">
        <v>612</v>
      </c>
      <c r="D89" s="7" t="s">
        <v>727</v>
      </c>
      <c r="E89" s="7" t="s">
        <v>728</v>
      </c>
      <c r="F89" s="49" t="n">
        <v>594694.601081081</v>
      </c>
      <c r="G89" s="7" t="s">
        <v>729</v>
      </c>
      <c r="H89" s="49" t="n">
        <v>540324.572027027</v>
      </c>
      <c r="I89" s="49" t="n">
        <v>54370.0290540541</v>
      </c>
    </row>
    <row r="90" customFormat="false" ht="27.75" hidden="false" customHeight="true" outlineLevel="0" collapsed="false">
      <c r="B90" s="7" t="s">
        <v>690</v>
      </c>
      <c r="C90" s="7" t="s">
        <v>691</v>
      </c>
      <c r="D90" s="7" t="s">
        <v>692</v>
      </c>
      <c r="E90" s="7" t="s">
        <v>693</v>
      </c>
      <c r="F90" s="49" t="n">
        <v>613899.127567568</v>
      </c>
      <c r="G90" s="7" t="s">
        <v>694</v>
      </c>
      <c r="H90" s="49" t="n">
        <v>572946.58945946</v>
      </c>
      <c r="I90" s="49" t="n">
        <v>40952.5381081081</v>
      </c>
    </row>
    <row r="91" customFormat="false" ht="27.75" hidden="false" customHeight="true" outlineLevel="0" collapsed="false">
      <c r="B91" s="7" t="s">
        <v>718</v>
      </c>
      <c r="C91" s="7" t="s">
        <v>12</v>
      </c>
      <c r="D91" s="7" t="s">
        <v>719</v>
      </c>
      <c r="E91" s="7" t="s">
        <v>719</v>
      </c>
      <c r="F91" s="49" t="n">
        <v>572946.58945946</v>
      </c>
      <c r="G91" s="7" t="s">
        <v>720</v>
      </c>
      <c r="H91" s="49" t="n">
        <v>550649.292162161</v>
      </c>
      <c r="I91" s="49" t="n">
        <v>22297.2972972984</v>
      </c>
    </row>
    <row r="92" customFormat="false" ht="27.75" hidden="false" customHeight="true" outlineLevel="0" collapsed="false">
      <c r="B92" s="7" t="s">
        <v>247</v>
      </c>
      <c r="C92" s="7" t="s">
        <v>12</v>
      </c>
      <c r="D92" s="7" t="s">
        <v>721</v>
      </c>
      <c r="E92" s="7" t="s">
        <v>721</v>
      </c>
      <c r="F92" s="49" t="n">
        <v>572946.58945946</v>
      </c>
      <c r="G92" s="7" t="s">
        <v>722</v>
      </c>
      <c r="H92" s="49" t="n">
        <v>570243.886756757</v>
      </c>
      <c r="I92" s="49" t="n">
        <v>2702.70270270295</v>
      </c>
    </row>
    <row r="94" customFormat="false" ht="15" hidden="false" customHeight="false" outlineLevel="0" collapsed="false">
      <c r="B94" s="3" t="s">
        <v>730</v>
      </c>
      <c r="C94" s="3"/>
      <c r="D94" s="3"/>
      <c r="E94" s="3"/>
      <c r="F94" s="3"/>
      <c r="G94" s="3"/>
      <c r="H94" s="3"/>
      <c r="I94" s="3"/>
    </row>
    <row r="95" customFormat="false" ht="15" hidden="false" customHeight="false" outlineLevel="0" collapsed="false">
      <c r="B95" s="25" t="s">
        <v>5</v>
      </c>
      <c r="C95" s="25" t="s">
        <v>8</v>
      </c>
      <c r="D95" s="25" t="s">
        <v>678</v>
      </c>
      <c r="E95" s="25" t="s">
        <v>679</v>
      </c>
      <c r="F95" s="25" t="s">
        <v>680</v>
      </c>
      <c r="G95" s="25" t="s">
        <v>681</v>
      </c>
      <c r="H95" s="25" t="s">
        <v>680</v>
      </c>
      <c r="I95" s="25" t="s">
        <v>682</v>
      </c>
    </row>
    <row r="96" customFormat="false" ht="27.75" hidden="false" customHeight="true" outlineLevel="0" collapsed="false">
      <c r="B96" s="7" t="s">
        <v>697</v>
      </c>
      <c r="C96" s="7" t="s">
        <v>698</v>
      </c>
      <c r="D96" s="7" t="s">
        <v>699</v>
      </c>
      <c r="E96" s="7" t="s">
        <v>699</v>
      </c>
      <c r="F96" s="49" t="n">
        <v>-159478.774594595</v>
      </c>
      <c r="G96" s="7" t="s">
        <v>700</v>
      </c>
      <c r="H96" s="49" t="n">
        <v>-531358.692432432</v>
      </c>
      <c r="I96" s="49" t="n">
        <v>371879.917837838</v>
      </c>
    </row>
    <row r="97" customFormat="false" ht="27.75" hidden="false" customHeight="true" outlineLevel="0" collapsed="false">
      <c r="B97" s="7" t="s">
        <v>686</v>
      </c>
      <c r="C97" s="7" t="s">
        <v>687</v>
      </c>
      <c r="D97" s="7" t="s">
        <v>688</v>
      </c>
      <c r="E97" s="7" t="s">
        <v>688</v>
      </c>
      <c r="F97" s="49" t="n">
        <v>-159478.774594595</v>
      </c>
      <c r="G97" s="7" t="s">
        <v>689</v>
      </c>
      <c r="H97" s="49" t="n">
        <v>-531120.125945945</v>
      </c>
      <c r="I97" s="49" t="n">
        <v>371641.35135135</v>
      </c>
    </row>
    <row r="98" customFormat="false" ht="27.75" hidden="false" customHeight="true" outlineLevel="0" collapsed="false">
      <c r="B98" s="7" t="s">
        <v>695</v>
      </c>
      <c r="C98" s="7" t="s">
        <v>687</v>
      </c>
      <c r="D98" s="7" t="s">
        <v>688</v>
      </c>
      <c r="E98" s="7" t="s">
        <v>688</v>
      </c>
      <c r="F98" s="49" t="n">
        <v>-159478.774594595</v>
      </c>
      <c r="G98" s="7" t="s">
        <v>696</v>
      </c>
      <c r="H98" s="49" t="n">
        <v>-409089.788108107</v>
      </c>
      <c r="I98" s="49" t="n">
        <v>249611.013513512</v>
      </c>
    </row>
    <row r="99" customFormat="false" ht="27.75" hidden="false" customHeight="true" outlineLevel="0" collapsed="false">
      <c r="B99" s="7" t="s">
        <v>78</v>
      </c>
      <c r="C99" s="7" t="s">
        <v>683</v>
      </c>
      <c r="D99" s="7" t="s">
        <v>685</v>
      </c>
      <c r="E99" s="7" t="s">
        <v>685</v>
      </c>
      <c r="F99" s="49" t="n">
        <v>-159478.774594595</v>
      </c>
      <c r="G99" s="7" t="s">
        <v>684</v>
      </c>
      <c r="H99" s="49" t="n">
        <v>-405194.003243243</v>
      </c>
      <c r="I99" s="49" t="n">
        <v>245715.228648649</v>
      </c>
    </row>
    <row r="100" customFormat="false" ht="27.75" hidden="false" customHeight="true" outlineLevel="0" collapsed="false">
      <c r="B100" s="7" t="s">
        <v>701</v>
      </c>
      <c r="C100" s="7" t="s">
        <v>702</v>
      </c>
      <c r="D100" s="7" t="s">
        <v>703</v>
      </c>
      <c r="E100" s="7" t="s">
        <v>703</v>
      </c>
      <c r="F100" s="49" t="n">
        <v>-159478.774594595</v>
      </c>
      <c r="G100" s="7" t="s">
        <v>704</v>
      </c>
      <c r="H100" s="49" t="n">
        <v>-334198.774594595</v>
      </c>
      <c r="I100" s="49" t="n">
        <v>174720</v>
      </c>
    </row>
    <row r="101" customFormat="false" ht="27.75" hidden="false" customHeight="true" outlineLevel="0" collapsed="false">
      <c r="B101" s="7" t="s">
        <v>705</v>
      </c>
      <c r="C101" s="7" t="s">
        <v>618</v>
      </c>
      <c r="D101" s="7" t="s">
        <v>706</v>
      </c>
      <c r="E101" s="7" t="s">
        <v>706</v>
      </c>
      <c r="F101" s="49" t="n">
        <v>-159478.774594595</v>
      </c>
      <c r="G101" s="7" t="s">
        <v>707</v>
      </c>
      <c r="H101" s="49" t="n">
        <v>-320230.125945946</v>
      </c>
      <c r="I101" s="49" t="n">
        <v>160751.351351352</v>
      </c>
    </row>
    <row r="102" customFormat="false" ht="27.75" hidden="false" customHeight="true" outlineLevel="0" collapsed="false">
      <c r="B102" s="7" t="s">
        <v>284</v>
      </c>
      <c r="C102" s="7" t="s">
        <v>18</v>
      </c>
      <c r="D102" s="7" t="s">
        <v>708</v>
      </c>
      <c r="E102" s="7" t="s">
        <v>709</v>
      </c>
      <c r="F102" s="49" t="n">
        <v>-80854.7745945938</v>
      </c>
      <c r="G102" s="7" t="s">
        <v>710</v>
      </c>
      <c r="H102" s="49" t="n">
        <v>-238102.774594592</v>
      </c>
      <c r="I102" s="49" t="n">
        <v>157247.999999998</v>
      </c>
    </row>
    <row r="103" customFormat="false" ht="27.75" hidden="false" customHeight="true" outlineLevel="0" collapsed="false">
      <c r="B103" s="7" t="s">
        <v>711</v>
      </c>
      <c r="C103" s="7" t="s">
        <v>712</v>
      </c>
      <c r="D103" s="7" t="s">
        <v>699</v>
      </c>
      <c r="E103" s="7" t="s">
        <v>713</v>
      </c>
      <c r="F103" s="49" t="n">
        <v>-4084.27459459566</v>
      </c>
      <c r="G103" s="7" t="s">
        <v>699</v>
      </c>
      <c r="H103" s="49" t="n">
        <v>-159478.774594595</v>
      </c>
      <c r="I103" s="49" t="n">
        <v>155394.499999999</v>
      </c>
    </row>
    <row r="104" customFormat="false" ht="27.75" hidden="false" customHeight="true" outlineLevel="0" collapsed="false">
      <c r="B104" s="7" t="s">
        <v>714</v>
      </c>
      <c r="C104" s="7" t="s">
        <v>12</v>
      </c>
      <c r="D104" s="7" t="s">
        <v>715</v>
      </c>
      <c r="E104" s="7" t="s">
        <v>716</v>
      </c>
      <c r="F104" s="49" t="n">
        <v>-159478.774594595</v>
      </c>
      <c r="G104" s="7" t="s">
        <v>717</v>
      </c>
      <c r="H104" s="49" t="n">
        <v>-277872.721554053</v>
      </c>
      <c r="I104" s="49" t="n">
        <v>118393.946959458</v>
      </c>
    </row>
    <row r="105" customFormat="false" ht="27.75" hidden="false" customHeight="true" outlineLevel="0" collapsed="false">
      <c r="B105" s="7" t="s">
        <v>690</v>
      </c>
      <c r="C105" s="7" t="s">
        <v>691</v>
      </c>
      <c r="D105" s="7" t="s">
        <v>692</v>
      </c>
      <c r="E105" s="7" t="s">
        <v>693</v>
      </c>
      <c r="F105" s="49" t="n">
        <v>-118526.236486487</v>
      </c>
      <c r="G105" s="7" t="s">
        <v>694</v>
      </c>
      <c r="H105" s="49" t="n">
        <v>-159478.774594595</v>
      </c>
      <c r="I105" s="49" t="n">
        <v>40952.5381081081</v>
      </c>
    </row>
    <row r="106" customFormat="false" ht="27.75" hidden="false" customHeight="true" outlineLevel="0" collapsed="false">
      <c r="B106" s="7" t="s">
        <v>718</v>
      </c>
      <c r="C106" s="7" t="s">
        <v>12</v>
      </c>
      <c r="D106" s="7" t="s">
        <v>719</v>
      </c>
      <c r="E106" s="7" t="s">
        <v>719</v>
      </c>
      <c r="F106" s="49" t="n">
        <v>-159478.774594595</v>
      </c>
      <c r="G106" s="7" t="s">
        <v>720</v>
      </c>
      <c r="H106" s="49" t="n">
        <v>-181776.071891893</v>
      </c>
      <c r="I106" s="49" t="n">
        <v>22297.2972972984</v>
      </c>
    </row>
    <row r="107" customFormat="false" ht="27.75" hidden="false" customHeight="true" outlineLevel="0" collapsed="false">
      <c r="B107" s="7" t="s">
        <v>247</v>
      </c>
      <c r="C107" s="7" t="s">
        <v>12</v>
      </c>
      <c r="D107" s="7" t="s">
        <v>721</v>
      </c>
      <c r="E107" s="7" t="s">
        <v>721</v>
      </c>
      <c r="F107" s="49" t="n">
        <v>-159478.774594595</v>
      </c>
      <c r="G107" s="7" t="s">
        <v>722</v>
      </c>
      <c r="H107" s="49" t="n">
        <v>-162181.477297298</v>
      </c>
      <c r="I107" s="49" t="n">
        <v>2702.70270270295</v>
      </c>
    </row>
    <row r="109" customFormat="false" ht="15" hidden="false" customHeight="false" outlineLevel="0" collapsed="false">
      <c r="B109" s="3" t="s">
        <v>731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false" outlineLevel="0" collapsed="false">
      <c r="B110" s="25" t="s">
        <v>5</v>
      </c>
      <c r="C110" s="25" t="s">
        <v>8</v>
      </c>
      <c r="D110" s="25" t="s">
        <v>678</v>
      </c>
      <c r="E110" s="25" t="s">
        <v>679</v>
      </c>
      <c r="F110" s="25" t="s">
        <v>680</v>
      </c>
      <c r="G110" s="25" t="s">
        <v>681</v>
      </c>
      <c r="H110" s="25" t="s">
        <v>680</v>
      </c>
      <c r="I110" s="25" t="s">
        <v>682</v>
      </c>
    </row>
    <row r="111" customFormat="false" ht="27.75" hidden="false" customHeight="true" outlineLevel="0" collapsed="false">
      <c r="B111" s="7" t="s">
        <v>686</v>
      </c>
      <c r="C111" s="7" t="s">
        <v>687</v>
      </c>
      <c r="D111" s="7" t="s">
        <v>688</v>
      </c>
      <c r="E111" s="7" t="s">
        <v>688</v>
      </c>
      <c r="F111" s="49" t="n">
        <v>635871.605405407</v>
      </c>
      <c r="G111" s="7" t="s">
        <v>689</v>
      </c>
      <c r="H111" s="49" t="n">
        <v>264230.254054057</v>
      </c>
      <c r="I111" s="49" t="n">
        <v>371641.35135135</v>
      </c>
    </row>
    <row r="112" customFormat="false" ht="27.75" hidden="false" customHeight="true" outlineLevel="0" collapsed="false">
      <c r="B112" s="7" t="s">
        <v>697</v>
      </c>
      <c r="C112" s="7" t="s">
        <v>698</v>
      </c>
      <c r="D112" s="7" t="s">
        <v>699</v>
      </c>
      <c r="E112" s="7" t="s">
        <v>699</v>
      </c>
      <c r="F112" s="49" t="n">
        <v>635871.605405407</v>
      </c>
      <c r="G112" s="7" t="s">
        <v>700</v>
      </c>
      <c r="H112" s="49" t="n">
        <v>331804.07972973</v>
      </c>
      <c r="I112" s="49" t="n">
        <v>304067.525675676</v>
      </c>
    </row>
    <row r="113" customFormat="false" ht="27.75" hidden="false" customHeight="true" outlineLevel="0" collapsed="false">
      <c r="B113" s="7" t="s">
        <v>695</v>
      </c>
      <c r="C113" s="7" t="s">
        <v>687</v>
      </c>
      <c r="D113" s="7" t="s">
        <v>688</v>
      </c>
      <c r="E113" s="7" t="s">
        <v>688</v>
      </c>
      <c r="F113" s="49" t="n">
        <v>635871.605405407</v>
      </c>
      <c r="G113" s="7" t="s">
        <v>696</v>
      </c>
      <c r="H113" s="49" t="n">
        <v>386260.591891893</v>
      </c>
      <c r="I113" s="49" t="n">
        <v>249611.013513513</v>
      </c>
    </row>
    <row r="114" customFormat="false" ht="27.75" hidden="false" customHeight="true" outlineLevel="0" collapsed="false">
      <c r="B114" s="7" t="s">
        <v>705</v>
      </c>
      <c r="C114" s="7" t="s">
        <v>618</v>
      </c>
      <c r="D114" s="7" t="s">
        <v>706</v>
      </c>
      <c r="E114" s="7" t="s">
        <v>706</v>
      </c>
      <c r="F114" s="49" t="n">
        <v>635871.605405407</v>
      </c>
      <c r="G114" s="7" t="s">
        <v>707</v>
      </c>
      <c r="H114" s="49" t="n">
        <v>409554.082432434</v>
      </c>
      <c r="I114" s="49" t="n">
        <v>226317.522972973</v>
      </c>
    </row>
    <row r="115" customFormat="false" ht="27.75" hidden="false" customHeight="true" outlineLevel="0" collapsed="false">
      <c r="B115" s="7" t="s">
        <v>701</v>
      </c>
      <c r="C115" s="7" t="s">
        <v>702</v>
      </c>
      <c r="D115" s="7" t="s">
        <v>703</v>
      </c>
      <c r="E115" s="7" t="s">
        <v>703</v>
      </c>
      <c r="F115" s="49" t="n">
        <v>635871.605405407</v>
      </c>
      <c r="G115" s="7" t="s">
        <v>704</v>
      </c>
      <c r="H115" s="49" t="n">
        <v>461151.605405407</v>
      </c>
      <c r="I115" s="49" t="n">
        <v>174720</v>
      </c>
    </row>
    <row r="116" customFormat="false" ht="27.75" hidden="false" customHeight="true" outlineLevel="0" collapsed="false">
      <c r="B116" s="7" t="s">
        <v>284</v>
      </c>
      <c r="C116" s="7" t="s">
        <v>18</v>
      </c>
      <c r="D116" s="7" t="s">
        <v>708</v>
      </c>
      <c r="E116" s="7" t="s">
        <v>709</v>
      </c>
      <c r="F116" s="49" t="n">
        <v>714495.605405406</v>
      </c>
      <c r="G116" s="7" t="s">
        <v>710</v>
      </c>
      <c r="H116" s="49" t="n">
        <v>557247.605405406</v>
      </c>
      <c r="I116" s="49" t="n">
        <v>157248</v>
      </c>
    </row>
    <row r="117" customFormat="false" ht="27.75" hidden="false" customHeight="true" outlineLevel="0" collapsed="false">
      <c r="B117" s="7" t="s">
        <v>711</v>
      </c>
      <c r="C117" s="7" t="s">
        <v>712</v>
      </c>
      <c r="D117" s="7" t="s">
        <v>699</v>
      </c>
      <c r="E117" s="7" t="s">
        <v>713</v>
      </c>
      <c r="F117" s="49" t="n">
        <v>791266.105405406</v>
      </c>
      <c r="G117" s="7" t="s">
        <v>699</v>
      </c>
      <c r="H117" s="49" t="n">
        <v>635871.605405407</v>
      </c>
      <c r="I117" s="49" t="n">
        <v>155394.499999999</v>
      </c>
    </row>
    <row r="118" customFormat="false" ht="27.75" hidden="false" customHeight="true" outlineLevel="0" collapsed="false">
      <c r="B118" s="7" t="s">
        <v>726</v>
      </c>
      <c r="C118" s="7" t="s">
        <v>612</v>
      </c>
      <c r="D118" s="7" t="s">
        <v>727</v>
      </c>
      <c r="E118" s="7" t="s">
        <v>728</v>
      </c>
      <c r="F118" s="49" t="n">
        <v>672341.875675677</v>
      </c>
      <c r="G118" s="7" t="s">
        <v>729</v>
      </c>
      <c r="H118" s="49" t="n">
        <v>581166.200000003</v>
      </c>
      <c r="I118" s="49" t="n">
        <v>91175.6756756748</v>
      </c>
    </row>
    <row r="119" customFormat="false" ht="27.75" hidden="false" customHeight="true" outlineLevel="0" collapsed="false">
      <c r="B119" s="7" t="s">
        <v>714</v>
      </c>
      <c r="C119" s="7" t="s">
        <v>12</v>
      </c>
      <c r="D119" s="7" t="s">
        <v>715</v>
      </c>
      <c r="E119" s="7" t="s">
        <v>716</v>
      </c>
      <c r="F119" s="49" t="n">
        <v>635871.605405407</v>
      </c>
      <c r="G119" s="7" t="s">
        <v>717</v>
      </c>
      <c r="H119" s="49" t="n">
        <v>555197.550540541</v>
      </c>
      <c r="I119" s="49" t="n">
        <v>80674.0548648653</v>
      </c>
    </row>
    <row r="120" customFormat="false" ht="27.75" hidden="false" customHeight="true" outlineLevel="0" collapsed="false">
      <c r="B120" s="7" t="s">
        <v>78</v>
      </c>
      <c r="C120" s="7" t="s">
        <v>683</v>
      </c>
      <c r="D120" s="7" t="s">
        <v>685</v>
      </c>
      <c r="E120" s="7" t="s">
        <v>685</v>
      </c>
      <c r="F120" s="49" t="n">
        <v>635871.605405407</v>
      </c>
      <c r="G120" s="7" t="s">
        <v>684</v>
      </c>
      <c r="H120" s="49" t="n">
        <v>558121.602702703</v>
      </c>
      <c r="I120" s="49" t="n">
        <v>77750.0027027032</v>
      </c>
    </row>
    <row r="121" customFormat="false" ht="27.75" hidden="false" customHeight="true" outlineLevel="0" collapsed="false">
      <c r="B121" s="7" t="s">
        <v>718</v>
      </c>
      <c r="C121" s="7" t="s">
        <v>12</v>
      </c>
      <c r="D121" s="7" t="s">
        <v>719</v>
      </c>
      <c r="E121" s="7" t="s">
        <v>719</v>
      </c>
      <c r="F121" s="49" t="n">
        <v>635871.605405407</v>
      </c>
      <c r="G121" s="7" t="s">
        <v>720</v>
      </c>
      <c r="H121" s="49" t="n">
        <v>613574.308108108</v>
      </c>
      <c r="I121" s="49" t="n">
        <v>22297.2972972984</v>
      </c>
    </row>
    <row r="122" customFormat="false" ht="27.75" hidden="false" customHeight="true" outlineLevel="0" collapsed="false">
      <c r="B122" s="7" t="s">
        <v>732</v>
      </c>
      <c r="C122" s="7" t="s">
        <v>612</v>
      </c>
      <c r="D122" s="7" t="s">
        <v>733</v>
      </c>
      <c r="E122" s="7" t="s">
        <v>733</v>
      </c>
      <c r="F122" s="49" t="n">
        <v>635871.605405407</v>
      </c>
      <c r="G122" s="7" t="s">
        <v>734</v>
      </c>
      <c r="H122" s="49" t="n">
        <v>626653.766486487</v>
      </c>
      <c r="I122" s="49" t="n">
        <v>9217.83891891921</v>
      </c>
    </row>
    <row r="123" customFormat="false" ht="27.75" hidden="false" customHeight="true" outlineLevel="0" collapsed="false">
      <c r="B123" s="7" t="s">
        <v>247</v>
      </c>
      <c r="C123" s="7" t="s">
        <v>12</v>
      </c>
      <c r="D123" s="7" t="s">
        <v>721</v>
      </c>
      <c r="E123" s="7" t="s">
        <v>721</v>
      </c>
      <c r="F123" s="49" t="n">
        <v>635871.605405407</v>
      </c>
      <c r="G123" s="7" t="s">
        <v>722</v>
      </c>
      <c r="H123" s="49" t="n">
        <v>633168.902702702</v>
      </c>
      <c r="I123" s="49" t="n">
        <v>2702.70270270435</v>
      </c>
    </row>
  </sheetData>
  <mergeCells count="9">
    <mergeCell ref="B4:I4"/>
    <mergeCell ref="B16:J16"/>
    <mergeCell ref="B24:J24"/>
    <mergeCell ref="B34:I34"/>
    <mergeCell ref="B49:I49"/>
    <mergeCell ref="B64:I64"/>
    <mergeCell ref="B78:I78"/>
    <mergeCell ref="B94:I94"/>
    <mergeCell ref="B109:I10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8" min="8" style="0" width="34"/>
  </cols>
  <sheetData>
    <row r="1" customFormat="false" ht="17.35" hidden="false" customHeight="false" outlineLevel="0" collapsed="false">
      <c r="B1" s="1" t="s">
        <v>735</v>
      </c>
    </row>
    <row r="2" customFormat="false" ht="15" hidden="false" customHeight="false" outlineLevel="0" collapsed="false">
      <c r="B2" s="2" t="s">
        <v>736</v>
      </c>
    </row>
    <row r="4" customFormat="false" ht="23.85" hidden="false" customHeight="false" outlineLevel="0" collapsed="false">
      <c r="B4" s="25" t="s">
        <v>615</v>
      </c>
      <c r="C4" s="25" t="s">
        <v>737</v>
      </c>
      <c r="D4" s="25" t="s">
        <v>738</v>
      </c>
      <c r="E4" s="25" t="s">
        <v>739</v>
      </c>
      <c r="F4" s="25" t="s">
        <v>740</v>
      </c>
      <c r="G4" s="25" t="s">
        <v>741</v>
      </c>
      <c r="H4" s="25" t="s">
        <v>742</v>
      </c>
    </row>
    <row r="5" customFormat="false" ht="31.5" hidden="false" customHeight="true" outlineLevel="0" collapsed="false">
      <c r="B5" s="7" t="s">
        <v>743</v>
      </c>
      <c r="C5" s="7" t="s">
        <v>744</v>
      </c>
      <c r="D5" s="7" t="s">
        <v>745</v>
      </c>
      <c r="E5" s="7" t="s">
        <v>746</v>
      </c>
      <c r="F5" s="49" t="n">
        <v>155394.499999999</v>
      </c>
      <c r="G5" s="49" t="n">
        <v>155394.499999999</v>
      </c>
      <c r="H5" s="7" t="s">
        <v>747</v>
      </c>
    </row>
    <row r="6" customFormat="false" ht="31.5" hidden="false" customHeight="true" outlineLevel="0" collapsed="false">
      <c r="B6" s="7" t="s">
        <v>748</v>
      </c>
      <c r="C6" s="7" t="s">
        <v>703</v>
      </c>
      <c r="D6" s="7" t="s">
        <v>704</v>
      </c>
      <c r="E6" s="7" t="s">
        <v>749</v>
      </c>
      <c r="F6" s="49" t="n">
        <v>-174720</v>
      </c>
      <c r="G6" s="49" t="n">
        <v>-174720</v>
      </c>
      <c r="H6" s="7" t="s">
        <v>750</v>
      </c>
    </row>
    <row r="7" customFormat="false" ht="31.5" hidden="false" customHeight="true" outlineLevel="0" collapsed="false">
      <c r="B7" s="7" t="s">
        <v>751</v>
      </c>
      <c r="C7" s="7" t="s">
        <v>752</v>
      </c>
      <c r="D7" s="7" t="s">
        <v>707</v>
      </c>
      <c r="E7" s="7" t="s">
        <v>753</v>
      </c>
      <c r="F7" s="49" t="n">
        <v>-160751.351351352</v>
      </c>
      <c r="G7" s="49" t="n">
        <v>-160751.351351352</v>
      </c>
      <c r="H7" s="7" t="s">
        <v>754</v>
      </c>
    </row>
    <row r="8" customFormat="false" ht="31.5" hidden="false" customHeight="true" outlineLevel="0" collapsed="false">
      <c r="B8" s="7" t="s">
        <v>751</v>
      </c>
      <c r="C8" s="7" t="s">
        <v>752</v>
      </c>
      <c r="D8" s="7" t="s">
        <v>707</v>
      </c>
      <c r="E8" s="7" t="s">
        <v>167</v>
      </c>
      <c r="F8" s="49" t="n">
        <v>-226317.522972973</v>
      </c>
      <c r="G8" s="49" t="n">
        <v>-226317.522972973</v>
      </c>
      <c r="H8" s="7" t="s">
        <v>755</v>
      </c>
    </row>
    <row r="9" customFormat="false" ht="31.5" hidden="false" customHeight="true" outlineLevel="0" collapsed="false">
      <c r="B9" s="7" t="s">
        <v>756</v>
      </c>
      <c r="C9" s="7" t="s">
        <v>757</v>
      </c>
      <c r="D9" s="7" t="s">
        <v>758</v>
      </c>
      <c r="E9" s="7" t="s">
        <v>759</v>
      </c>
      <c r="F9" s="49" t="n">
        <v>-2813.16216216216</v>
      </c>
      <c r="G9" s="49" t="n">
        <v>-2813.16216216216</v>
      </c>
      <c r="H9" s="7" t="s">
        <v>760</v>
      </c>
    </row>
    <row r="10" customFormat="false" ht="31.5" hidden="false" customHeight="true" outlineLevel="0" collapsed="false">
      <c r="B10" s="7" t="s">
        <v>761</v>
      </c>
      <c r="C10" s="7" t="s">
        <v>699</v>
      </c>
      <c r="D10" s="7" t="s">
        <v>700</v>
      </c>
      <c r="E10" s="7" t="s">
        <v>662</v>
      </c>
      <c r="F10" s="49" t="n">
        <v>-234812.149459459</v>
      </c>
      <c r="G10" s="49" t="n">
        <v>-499356.962972973</v>
      </c>
      <c r="H10" s="7" t="s">
        <v>762</v>
      </c>
    </row>
    <row r="11" customFormat="false" ht="31.5" hidden="false" customHeight="true" outlineLevel="0" collapsed="false">
      <c r="B11" s="7" t="s">
        <v>761</v>
      </c>
      <c r="C11" s="7" t="s">
        <v>699</v>
      </c>
      <c r="D11" s="7" t="s">
        <v>700</v>
      </c>
      <c r="E11" s="7" t="s">
        <v>167</v>
      </c>
      <c r="F11" s="49" t="n">
        <v>-452635.045945947</v>
      </c>
      <c r="G11" s="49" t="n">
        <v>-304067.525675676</v>
      </c>
      <c r="H11" s="7" t="s">
        <v>762</v>
      </c>
    </row>
    <row r="12" customFormat="false" ht="31.5" hidden="false" customHeight="true" outlineLevel="0" collapsed="false">
      <c r="B12" s="7" t="s">
        <v>763</v>
      </c>
      <c r="C12" s="7" t="s">
        <v>764</v>
      </c>
      <c r="D12" s="7" t="s">
        <v>590</v>
      </c>
      <c r="E12" s="7" t="s">
        <v>674</v>
      </c>
      <c r="F12" s="49" t="n">
        <v>441153.14054054</v>
      </c>
      <c r="G12" s="49" t="n">
        <v>441153.14054054</v>
      </c>
      <c r="H12" s="7" t="s">
        <v>765</v>
      </c>
    </row>
    <row r="13" customFormat="false" ht="31.5" hidden="false" customHeight="true" outlineLevel="0" collapsed="false">
      <c r="B13" s="7" t="s">
        <v>766</v>
      </c>
      <c r="C13" s="7" t="s">
        <v>767</v>
      </c>
      <c r="D13" s="7" t="s">
        <v>768</v>
      </c>
      <c r="E13" s="7" t="s">
        <v>674</v>
      </c>
      <c r="F13" s="49" t="n">
        <v>0</v>
      </c>
      <c r="G13" s="49" t="n">
        <v>171565.113513514</v>
      </c>
      <c r="H13" s="7" t="s">
        <v>769</v>
      </c>
    </row>
    <row r="14" customFormat="false" ht="31.5" hidden="false" customHeight="true" outlineLevel="0" collapsed="false">
      <c r="B14" s="7" t="s">
        <v>770</v>
      </c>
      <c r="C14" s="7" t="s">
        <v>771</v>
      </c>
      <c r="D14" s="7" t="s">
        <v>772</v>
      </c>
      <c r="E14" s="7" t="s">
        <v>753</v>
      </c>
      <c r="F14" s="49" t="n">
        <v>286667.766756757</v>
      </c>
      <c r="G14" s="49" t="n">
        <v>40952.5381081081</v>
      </c>
      <c r="H14" s="7" t="s">
        <v>769</v>
      </c>
    </row>
    <row r="15" customFormat="false" ht="31.5" hidden="false" customHeight="true" outlineLevel="0" collapsed="false">
      <c r="B15" s="7" t="s">
        <v>732</v>
      </c>
      <c r="C15" s="7" t="s">
        <v>773</v>
      </c>
      <c r="D15" s="7" t="s">
        <v>774</v>
      </c>
      <c r="E15" s="7" t="s">
        <v>167</v>
      </c>
      <c r="F15" s="49" t="n">
        <v>0</v>
      </c>
      <c r="G15" s="49" t="n">
        <v>-9217.83891891921</v>
      </c>
      <c r="H15" s="7" t="s">
        <v>167</v>
      </c>
    </row>
    <row r="16" customFormat="false" ht="31.5" hidden="false" customHeight="true" outlineLevel="0" collapsed="false">
      <c r="B16" s="7" t="s">
        <v>775</v>
      </c>
      <c r="C16" s="7" t="s">
        <v>776</v>
      </c>
      <c r="D16" s="7" t="s">
        <v>15</v>
      </c>
      <c r="E16" s="7" t="s">
        <v>167</v>
      </c>
      <c r="F16" s="49"/>
      <c r="G16" s="49"/>
      <c r="H16" s="7" t="s">
        <v>777</v>
      </c>
    </row>
    <row r="17" customFormat="false" ht="31.5" hidden="false" customHeight="true" outlineLevel="0" collapsed="false">
      <c r="B17" s="7" t="s">
        <v>247</v>
      </c>
      <c r="C17" s="7" t="s">
        <v>778</v>
      </c>
      <c r="D17" s="7" t="s">
        <v>722</v>
      </c>
      <c r="E17" s="7" t="s">
        <v>749</v>
      </c>
      <c r="F17" s="49" t="n">
        <v>-18918.9189189198</v>
      </c>
      <c r="G17" s="49" t="n">
        <v>-2702.70270270295</v>
      </c>
      <c r="H17" s="7" t="s">
        <v>779</v>
      </c>
    </row>
    <row r="18" customFormat="false" ht="31.5" hidden="false" customHeight="true" outlineLevel="0" collapsed="false">
      <c r="B18" s="7" t="s">
        <v>780</v>
      </c>
      <c r="C18" s="7" t="s">
        <v>781</v>
      </c>
      <c r="D18" s="7" t="s">
        <v>782</v>
      </c>
      <c r="E18" s="7" t="s">
        <v>662</v>
      </c>
      <c r="F18" s="49" t="n">
        <v>-88146.5310135125</v>
      </c>
      <c r="G18" s="49" t="n">
        <v>-81772.6787567558</v>
      </c>
      <c r="H18" s="7" t="s">
        <v>779</v>
      </c>
    </row>
    <row r="19" customFormat="false" ht="31.5" hidden="false" customHeight="true" outlineLevel="0" collapsed="false">
      <c r="B19" s="7" t="s">
        <v>718</v>
      </c>
      <c r="C19" s="7" t="s">
        <v>783</v>
      </c>
      <c r="D19" s="7" t="s">
        <v>784</v>
      </c>
      <c r="E19" s="7" t="s">
        <v>749</v>
      </c>
      <c r="F19" s="49" t="n">
        <v>-22297.2972972984</v>
      </c>
      <c r="G19" s="49" t="n">
        <v>-22297.2972972984</v>
      </c>
      <c r="H19" s="7" t="s">
        <v>785</v>
      </c>
    </row>
    <row r="20" customFormat="false" ht="31.5" hidden="false" customHeight="true" outlineLevel="0" collapsed="false">
      <c r="B20" s="7" t="s">
        <v>786</v>
      </c>
      <c r="C20" s="7" t="s">
        <v>787</v>
      </c>
      <c r="D20" s="7" t="s">
        <v>788</v>
      </c>
      <c r="E20" s="7" t="s">
        <v>769</v>
      </c>
      <c r="F20" s="49"/>
      <c r="G20" s="49"/>
      <c r="H20" s="7" t="s">
        <v>789</v>
      </c>
    </row>
    <row r="21" customFormat="false" ht="31.5" hidden="false" customHeight="true" outlineLevel="0" collapsed="false">
      <c r="B21" s="7" t="s">
        <v>790</v>
      </c>
      <c r="C21" s="7" t="s">
        <v>791</v>
      </c>
      <c r="D21" s="7" t="s">
        <v>792</v>
      </c>
      <c r="E21" s="7" t="s">
        <v>167</v>
      </c>
      <c r="F21" s="49"/>
      <c r="G21" s="49"/>
      <c r="H21" s="7" t="s">
        <v>793</v>
      </c>
    </row>
    <row r="22" customFormat="false" ht="31.5" hidden="false" customHeight="true" outlineLevel="0" collapsed="false">
      <c r="B22" s="7" t="s">
        <v>794</v>
      </c>
      <c r="C22" s="7" t="s">
        <v>795</v>
      </c>
      <c r="D22" s="7" t="s">
        <v>796</v>
      </c>
      <c r="E22" s="7" t="s">
        <v>759</v>
      </c>
      <c r="F22" s="49"/>
      <c r="G22" s="49"/>
      <c r="H22" s="7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9" min="5" style="0" width="16"/>
    <col collapsed="false" customWidth="true" hidden="false" outlineLevel="0" max="10" min="10" style="0" width="14"/>
    <col collapsed="false" customWidth="true" hidden="false" outlineLevel="0" max="11" min="11" style="0" width="40"/>
  </cols>
  <sheetData>
    <row r="1" customFormat="false" ht="17.35" hidden="false" customHeight="false" outlineLevel="0" collapsed="false">
      <c r="B1" s="1" t="s">
        <v>798</v>
      </c>
    </row>
    <row r="2" customFormat="false" ht="15" hidden="false" customHeight="false" outlineLevel="0" collapsed="false">
      <c r="B2" s="2" t="s">
        <v>799</v>
      </c>
    </row>
    <row r="4" customFormat="false" ht="35.05" hidden="false" customHeight="false" outlineLevel="0" collapsed="false">
      <c r="B4" s="25" t="s">
        <v>800</v>
      </c>
      <c r="C4" s="25" t="s">
        <v>655</v>
      </c>
      <c r="D4" s="25" t="s">
        <v>801</v>
      </c>
      <c r="E4" s="25" t="s">
        <v>802</v>
      </c>
      <c r="F4" s="25" t="s">
        <v>803</v>
      </c>
      <c r="G4" s="25" t="s">
        <v>804</v>
      </c>
      <c r="H4" s="25" t="s">
        <v>805</v>
      </c>
      <c r="I4" s="25" t="s">
        <v>806</v>
      </c>
      <c r="J4" s="25" t="s">
        <v>161</v>
      </c>
      <c r="K4" s="25" t="s">
        <v>215</v>
      </c>
    </row>
    <row r="5" customFormat="false" ht="30" hidden="false" customHeight="true" outlineLevel="0" collapsed="false">
      <c r="B5" s="7" t="s">
        <v>807</v>
      </c>
      <c r="C5" s="7" t="s">
        <v>662</v>
      </c>
      <c r="D5" s="7" t="s">
        <v>808</v>
      </c>
      <c r="E5" s="48" t="n">
        <v>37942.0110810811</v>
      </c>
      <c r="F5" s="49" t="n">
        <v>17472</v>
      </c>
      <c r="G5" s="48" t="n">
        <v>2702.7027027027</v>
      </c>
      <c r="H5" s="48" t="n">
        <v>58116.7137837838</v>
      </c>
      <c r="I5" s="48" t="n">
        <v>76047.4054054054</v>
      </c>
      <c r="J5" s="7" t="s">
        <v>809</v>
      </c>
      <c r="K5" s="7" t="s">
        <v>810</v>
      </c>
    </row>
    <row r="6" customFormat="false" ht="30" hidden="false" customHeight="true" outlineLevel="0" collapsed="false">
      <c r="B6" s="7" t="s">
        <v>807</v>
      </c>
      <c r="C6" s="7" t="s">
        <v>811</v>
      </c>
      <c r="D6" s="7" t="s">
        <v>812</v>
      </c>
      <c r="E6" s="48" t="n">
        <v>48206.4554054054</v>
      </c>
      <c r="F6" s="49" t="n">
        <v>17472</v>
      </c>
      <c r="G6" s="48" t="n">
        <v>2702.7027027027</v>
      </c>
      <c r="H6" s="48" t="n">
        <v>68381.1581081081</v>
      </c>
      <c r="I6" s="48" t="n">
        <v>76047.4054054054</v>
      </c>
      <c r="J6" s="7" t="s">
        <v>809</v>
      </c>
      <c r="K6" s="7" t="s">
        <v>813</v>
      </c>
    </row>
    <row r="7" customFormat="false" ht="30" hidden="false" customHeight="true" outlineLevel="0" collapsed="false">
      <c r="B7" s="7" t="s">
        <v>807</v>
      </c>
      <c r="C7" s="7" t="s">
        <v>167</v>
      </c>
      <c r="D7" s="7" t="s">
        <v>814</v>
      </c>
      <c r="E7" s="48" t="n">
        <v>37900.8113513514</v>
      </c>
      <c r="F7" s="49" t="n">
        <v>17472</v>
      </c>
      <c r="G7" s="48" t="n">
        <v>2702.7027027027</v>
      </c>
      <c r="H7" s="48" t="n">
        <v>58075.5140540541</v>
      </c>
      <c r="I7" s="48" t="n">
        <v>76047.4054054054</v>
      </c>
      <c r="J7" s="7" t="s">
        <v>809</v>
      </c>
      <c r="K7" s="7" t="s">
        <v>810</v>
      </c>
    </row>
    <row r="8" customFormat="false" ht="30" hidden="false" customHeight="true" outlineLevel="0" collapsed="false">
      <c r="B8" s="7" t="s">
        <v>89</v>
      </c>
      <c r="C8" s="7" t="s">
        <v>662</v>
      </c>
      <c r="D8" s="7" t="s">
        <v>815</v>
      </c>
      <c r="E8" s="48" t="n">
        <v>59690.0227027027</v>
      </c>
      <c r="F8" s="49" t="n">
        <v>26208</v>
      </c>
      <c r="G8" s="48" t="n">
        <v>2702.7027027027</v>
      </c>
      <c r="H8" s="48" t="n">
        <v>88600.7254054054</v>
      </c>
      <c r="I8" s="48" t="n">
        <v>99473.8108108108</v>
      </c>
      <c r="J8" s="7" t="s">
        <v>809</v>
      </c>
      <c r="K8" s="7" t="s">
        <v>810</v>
      </c>
    </row>
    <row r="9" customFormat="false" ht="30" hidden="false" customHeight="true" outlineLevel="0" collapsed="false">
      <c r="B9" s="7" t="s">
        <v>89</v>
      </c>
      <c r="C9" s="7" t="s">
        <v>811</v>
      </c>
      <c r="D9" s="7" t="s">
        <v>816</v>
      </c>
      <c r="E9" s="48" t="n">
        <v>82239.1054054054</v>
      </c>
      <c r="F9" s="49" t="n">
        <v>26208</v>
      </c>
      <c r="G9" s="48" t="n">
        <v>2702.7027027027</v>
      </c>
      <c r="H9" s="48" t="n">
        <v>111149.808108108</v>
      </c>
      <c r="I9" s="48" t="n">
        <v>99473.8108108108</v>
      </c>
      <c r="J9" s="7" t="s">
        <v>809</v>
      </c>
      <c r="K9" s="7" t="s">
        <v>813</v>
      </c>
    </row>
    <row r="10" customFormat="false" ht="30" hidden="false" customHeight="true" outlineLevel="0" collapsed="false">
      <c r="B10" s="7" t="s">
        <v>89</v>
      </c>
      <c r="C10" s="7" t="s">
        <v>167</v>
      </c>
      <c r="D10" s="7" t="s">
        <v>817</v>
      </c>
      <c r="E10" s="48" t="n">
        <v>56135.9464864865</v>
      </c>
      <c r="F10" s="49" t="n">
        <v>26208</v>
      </c>
      <c r="G10" s="48" t="n">
        <v>2702.7027027027</v>
      </c>
      <c r="H10" s="48" t="n">
        <v>85046.6491891892</v>
      </c>
      <c r="I10" s="48" t="n">
        <v>99473.8108108108</v>
      </c>
      <c r="J10" s="7" t="s">
        <v>809</v>
      </c>
      <c r="K10" s="7" t="s">
        <v>810</v>
      </c>
    </row>
    <row r="11" customFormat="false" ht="30" hidden="false" customHeight="true" outlineLevel="0" collapsed="false">
      <c r="B11" s="7" t="s">
        <v>90</v>
      </c>
      <c r="C11" s="7" t="s">
        <v>662</v>
      </c>
      <c r="D11" s="7" t="s">
        <v>818</v>
      </c>
      <c r="E11" s="48" t="n">
        <v>64449.4589189189</v>
      </c>
      <c r="F11" s="49" t="n">
        <v>34944</v>
      </c>
      <c r="G11" s="48" t="n">
        <v>2702.7027027027</v>
      </c>
      <c r="H11" s="48" t="n">
        <v>102096.161621622</v>
      </c>
      <c r="I11" s="48" t="n">
        <v>96184.8108108108</v>
      </c>
      <c r="J11" s="7" t="s">
        <v>809</v>
      </c>
      <c r="K11" s="7" t="s">
        <v>810</v>
      </c>
    </row>
    <row r="12" customFormat="false" ht="30" hidden="false" customHeight="true" outlineLevel="0" collapsed="false">
      <c r="B12" s="7" t="s">
        <v>90</v>
      </c>
      <c r="C12" s="7" t="s">
        <v>811</v>
      </c>
      <c r="D12" s="7" t="s">
        <v>819</v>
      </c>
      <c r="E12" s="48" t="n">
        <v>100986.452432432</v>
      </c>
      <c r="F12" s="49" t="n">
        <v>34944</v>
      </c>
      <c r="G12" s="48" t="n">
        <v>2702.7027027027</v>
      </c>
      <c r="H12" s="48" t="n">
        <v>138633.155135135</v>
      </c>
      <c r="I12" s="48" t="n">
        <v>96184.8108108108</v>
      </c>
      <c r="J12" s="7" t="s">
        <v>809</v>
      </c>
      <c r="K12" s="7" t="s">
        <v>813</v>
      </c>
    </row>
    <row r="13" customFormat="false" ht="30" hidden="false" customHeight="true" outlineLevel="0" collapsed="false">
      <c r="B13" s="7" t="s">
        <v>90</v>
      </c>
      <c r="C13" s="7" t="s">
        <v>167</v>
      </c>
      <c r="D13" s="7" t="s">
        <v>820</v>
      </c>
      <c r="E13" s="48" t="n">
        <v>67298.1086486487</v>
      </c>
      <c r="F13" s="49" t="n">
        <v>34944</v>
      </c>
      <c r="G13" s="48" t="n">
        <v>2702.7027027027</v>
      </c>
      <c r="H13" s="48" t="n">
        <v>104944.811351351</v>
      </c>
      <c r="I13" s="48" t="n">
        <v>96184.8108108108</v>
      </c>
      <c r="J13" s="7" t="s">
        <v>809</v>
      </c>
      <c r="K13" s="7" t="s">
        <v>810</v>
      </c>
    </row>
    <row r="14" customFormat="false" ht="30" hidden="false" customHeight="true" outlineLevel="0" collapsed="false">
      <c r="B14" s="7" t="s">
        <v>91</v>
      </c>
      <c r="C14" s="7" t="s">
        <v>662</v>
      </c>
      <c r="D14" s="7" t="s">
        <v>821</v>
      </c>
      <c r="E14" s="48" t="n">
        <v>66611.6210810811</v>
      </c>
      <c r="F14" s="49" t="n">
        <v>40768</v>
      </c>
      <c r="G14" s="48" t="n">
        <v>2702.7027027027</v>
      </c>
      <c r="H14" s="48" t="n">
        <v>110082.323783784</v>
      </c>
      <c r="I14" s="48" t="n">
        <v>110984.810810811</v>
      </c>
      <c r="J14" s="7" t="s">
        <v>809</v>
      </c>
      <c r="K14" s="7" t="s">
        <v>810</v>
      </c>
    </row>
    <row r="15" customFormat="false" ht="30" hidden="false" customHeight="true" outlineLevel="0" collapsed="false">
      <c r="B15" s="7" t="s">
        <v>91</v>
      </c>
      <c r="C15" s="7" t="s">
        <v>811</v>
      </c>
      <c r="D15" s="7" t="s">
        <v>822</v>
      </c>
      <c r="E15" s="48" t="n">
        <v>112108.358918919</v>
      </c>
      <c r="F15" s="49" t="n">
        <v>40768</v>
      </c>
      <c r="G15" s="48" t="n">
        <v>2702.7027027027</v>
      </c>
      <c r="H15" s="48" t="n">
        <v>155579.061621622</v>
      </c>
      <c r="I15" s="48" t="n">
        <v>110984.810810811</v>
      </c>
      <c r="J15" s="7" t="s">
        <v>809</v>
      </c>
      <c r="K15" s="7" t="s">
        <v>813</v>
      </c>
    </row>
    <row r="16" customFormat="false" ht="30" hidden="false" customHeight="true" outlineLevel="0" collapsed="false">
      <c r="B16" s="7" t="s">
        <v>91</v>
      </c>
      <c r="C16" s="7" t="s">
        <v>167</v>
      </c>
      <c r="D16" s="7" t="s">
        <v>823</v>
      </c>
      <c r="E16" s="48" t="n">
        <v>68394.5951351351</v>
      </c>
      <c r="F16" s="49" t="n">
        <v>40768</v>
      </c>
      <c r="G16" s="48" t="n">
        <v>2702.7027027027</v>
      </c>
      <c r="H16" s="48" t="n">
        <v>111865.297837838</v>
      </c>
      <c r="I16" s="48" t="n">
        <v>110984.810810811</v>
      </c>
      <c r="J16" s="7" t="s">
        <v>809</v>
      </c>
      <c r="K16" s="7" t="s">
        <v>810</v>
      </c>
    </row>
    <row r="18" customFormat="false" ht="15" hidden="false" customHeight="false" outlineLevel="0" collapsed="false">
      <c r="B18" s="3" t="s">
        <v>824</v>
      </c>
      <c r="C18" s="3"/>
      <c r="D18" s="3"/>
      <c r="E18" s="3"/>
      <c r="F18" s="3"/>
      <c r="G18" s="3"/>
      <c r="H18" s="3"/>
      <c r="I18" s="3"/>
      <c r="J18" s="3"/>
      <c r="K18" s="3"/>
    </row>
    <row r="19" customFormat="false" ht="23.85" hidden="false" customHeight="false" outlineLevel="0" collapsed="false">
      <c r="B19" s="25" t="s">
        <v>87</v>
      </c>
      <c r="C19" s="25" t="s">
        <v>825</v>
      </c>
    </row>
    <row r="20" customFormat="false" ht="60" hidden="false" customHeight="true" outlineLevel="0" collapsed="false">
      <c r="B20" s="7" t="s">
        <v>286</v>
      </c>
      <c r="C20" s="7" t="s">
        <v>826</v>
      </c>
      <c r="D20" s="7"/>
      <c r="E20" s="7"/>
      <c r="F20" s="7"/>
      <c r="G20" s="7"/>
      <c r="H20" s="7"/>
      <c r="I20" s="7"/>
      <c r="J20" s="7"/>
      <c r="K20" s="7"/>
    </row>
    <row r="21" customFormat="false" ht="60" hidden="false" customHeight="true" outlineLevel="0" collapsed="false">
      <c r="B21" s="7" t="s">
        <v>827</v>
      </c>
      <c r="C21" s="7" t="s">
        <v>828</v>
      </c>
      <c r="D21" s="7"/>
      <c r="E21" s="7"/>
      <c r="F21" s="7"/>
      <c r="G21" s="7"/>
      <c r="H21" s="7"/>
      <c r="I21" s="7"/>
      <c r="J21" s="7"/>
      <c r="K21" s="7"/>
    </row>
    <row r="22" customFormat="false" ht="60" hidden="false" customHeight="true" outlineLevel="0" collapsed="false">
      <c r="B22" s="7" t="s">
        <v>674</v>
      </c>
      <c r="C22" s="7" t="s">
        <v>829</v>
      </c>
      <c r="D22" s="7"/>
      <c r="E22" s="7"/>
      <c r="F22" s="7"/>
      <c r="G22" s="7"/>
      <c r="H22" s="7"/>
      <c r="I22" s="7"/>
      <c r="J22" s="7"/>
      <c r="K22" s="7"/>
    </row>
    <row r="23" customFormat="false" ht="60" hidden="false" customHeight="true" outlineLevel="0" collapsed="false">
      <c r="B23" s="7" t="s">
        <v>167</v>
      </c>
      <c r="C23" s="7" t="s">
        <v>830</v>
      </c>
      <c r="D23" s="7"/>
      <c r="E23" s="7"/>
      <c r="F23" s="7"/>
      <c r="G23" s="7"/>
      <c r="H23" s="7"/>
      <c r="I23" s="7"/>
      <c r="J23" s="7"/>
      <c r="K23" s="7"/>
    </row>
    <row r="24" customFormat="false" ht="60" hidden="false" customHeight="true" outlineLevel="0" collapsed="false">
      <c r="B24" s="7" t="s">
        <v>831</v>
      </c>
      <c r="C24" s="7" t="s">
        <v>832</v>
      </c>
      <c r="D24" s="7"/>
      <c r="E24" s="7"/>
      <c r="F24" s="7"/>
      <c r="G24" s="7"/>
      <c r="H24" s="7"/>
      <c r="I24" s="7"/>
      <c r="J24" s="7"/>
      <c r="K24" s="7"/>
    </row>
    <row r="25" customFormat="false" ht="60" hidden="false" customHeight="true" outlineLevel="0" collapsed="false">
      <c r="B25" s="7" t="s">
        <v>670</v>
      </c>
      <c r="C25" s="7" t="s">
        <v>833</v>
      </c>
      <c r="D25" s="7"/>
      <c r="E25" s="7"/>
      <c r="F25" s="7"/>
      <c r="G25" s="7"/>
      <c r="H25" s="7"/>
      <c r="I25" s="7"/>
      <c r="J25" s="7"/>
      <c r="K25" s="7"/>
    </row>
    <row r="26" customFormat="false" ht="60" hidden="false" customHeight="true" outlineLevel="0" collapsed="false">
      <c r="B26" s="7" t="s">
        <v>834</v>
      </c>
      <c r="C26" s="7" t="s">
        <v>835</v>
      </c>
      <c r="D26" s="7"/>
      <c r="E26" s="7"/>
      <c r="F26" s="7"/>
      <c r="G26" s="7"/>
      <c r="H26" s="7"/>
      <c r="I26" s="7"/>
      <c r="J26" s="7"/>
      <c r="K26" s="7"/>
    </row>
  </sheetData>
  <mergeCells count="8">
    <mergeCell ref="B18:K18"/>
    <mergeCell ref="C20:K20"/>
    <mergeCell ref="C21:K21"/>
    <mergeCell ref="C22:K22"/>
    <mergeCell ref="C23:K23"/>
    <mergeCell ref="C24:K24"/>
    <mergeCell ref="C25:K25"/>
    <mergeCell ref="C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2026-10-12T16:22:18Z</dcterms:created>
  <dc:creator>openpyxl</dc:creator>
  <dc:description/>
  <dc:language>en-US</dc:language>
  <cp:lastModifiedBy/>
  <dcterms:modified xsi:type="dcterms:W3CDTF">2026-10-12T16:22:19Z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