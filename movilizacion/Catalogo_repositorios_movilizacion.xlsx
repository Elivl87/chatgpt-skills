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atalogo" sheetId="2" state="visible" r:id="rId4"/>
    <sheet name="Pila propuesta" sheetId="3" state="visible" r:id="rId5"/>
  </sheets>
  <definedNames>
    <definedName function="false" hidden="true" localSheetId="1" name="_xlnm._FilterDatabase" vbProcedure="false">Catalogo!$A$4:$Q$127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<sst xmlns="http://schemas.openxmlformats.org/spreadsheetml/2006/main" count="1509" uniqueCount="839">
  <si>
    <t xml:space="preserve">Resumen de la búsqueda de repositorios</t>
  </si>
  <si>
    <t xml:space="preserve">Categoría</t>
  </si>
  <si>
    <t xml:space="preserve">Total</t>
  </si>
  <si>
    <t xml:space="preserve">Alta</t>
  </si>
  <si>
    <t xml:space="preserve">Media</t>
  </si>
  <si>
    <t xml:space="preserve">Baja</t>
  </si>
  <si>
    <t xml:space="preserve">En pila</t>
  </si>
  <si>
    <t xml:space="preserve">Excel</t>
  </si>
  <si>
    <t xml:space="preserve">PowerPoint</t>
  </si>
  <si>
    <t xml:space="preserve">Evaluación económica</t>
  </si>
  <si>
    <t xml:space="preserve">Riesgo</t>
  </si>
  <si>
    <t xml:space="preserve">Oil &amp; Gas y logística</t>
  </si>
  <si>
    <t xml:space="preserve">Repositorios únicos</t>
  </si>
  <si>
    <t xml:space="preserve">Nota: un repo puede aparecer en varias categorías; por eso la suma por categoría supera el total único.</t>
  </si>
  <si>
    <t xml:space="preserve">Tus decisiones</t>
  </si>
  <si>
    <t xml:space="preserve">Sí</t>
  </si>
  <si>
    <t xml:space="preserve">No</t>
  </si>
  <si>
    <t xml:space="preserve">Revisar</t>
  </si>
  <si>
    <t xml:space="preserve">Pendientes</t>
  </si>
  <si>
    <t xml:space="preserve">Hallazgos clave</t>
  </si>
  <si>
    <t xml:space="preserve">• No existe en GitHub un modelo listo de 'movilización de taladro: lump sum vs. contratación directa'; se construye a medida con las piezas de la pila.</t>
  </si>
  <si>
    <t xml:space="preserve">• No hay datasets públicos de tarifas de rig move ni de transporte pesado: tarifas y duraciones deben venir de tus datos (facturas, DDR, cotizaciones).</t>
  </si>
  <si>
    <t xml:space="preserve">• Varios repos de dominio (RigGo, Well-Costing, Chaimurat) no tienen licencia: se usa solo su estructura como referencia, no su código.</t>
  </si>
  <si>
    <t xml:space="preserve">• Las skills xlsx y pptx de Claude ya están disponibles en esta sesión; LibreOffice permite recalcular y revisar visualmente.</t>
  </si>
  <si>
    <t xml:space="preserve">• XLRisk permitiría que tú mismo corras Monte Carlo dentro de tu Excel de escritorio (Windows/Mac).</t>
  </si>
  <si>
    <t xml:space="preserve">Catálogo de repositorios GitHub – Evaluación de movilización (lump sum vs. tercerizado)</t>
  </si>
  <si>
    <t xml:space="preserve">Edita solo las columnas amarillas (Tu decisión: Sí / No / Revisar; Comentarios). Fuente: 5 agentes buscadores, 12-oct-2026; estrellas y fechas verificadas en GitHub/PyPI.</t>
  </si>
  <si>
    <t xml:space="preserve">ID</t>
  </si>
  <si>
    <t xml:space="preserve">Repositorio</t>
  </si>
  <si>
    <t xml:space="preserve">URL</t>
  </si>
  <si>
    <t xml:space="preserve">Categoría(s)</t>
  </si>
  <si>
    <t xml:space="preserve">Lenguaje</t>
  </si>
  <si>
    <t xml:space="preserve">Estrellas</t>
  </si>
  <si>
    <t xml:space="preserve">Última actividad</t>
  </si>
  <si>
    <t xml:space="preserve">Licencia</t>
  </si>
  <si>
    <t xml:space="preserve">Qué hace</t>
  </si>
  <si>
    <t xml:space="preserve">Cómo ayuda a la evaluación</t>
  </si>
  <si>
    <t xml:space="preserve">Prioridad</t>
  </si>
  <si>
    <t xml:space="preserve">En pila propuesta</t>
  </si>
  <si>
    <t xml:space="preserve">Capa (propuesta)</t>
  </si>
  <si>
    <t xml:space="preserve">Rol en la pila</t>
  </si>
  <si>
    <t xml:space="preserve">Nota</t>
  </si>
  <si>
    <t xml:space="preserve">Tu decisión</t>
  </si>
  <si>
    <t xml:space="preserve">Comentarios</t>
  </si>
  <si>
    <t xml:space="preserve">NLRWindSystems/LandBOSSE</t>
  </si>
  <si>
    <t xml:space="preserve">https://github.com/NLRWindSystems/LandBOSSE</t>
  </si>
  <si>
    <t xml:space="preserve">Python</t>
  </si>
  <si>
    <t xml:space="preserve">~17</t>
  </si>
  <si>
    <t xml:space="preserve">2026-07-28</t>
  </si>
  <si>
    <t xml:space="preserve">Apache-2.0</t>
  </si>
  <si>
    <t xml:space="preserve">Costos BOS eólicos: transporte, grúas, gestión, demoras por clima</t>
  </si>
  <si>
    <t xml:space="preserve">Análogo más cercano a mover equipo pesado; estructura de rubros de B</t>
  </si>
  <si>
    <t xml:space="preserve">3. Evaluación económica</t>
  </si>
  <si>
    <t xml:space="preserve">Referencia de rubros: transporte, grúas, gestión, demoras por clima</t>
  </si>
  <si>
    <t xml:space="preserve">numpy/numpy-financial</t>
  </si>
  <si>
    <t xml:space="preserve">https://github.com/numpy/numpy-financial</t>
  </si>
  <si>
    <t xml:space="preserve">~411</t>
  </si>
  <si>
    <t xml:space="preserve">2026-10-05</t>
  </si>
  <si>
    <t xml:space="preserve">BSD-3</t>
  </si>
  <si>
    <t xml:space="preserve">npv, irr, pmt estilo Excel</t>
  </si>
  <si>
    <t xml:space="preserve">Verificar VPN/TIR del Excel (ojo convención t=0 vs t=1)</t>
  </si>
  <si>
    <t xml:space="preserve">Verificar VPN/TIR si se usan flujos en el tiempo</t>
  </si>
  <si>
    <t xml:space="preserve">PhilipGriffith/AHPy</t>
  </si>
  <si>
    <t xml:space="preserve">https://github.com/PhilipGriffith/AHPy</t>
  </si>
  <si>
    <t xml:space="preserve">~154</t>
  </si>
  <si>
    <t xml:space="preserve">2025-09-18</t>
  </si>
  <si>
    <t xml:space="preserve">MIT</t>
  </si>
  <si>
    <t xml:space="preserve">AHP con razón de consistencia</t>
  </si>
  <si>
    <t xml:space="preserve">Pesos de criterios cualitativos (control, HSE, responsabilidad)</t>
  </si>
  <si>
    <t xml:space="preserve">Pesos de criterios cualitativos con consistencia (se replica en Excel)</t>
  </si>
  <si>
    <t xml:space="preserve">SilverDecisions/SilverDecisions</t>
  </si>
  <si>
    <t xml:space="preserve">https://github.com/SilverDecisions/SilverDecisions</t>
  </si>
  <si>
    <t xml:space="preserve">JavaScript</t>
  </si>
  <si>
    <t xml:space="preserve">~139</t>
  </si>
  <si>
    <t xml:space="preserve">2023-03-04</t>
  </si>
  <si>
    <t xml:space="preserve">LGPL-3.0</t>
  </si>
  <si>
    <t xml:space="preserve">Árboles de decisión con valor esperado y sensibilidad</t>
  </si>
  <si>
    <t xml:space="preserve">Árbol A vs B con ramas de demora; gráfico para PPT</t>
  </si>
  <si>
    <t xml:space="preserve">Valdecy/pyDecision</t>
  </si>
  <si>
    <t xml:space="preserve">https://github.com/Valdecy/pyDecision</t>
  </si>
  <si>
    <t xml:space="preserve">~366</t>
  </si>
  <si>
    <t xml:space="preserve">2026-06-03</t>
  </si>
  <si>
    <t xml:space="preserve">Otra (ver LICENSE)</t>
  </si>
  <si>
    <t xml:space="preserve">MCDA: AHP, TOPSIS, ELECTRE, PROMETHEE</t>
  </si>
  <si>
    <t xml:space="preserve">Robustez del ranking A vs B</t>
  </si>
  <si>
    <t xml:space="preserve">Revisar licencia</t>
  </si>
  <si>
    <t xml:space="preserve">anthropics/financial-services</t>
  </si>
  <si>
    <t xml:space="preserve">https://github.com/anthropics/financial-services</t>
  </si>
  <si>
    <t xml:space="preserve">Excel; PowerPoint</t>
  </si>
  <si>
    <t xml:space="preserve">Markdown/YAML/Python</t>
  </si>
  <si>
    <t xml:space="preserve">~39.4k</t>
  </si>
  <si>
    <t xml:space="preserve">no visible</t>
  </si>
  <si>
    <t xml:space="preserve">Skills financieras: audit-xls, xlsx-author, DCF/3 estados</t>
  </si>
  <si>
    <t xml:space="preserve">Checklist de auditoría y convenciones (insumos vs cálculos, sin valores fijos) | Buenas prácticas de modelo y deck</t>
  </si>
  <si>
    <t xml:space="preserve">2. Validar el Excel</t>
  </si>
  <si>
    <t xml:space="preserve">Checklist de auditoría (audit-xls) y convenciones de modelado</t>
  </si>
  <si>
    <t xml:space="preserve">anthropics/skills (xlsx/recalc.py)</t>
  </si>
  <si>
    <t xml:space="preserve">https://github.com/anthropics/skills/tree/main/skills/xlsx</t>
  </si>
  <si>
    <t xml:space="preserve">~181k (repo)</t>
  </si>
  <si>
    <t xml:space="preserve">Source-available</t>
  </si>
  <si>
    <t xml:space="preserve">Recalcula con LibreOffice headless y reporta en JSON los errores de fórmula</t>
  </si>
  <si>
    <t xml:space="preserve">QA automático: valores en caché y cero errores antes de entregar</t>
  </si>
  <si>
    <t xml:space="preserve">Recalcular con LibreOffice y garantizar cero errores (ya disponible)</t>
  </si>
  <si>
    <t xml:space="preserve">jmcnamara/XlsxWriter</t>
  </si>
  <si>
    <t xml:space="preserve">https://github.com/jmcnamara/XlsxWriter</t>
  </si>
  <si>
    <t xml:space="preserve">~4.0k</t>
  </si>
  <si>
    <t xml:space="preserve">2025-09-16 (PyPI 3.2.9)</t>
  </si>
  <si>
    <t xml:space="preserve">BSD-2-Clause</t>
  </si>
  <si>
    <t xml:space="preserve">Crea .xlsx con fórmulas, nombres, validación, formato condicional, gráficos nativos, tablas, protección</t>
  </si>
  <si>
    <t xml:space="preserve">Genera el libro desde cero: supuestos con listas, cálculos A vs B con fórmulas vivas, tornado/cascada, semáforos</t>
  </si>
  <si>
    <t xml:space="preserve">1. Construir el Excel</t>
  </si>
  <si>
    <t xml:space="preserve">Escribir el libro con fórmulas vivas, nombres, validaciones y gráficos nativos</t>
  </si>
  <si>
    <t xml:space="preserve">openpyxl</t>
  </si>
  <si>
    <t xml:space="preserve">https://foss.heptapod.net/openpyxl/openpyxl</t>
  </si>
  <si>
    <t xml:space="preserve">n/d</t>
  </si>
  <si>
    <t xml:space="preserve">2024-06-28 (PyPI 3.1.5)</t>
  </si>
  <si>
    <t xml:space="preserve">Lee/escribe xlsx con fórmulas, nombres, validación, gráficos; edita libros existentes</t>
  </si>
  <si>
    <t xml:space="preserve">Releer y verificar el libro generado; editarlo después; base de recalc.py</t>
  </si>
  <si>
    <t xml:space="preserve">Releer, verificar y editar el libro (ya instalado)</t>
  </si>
  <si>
    <t xml:space="preserve">No está en GitHub; confirmado en PyPI</t>
  </si>
  <si>
    <t xml:space="preserve">SALib/SALib</t>
  </si>
  <si>
    <t xml:space="preserve">https://github.com/SALib/SALib</t>
  </si>
  <si>
    <t xml:space="preserve">Excel; Riesgo</t>
  </si>
  <si>
    <t xml:space="preserve">~1.0k</t>
  </si>
  <si>
    <t xml:space="preserve">2026-09-19 (PyPI 1.6.0)</t>
  </si>
  <si>
    <t xml:space="preserve">Sensibilidad global (Sobol, Morris, FAST)</t>
  </si>
  <si>
    <t xml:space="preserve">Qué supuestos pesan más en la diferencia A−B | Variable que domina A vs B; alimenta tornado</t>
  </si>
  <si>
    <t xml:space="preserve">4. Riesgo y sensibilidad</t>
  </si>
  <si>
    <t xml:space="preserve">Ranking de variables que mueven la diferencia A − B</t>
  </si>
  <si>
    <t xml:space="preserve">También en Riesgo</t>
  </si>
  <si>
    <t xml:space="preserve">scanny/python-pptx</t>
  </si>
  <si>
    <t xml:space="preserve">https://github.com/scanny/python-pptx</t>
  </si>
  <si>
    <t xml:space="preserve">~3.6k</t>
  </si>
  <si>
    <t xml:space="preserve">2024-08-07 (PyPI 1.0.2)</t>
  </si>
  <si>
    <t xml:space="preserve">Crea PowerPoint con gráficos nativos, tablas, texto</t>
  </si>
  <si>
    <t xml:space="preserve">Presentación con gráficos editables alimentados por el modelo | Motor del deck con gráficos editables sobre plantilla corporativa</t>
  </si>
  <si>
    <t xml:space="preserve">5. Presentación</t>
  </si>
  <si>
    <t xml:space="preserve">Generar el deck con gráficos nativos editables</t>
  </si>
  <si>
    <t xml:space="preserve">También en PowerPoint</t>
  </si>
  <si>
    <t xml:space="preserve">scottshambaugh/monaco</t>
  </si>
  <si>
    <t xml:space="preserve">https://github.com/scottshambaugh/monaco</t>
  </si>
  <si>
    <t xml:space="preserve">~157</t>
  </si>
  <si>
    <t xml:space="preserve">2026-06-19 (PyPI 0.21.0)</t>
  </si>
  <si>
    <t xml:space="preserve">Monte Carlo para incertidumbre y sensibilidades</t>
  </si>
  <si>
    <t xml:space="preserve">P10/P50/P90 de demoras y sobrecostos de B | Motor Python para costo y plazo; percentiles</t>
  </si>
  <si>
    <t xml:space="preserve">Monte Carlo de costo y plazo: P10/P50/P90 y P(B &lt; A)</t>
  </si>
  <si>
    <t xml:space="preserve">vinci1it2000/formulas</t>
  </si>
  <si>
    <t xml:space="preserve">https://github.com/vinci1it2000/formulas</t>
  </si>
  <si>
    <t xml:space="preserve">~501</t>
  </si>
  <si>
    <t xml:space="preserve">2026-03-11 (PyPI 1.3.4)</t>
  </si>
  <si>
    <t xml:space="preserve">EUPL-1.1+</t>
  </si>
  <si>
    <t xml:space="preserve">Interpreta fórmulas Excel y ejecuta libros completos sin Excel</t>
  </si>
  <si>
    <t xml:space="preserve">Recalcular el modelo en Linux y correr escenarios cambiando entradas</t>
  </si>
  <si>
    <t xml:space="preserve">Segundo motor: recalcular sin Excel y probar celdas clave</t>
  </si>
  <si>
    <t xml:space="preserve">Chaimurat/exploration-campaign-optimizer</t>
  </si>
  <si>
    <t xml:space="preserve">https://github.com/Chaimurat/exploration-campaign-optimizer</t>
  </si>
  <si>
    <t xml:space="preserve">Python (OR-Tools)</t>
  </si>
  <si>
    <t xml:space="preserve">0</t>
  </si>
  <si>
    <t xml:space="preserve">2026-10-07</t>
  </si>
  <si>
    <t xml:space="preserve">Sin licencia</t>
  </si>
  <si>
    <t xml:space="preserve">Campaña de 20 pozos con 3 taladros y tiempos de movilización por secuencia</t>
  </si>
  <si>
    <t xml:space="preserve">Rig move como días no productivos según distancia; justifica standby</t>
  </si>
  <si>
    <t xml:space="preserve">juansecorreapaez/RigGo</t>
  </si>
  <si>
    <t xml:space="preserve">https://github.com/juansecorreapaez/RigGo</t>
  </si>
  <si>
    <t xml:space="preserve">JS/HTML (PWA + Supabase)</t>
  </si>
  <si>
    <t xml:space="preserve">2026-10-02</t>
  </si>
  <si>
    <t xml:space="preserve">Planea y ejecuta rig moves: plan desde Excel, cargas, flat time, plan vs real</t>
  </si>
  <si>
    <t xml:space="preserve">Plantilla Excel en español (Rig Down / Transporte / Rig Up) para el inventario de cargas de B</t>
  </si>
  <si>
    <t xml:space="preserve">Estructura del inventario de cargas (solo estructura; sin licencia)</t>
  </si>
  <si>
    <t xml:space="preserve">Replicar estructura, no copiar código</t>
  </si>
  <si>
    <t xml:space="preserve">praveen-christuraj/Well-Costing</t>
  </si>
  <si>
    <t xml:space="preserve">https://github.com/praveen-christuraj/Well-Costing</t>
  </si>
  <si>
    <t xml:space="preserve">Python + Vue</t>
  </si>
  <si>
    <t xml:space="preserve">1</t>
  </si>
  <si>
    <t xml:space="preserve">2026-08-31</t>
  </si>
  <si>
    <t xml:space="preserve">AFE, costo diario, AFE vs real; rate card hora/día/único</t>
  </si>
  <si>
    <t xml:space="preserve">Estructura de líneas de costo A vs B</t>
  </si>
  <si>
    <t xml:space="preserve">Estructura de rate card hora/día/único (solo estructura; sin licencia)</t>
  </si>
  <si>
    <t xml:space="preserve">samarioexplorer/Guyana_Offshore_Drilling_Analytics</t>
  </si>
  <si>
    <t xml:space="preserve">https://github.com/samarioexplorer/Guyana_Offshore_Drilling_Analytics</t>
  </si>
  <si>
    <t xml:space="preserve">Python + SQL + Power BI</t>
  </si>
  <si>
    <t xml:space="preserve">NPT, KPIs e impacto económico</t>
  </si>
  <si>
    <t xml:space="preserve">Costo taladro = horas × tarifa/24 + producción diferida</t>
  </si>
  <si>
    <t xml:space="preserve">anthropics/skills</t>
  </si>
  <si>
    <t xml:space="preserve">https://github.com/anthropics/skills</t>
  </si>
  <si>
    <t xml:space="preserve">Markdown/Python</t>
  </si>
  <si>
    <t xml:space="preserve">~180k</t>
  </si>
  <si>
    <t xml:space="preserve">2026-10-09</t>
  </si>
  <si>
    <t xml:space="preserve">Mixta (pptx/xlsx source-available)</t>
  </si>
  <si>
    <t xml:space="preserve">Skills oficiales de Claude (pptx, xlsx)</t>
  </si>
  <si>
    <t xml:space="preserve">Cómo Claude crea y valida pptx/xlsx</t>
  </si>
  <si>
    <t xml:space="preserve">Skill pptx de Claude: creación y QA visual (ya disponible)</t>
  </si>
  <si>
    <t xml:space="preserve">Ya disponibles en esta sesión</t>
  </si>
  <si>
    <t xml:space="preserve">Belval/pdf2image</t>
  </si>
  <si>
    <t xml:space="preserve">https://github.com/Belval/pdf2image</t>
  </si>
  <si>
    <t xml:space="preserve">~2.0k</t>
  </si>
  <si>
    <t xml:space="preserve">2024-01-07</t>
  </si>
  <si>
    <t xml:space="preserve">PDF a imágenes</t>
  </si>
  <si>
    <t xml:space="preserve">QA visual por diapositiva</t>
  </si>
  <si>
    <t xml:space="preserve">6. Control de calidad</t>
  </si>
  <si>
    <t xml:space="preserve">PDF a imágenes para revisar cada diapositiva</t>
  </si>
  <si>
    <t xml:space="preserve">LibreOffice/core</t>
  </si>
  <si>
    <t xml:space="preserve">https://github.com/LibreOffice/core</t>
  </si>
  <si>
    <t xml:space="preserve">C++</t>
  </si>
  <si>
    <t xml:space="preserve">~4.5k</t>
  </si>
  <si>
    <t xml:space="preserve">2026-10-11</t>
  </si>
  <si>
    <t xml:space="preserve">GPL/LGPL/MPL</t>
  </si>
  <si>
    <t xml:space="preserve">soffice headless: pptx/xlsx a PDF, recálculo</t>
  </si>
  <si>
    <t xml:space="preserve">QA: render del deck y recálculo del Excel</t>
  </si>
  <si>
    <t xml:space="preserve">Convertir pptx/xlsx a PDF para revisión</t>
  </si>
  <si>
    <t xml:space="preserve">likaku/Mck-ppt-design-skill</t>
  </si>
  <si>
    <t xml:space="preserve">https://github.com/likaku/Mck-ppt-design-skill</t>
  </si>
  <si>
    <t xml:space="preserve">~299</t>
  </si>
  <si>
    <t xml:space="preserve">2026-05-10</t>
  </si>
  <si>
    <t xml:space="preserve">Sistema de diseño estilo consultora (~70 layouts)</t>
  </si>
  <si>
    <t xml:space="preserve">Resumen ejecutivo, comparativas, titulares de acción</t>
  </si>
  <si>
    <t xml:space="preserve">Patrones de diseño estilo consultora para gerencia</t>
  </si>
  <si>
    <t xml:space="preserve">matplotlib/matplotlib</t>
  </si>
  <si>
    <t xml:space="preserve">https://github.com/matplotlib/matplotlib</t>
  </si>
  <si>
    <t xml:space="preserve">~23.4k</t>
  </si>
  <si>
    <t xml:space="preserve">2026-09-11 (PyPI)</t>
  </si>
  <si>
    <t xml:space="preserve">Matplotlib (PSF)</t>
  </si>
  <si>
    <t xml:space="preserve">Gráficos estáticos</t>
  </si>
  <si>
    <t xml:space="preserve">Matriz 5×5, histograma P10/P50/P90, tornado en PNG</t>
  </si>
  <si>
    <t xml:space="preserve">Matriz de riesgos 5×5 e histogramas como imagen</t>
  </si>
  <si>
    <t xml:space="preserve">Netflix-Skunkworks/riskquant</t>
  </si>
  <si>
    <t xml:space="preserve">https://github.com/Netflix-Skunkworks/riskquant</t>
  </si>
  <si>
    <t xml:space="preserve">653</t>
  </si>
  <si>
    <t xml:space="preserve">2025-03-11 (commit)</t>
  </si>
  <si>
    <t xml:space="preserve">Pérdida esperada y curvas de excedencia desde CSV (lognormal/PERT)</t>
  </si>
  <si>
    <t xml:space="preserve">Registro de riesgos de B en dinero</t>
  </si>
  <si>
    <t xml:space="preserve">Patrón para convertir el registro de riesgos en dinero</t>
  </si>
  <si>
    <t xml:space="preserve">pyscripter/XLRisk</t>
  </si>
  <si>
    <t xml:space="preserve">https://github.com/pyscripter/XLRisk</t>
  </si>
  <si>
    <t xml:space="preserve">VBA (complemento Excel)</t>
  </si>
  <si>
    <t xml:space="preserve">147</t>
  </si>
  <si>
    <t xml:space="preserve">2025-03-19 (commit)</t>
  </si>
  <si>
    <t xml:space="preserve">Monte Carlo gratuito en Excel (Win/Mac), Latin Hypercube, correlación Iman-Conover, gráficos</t>
  </si>
  <si>
    <t xml:space="preserve">Monte Carlo dentro del Excel con fórmulas vivas: P10/P50/P90 de A vs B</t>
  </si>
  <si>
    <t xml:space="preserve">Opcional: que tú corras el Monte Carlo dentro de tu Excel de escritorio</t>
  </si>
  <si>
    <t xml:space="preserve">Requiere Excel de escritorio</t>
  </si>
  <si>
    <t xml:space="preserve">Anexen/pyxirr</t>
  </si>
  <si>
    <t xml:space="preserve">https://github.com/Anexen/pyxirr</t>
  </si>
  <si>
    <t xml:space="preserve">Rust/Python</t>
  </si>
  <si>
    <t xml:space="preserve">~221</t>
  </si>
  <si>
    <t xml:space="preserve">2025-11-03</t>
  </si>
  <si>
    <t xml:space="preserve">Unlicense</t>
  </si>
  <si>
    <t xml:space="preserve">XIRR/XNPV con fechas irregulares</t>
  </si>
  <si>
    <t xml:space="preserve">Flujos con fechas reales de movilización</t>
  </si>
  <si>
    <t xml:space="preserve">daniel-fink/rangekeeper</t>
  </si>
  <si>
    <t xml:space="preserve">https://github.com/daniel-fink/rangekeeper</t>
  </si>
  <si>
    <t xml:space="preserve">Jupyter</t>
  </si>
  <si>
    <t xml:space="preserve">~45</t>
  </si>
  <si>
    <t xml:space="preserve">2026-10-03</t>
  </si>
  <si>
    <t xml:space="preserve">MPL-2.0</t>
  </si>
  <si>
    <t xml:space="preserve">Modelado financiero con escenarios</t>
  </si>
  <si>
    <t xml:space="preserve">Estructura base/optimista/pesimista</t>
  </si>
  <si>
    <t xml:space="preserve">eikeluedeling/decisionSupport</t>
  </si>
  <si>
    <t xml:space="preserve">https://github.com/eikeluedeling/decisionSupport</t>
  </si>
  <si>
    <t xml:space="preserve">R</t>
  </si>
  <si>
    <t xml:space="preserve">~6</t>
  </si>
  <si>
    <t xml:space="preserve">2026-02-27</t>
  </si>
  <si>
    <t xml:space="preserve">no declarada</t>
  </si>
  <si>
    <t xml:space="preserve">Análisis de decisiones con Monte Carlo y VOI</t>
  </si>
  <si>
    <t xml:space="preserve">Valor de reducir la incertidumbre de demoras</t>
  </si>
  <si>
    <t xml:space="preserve">NLRWindSystems/ORBIT</t>
  </si>
  <si>
    <t xml:space="preserve">https://github.com/NLRWindSystems/ORBIT</t>
  </si>
  <si>
    <t xml:space="preserve">~23</t>
  </si>
  <si>
    <t xml:space="preserve">2026-05-07</t>
  </si>
  <si>
    <t xml:space="preserve">Instalación offshore: tarifa diaria, logística, clima</t>
  </si>
  <si>
    <t xml:space="preserve">Patrón tarifa diaria × tiempo + demoras</t>
  </si>
  <si>
    <t xml:space="preserve">pbtamarona/OpenPyTEA</t>
  </si>
  <si>
    <t xml:space="preserve">https://github.com/pbtamarona/OpenPyTEA</t>
  </si>
  <si>
    <t xml:space="preserve">~37</t>
  </si>
  <si>
    <t xml:space="preserve">2026-10-08</t>
  </si>
  <si>
    <t xml:space="preserve">Evaluación tecno-económica con tornado y Monte Carlo</t>
  </si>
  <si>
    <t xml:space="preserve">Plantilla de encadenamiento costos → riesgo</t>
  </si>
  <si>
    <t xml:space="preserve">quatrope/scikit-criteria</t>
  </si>
  <si>
    <t xml:space="preserve">https://github.com/quatrope/scikit-criteria</t>
  </si>
  <si>
    <t xml:space="preserve">~105</t>
  </si>
  <si>
    <t xml:space="preserve">2026-09-01</t>
  </si>
  <si>
    <t xml:space="preserve">MCDA sobre pandas</t>
  </si>
  <si>
    <t xml:space="preserve">Matriz de decisión auditable</t>
  </si>
  <si>
    <t xml:space="preserve">bradbase/xlcalculator</t>
  </si>
  <si>
    <t xml:space="preserve">https://github.com/bradbase/xlcalculator</t>
  </si>
  <si>
    <t xml:space="preserve">~163</t>
  </si>
  <si>
    <t xml:space="preserve">2023-02-06 (PyPI 0.5.0)</t>
  </si>
  <si>
    <t xml:space="preserve">Traduce y evalúa fórmulas Excel; nombres definidos</t>
  </si>
  <si>
    <t xml:space="preserve">Verificador ligero para pruebas unitarias del modelo</t>
  </si>
  <si>
    <t xml:space="preserve">dgorissen/pycel</t>
  </si>
  <si>
    <t xml:space="preserve">https://github.com/dgorissen/pycel</t>
  </si>
  <si>
    <t xml:space="preserve">~632</t>
  </si>
  <si>
    <t xml:space="preserve">2021-10-13 (PyPI 1.0b30)</t>
  </si>
  <si>
    <t xml:space="preserve">GPL-3.0</t>
  </si>
  <si>
    <t xml:space="preserve">Compila hojas de Excel a Python; grafo de dependencias</t>
  </si>
  <si>
    <t xml:space="preserve">Alternativa a formulas; auditoría por grafo</t>
  </si>
  <si>
    <t xml:space="preserve">ironcalc/IronCalc</t>
  </si>
  <si>
    <t xml:space="preserve">https://github.com/ironcalc/IronCalc</t>
  </si>
  <si>
    <t xml:space="preserve">Rust (+Python)</t>
  </si>
  <si>
    <t xml:space="preserve">~4.2k</t>
  </si>
  <si>
    <t xml:space="preserve">2026-07-31 (PyPI 0.8.3)</t>
  </si>
  <si>
    <t xml:space="preserve">MIT/Apache-2.0</t>
  </si>
  <si>
    <t xml:space="preserve">Motor de hojas de cálculo que lee, calcula y escribe xlsx</t>
  </si>
  <si>
    <t xml:space="preserve">Tercer motor para validar fórmulas</t>
  </si>
  <si>
    <t xml:space="preserve">na-ka-na/ExcelCompare</t>
  </si>
  <si>
    <t xml:space="preserve">https://github.com/na-ka-na/ExcelCompare</t>
  </si>
  <si>
    <t xml:space="preserve">Java</t>
  </si>
  <si>
    <t xml:space="preserve">~860</t>
  </si>
  <si>
    <t xml:space="preserve">Compara celda por celda dos hojas de cálculo</t>
  </si>
  <si>
    <t xml:space="preserve">Regresión entre versiones del modelo</t>
  </si>
  <si>
    <t xml:space="preserve">unoconv/unoserver</t>
  </si>
  <si>
    <t xml:space="preserve">https://github.com/unoconv/unoserver</t>
  </si>
  <si>
    <t xml:space="preserve">~939</t>
  </si>
  <si>
    <t xml:space="preserve">LibreOffice como servidor de conversión UNO</t>
  </si>
  <si>
    <t xml:space="preserve">Recalcular/convertir xlsx→pdf | Conversiones más estables en iteraciones</t>
  </si>
  <si>
    <t xml:space="preserve">chinmoypaul8897/drillscribe</t>
  </si>
  <si>
    <t xml:space="preserve">https://github.com/chinmoypaul8897/drillscribe</t>
  </si>
  <si>
    <t xml:space="preserve">2026-08-08</t>
  </si>
  <si>
    <t xml:space="preserve">MIT (datos CC-BY)</t>
  </si>
  <si>
    <t xml:space="preserve">NLP de reportes diarios (DDR) a libro de NPT</t>
  </si>
  <si>
    <t xml:space="preserve">Extraer duraciones históricas de moves de los DDR</t>
  </si>
  <si>
    <t xml:space="preserve">hzjken/multimodal-transportation-optimization</t>
  </si>
  <si>
    <t xml:space="preserve">https://github.com/hzjken/multimodal-transportation-optimization</t>
  </si>
  <si>
    <t xml:space="preserve">Python (docplex)</t>
  </si>
  <si>
    <t xml:space="preserve">298</t>
  </si>
  <si>
    <t xml:space="preserve">2020-02-27</t>
  </si>
  <si>
    <t xml:space="preserve">Minimización de costo de transporte con PE</t>
  </si>
  <si>
    <t xml:space="preserve">Costo fijo por viaje + distancia + tiempo</t>
  </si>
  <si>
    <t xml:space="preserve">moheavyai/truckeros</t>
  </si>
  <si>
    <t xml:space="preserve">https://github.com/moheavyai/truckeros</t>
  </si>
  <si>
    <t xml:space="preserve">TypeScript + OR-Tools</t>
  </si>
  <si>
    <t xml:space="preserve">2026-09-02</t>
  </si>
  <si>
    <t xml:space="preserve">Private en README</t>
  </si>
  <si>
    <t xml:space="preserve">Permisos para carga extradimensionada: corredores, escoltas, ejes</t>
  </si>
  <si>
    <t xml:space="preserve">Checklist de rubros de B (permisos, escoltas)</t>
  </si>
  <si>
    <t xml:space="preserve">Normativa EE. UU.</t>
  </si>
  <si>
    <t xml:space="preserve">NatLabRockies/T3CO</t>
  </si>
  <si>
    <t xml:space="preserve">https://github.com/NatLabRockies/T3CO</t>
  </si>
  <si>
    <t xml:space="preserve">17</t>
  </si>
  <si>
    <t xml:space="preserve">2026-09-30</t>
  </si>
  <si>
    <t xml:space="preserve">TCO de vehículos comerciales (NREL)</t>
  </si>
  <si>
    <t xml:space="preserve">Costo por km de tractomula/cama baja vs tarifas</t>
  </si>
  <si>
    <t xml:space="preserve">PyVRP/PyVRP</t>
  </si>
  <si>
    <t xml:space="preserve">https://github.com/PyVRP/PyVRP</t>
  </si>
  <si>
    <t xml:space="preserve">Python/C++</t>
  </si>
  <si>
    <t xml:space="preserve">710</t>
  </si>
  <si>
    <t xml:space="preserve">Ruteo de vehículos con capacidades y ventanas</t>
  </si>
  <si>
    <t xml:space="preserve">Opcional: dimensionar flota de B</t>
  </si>
  <si>
    <t xml:space="preserve">shivanireddyk/tcokit</t>
  </si>
  <si>
    <t xml:space="preserve">https://github.com/shivanireddyk/tcokit</t>
  </si>
  <si>
    <t xml:space="preserve">2026-08-19</t>
  </si>
  <si>
    <t xml:space="preserve">TCO de camiones pesados con escenario Colombia</t>
  </si>
  <si>
    <t xml:space="preserve">Costo por distancia adaptable a COP/km</t>
  </si>
  <si>
    <t xml:space="preserve">son-n-pham/drillcost</t>
  </si>
  <si>
    <t xml:space="preserve">https://github.com/son-n-pham/drillcost</t>
  </si>
  <si>
    <t xml:space="preserve">TypeScript/React</t>
  </si>
  <si>
    <t xml:space="preserve">2026-08-25</t>
  </si>
  <si>
    <t xml:space="preserve">Comparación de escenarios de costo de perforación</t>
  </si>
  <si>
    <t xml:space="preserve">Patrón de lámina A vs B lado a lado</t>
  </si>
  <si>
    <t xml:space="preserve">gitbrent/PptxGenJS</t>
  </si>
  <si>
    <t xml:space="preserve">https://github.com/gitbrent/PptxGenJS</t>
  </si>
  <si>
    <t xml:space="preserve">JavaScript/TypeScript</t>
  </si>
  <si>
    <t xml:space="preserve">~6.3k</t>
  </si>
  <si>
    <t xml:space="preserve">2025-06-26 (commit)</t>
  </si>
  <si>
    <t xml:space="preserve">PowerPoint con JS/Node, gráficos nativos, masters</t>
  </si>
  <si>
    <t xml:space="preserve">Alternativa Node con API de gráficos más rica</t>
  </si>
  <si>
    <t xml:space="preserve">m3dev/pptx-template</t>
  </si>
  <si>
    <t xml:space="preserve">https://github.com/m3dev/pptx-template</t>
  </si>
  <si>
    <t xml:space="preserve">~119</t>
  </si>
  <si>
    <t xml:space="preserve">2025-12-26</t>
  </si>
  <si>
    <t xml:space="preserve">pptx desde plantilla + datos JSON/CSV</t>
  </si>
  <si>
    <t xml:space="preserve">Regenerar el deck si cambian los supuestos</t>
  </si>
  <si>
    <t xml:space="preserve">MartinPacker/md2pptx</t>
  </si>
  <si>
    <t xml:space="preserve">https://github.com/MartinPacker/md2pptx</t>
  </si>
  <si>
    <t xml:space="preserve">~514</t>
  </si>
  <si>
    <t xml:space="preserve">Markdown a PowerPoint con python-pptx</t>
  </si>
  <si>
    <t xml:space="preserve">Borrador rápido del deck sobre la plantilla</t>
  </si>
  <si>
    <t xml:space="preserve">microsoft/markitdown</t>
  </si>
  <si>
    <t xml:space="preserve">https://github.com/microsoft/markitdown</t>
  </si>
  <si>
    <t xml:space="preserve">~189.6k</t>
  </si>
  <si>
    <t xml:space="preserve">2026-10-04</t>
  </si>
  <si>
    <t xml:space="preserve">Office a Markdown</t>
  </si>
  <si>
    <t xml:space="preserve">Verificar que cifras del deck = Excel</t>
  </si>
  <si>
    <t xml:space="preserve">Cruzar cifras del deck contra el Excel</t>
  </si>
  <si>
    <t xml:space="preserve">singerla/pptx-automizer</t>
  </si>
  <si>
    <t xml:space="preserve">https://github.com/singerla/pptx-automizer</t>
  </si>
  <si>
    <t xml:space="preserve">TypeScript</t>
  </si>
  <si>
    <t xml:space="preserve">~249</t>
  </si>
  <si>
    <t xml:space="preserve">2026-09-28</t>
  </si>
  <si>
    <t xml:space="preserve">Rellena y combina plantillas .pptx existentes</t>
  </si>
  <si>
    <t xml:space="preserve">Cambiar solo datos en plantilla corporativa con gráficos ya diseñados</t>
  </si>
  <si>
    <t xml:space="preserve">Derive-Risk/pyfair</t>
  </si>
  <si>
    <t xml:space="preserve">https://github.com/Derive-Risk/pyfair</t>
  </si>
  <si>
    <t xml:space="preserve">113</t>
  </si>
  <si>
    <t xml:space="preserve">2026-05-22 (commit)</t>
  </si>
  <si>
    <t xml:space="preserve">Monte Carlo FAIR (frecuencia × severidad)</t>
  </si>
  <si>
    <t xml:space="preserve">Cuantificar cada evento de riesgo de B</t>
  </si>
  <si>
    <t xml:space="preserve">Antes Hive-Systems/pyfair</t>
  </si>
  <si>
    <t xml:space="preserve">eggzec/mcerp</t>
  </si>
  <si>
    <t xml:space="preserve">https://github.com/eggzec/mcerp</t>
  </si>
  <si>
    <t xml:space="preserve">86</t>
  </si>
  <si>
    <t xml:space="preserve">2026-08-19 (PyPI)</t>
  </si>
  <si>
    <t xml:space="preserve">BSD-3-Clause</t>
  </si>
  <si>
    <t xml:space="preserve">Monte Carlo con variables inciertas tipo hoja de cálculo (LHS)</t>
  </si>
  <si>
    <t xml:space="preserve">Fórmulas de A y B con incertidumbre</t>
  </si>
  <si>
    <t xml:space="preserve">Antes tisimst/mcerp</t>
  </si>
  <si>
    <t xml:space="preserve">johan162/mcprojsim</t>
  </si>
  <si>
    <t xml:space="preserve">https://github.com/johan162/mcprojsim</t>
  </si>
  <si>
    <t xml:space="preserve">2026-05-05 (commit)</t>
  </si>
  <si>
    <t xml:space="preserve">Monte Carlo de cronogramas con dependencias y riesgos</t>
  </si>
  <si>
    <t xml:space="preserve">Duración del traslado y probabilidad de cumplir el spud</t>
  </si>
  <si>
    <t xml:space="preserve">MatthewReid854/reliability</t>
  </si>
  <si>
    <t xml:space="preserve">https://github.com/MatthewReid854/reliability</t>
  </si>
  <si>
    <t xml:space="preserve">434</t>
  </si>
  <si>
    <t xml:space="preserve">2025-03-07 (PyPI)</t>
  </si>
  <si>
    <t xml:space="preserve">Ajuste Weibull/lognormal de fallas</t>
  </si>
  <si>
    <t xml:space="preserve">Distribuciones de tiempos históricos de traslado</t>
  </si>
  <si>
    <t xml:space="preserve">paulgovan/PRA</t>
  </si>
  <si>
    <t xml:space="preserve">https://github.com/paulgovan/PRA</t>
  </si>
  <si>
    <t xml:space="preserve">4</t>
  </si>
  <si>
    <t xml:space="preserve">2026-09-21 (commit)</t>
  </si>
  <si>
    <t xml:space="preserve">Project Risk Analysis: Monte Carlo, contingencia, sensibilidad, Bayes</t>
  </si>
  <si>
    <t xml:space="preserve">Referencia metodológica QCRA/QSRA</t>
  </si>
  <si>
    <t xml:space="preserve">peterhurford/squigglepy</t>
  </si>
  <si>
    <t xml:space="preserve">https://github.com/peterhurford/squigglepy</t>
  </si>
  <si>
    <t xml:space="preserve">84</t>
  </si>
  <si>
    <t xml:space="preserve">2026-06-08 (PyPI)</t>
  </si>
  <si>
    <t xml:space="preserve">Estimación probabilística estilo Squiggle</t>
  </si>
  <si>
    <t xml:space="preserve">Prototipo evento de demora × standby</t>
  </si>
  <si>
    <t xml:space="preserve">Antes rethinkpriorities/squigglepy</t>
  </si>
  <si>
    <t xml:space="preserve">pgmpy/pgmpy</t>
  </si>
  <si>
    <t xml:space="preserve">https://github.com/pgmpy/pgmpy</t>
  </si>
  <si>
    <t xml:space="preserve">~3.4k</t>
  </si>
  <si>
    <t xml:space="preserve">2026-04-30 (PyPI)</t>
  </si>
  <si>
    <t xml:space="preserve">Redes bayesianas</t>
  </si>
  <si>
    <t xml:space="preserve">Cadena clima → permisos → demora → standby</t>
  </si>
  <si>
    <t xml:space="preserve">plotly/plotly.py</t>
  </si>
  <si>
    <t xml:space="preserve">https://github.com/plotly/plotly.py</t>
  </si>
  <si>
    <t xml:space="preserve">~18.8k</t>
  </si>
  <si>
    <t xml:space="preserve">2026-09-15 (PyPI)</t>
  </si>
  <si>
    <t xml:space="preserve">Gráficos interactivos exportables</t>
  </si>
  <si>
    <t xml:space="preserve">Tornado, spider, curva S, matriz</t>
  </si>
  <si>
    <t xml:space="preserve">pymc-devs/pymc</t>
  </si>
  <si>
    <t xml:space="preserve">https://github.com/pymc-devs/pymc</t>
  </si>
  <si>
    <t xml:space="preserve">~9.8k</t>
  </si>
  <si>
    <t xml:space="preserve">2026-09-08 (PyPI)</t>
  </si>
  <si>
    <t xml:space="preserve">Modelado bayesiano</t>
  </si>
  <si>
    <t xml:space="preserve">Probabilidad de demora con históricos + juicio experto</t>
  </si>
  <si>
    <t xml:space="preserve">tadamcz/betapert</t>
  </si>
  <si>
    <t xml:space="preserve">https://github.com/tadamcz/betapert</t>
  </si>
  <si>
    <t xml:space="preserve">2024-01-05 (commit)</t>
  </si>
  <si>
    <t xml:space="preserve">Distribución Beta-PERT compatible con scipy</t>
  </si>
  <si>
    <t xml:space="preserve">Estimaciones de 3 puntos</t>
  </si>
  <si>
    <t xml:space="preserve">Distribuciones PERT de 3 puntos (mín/probable/máx)</t>
  </si>
  <si>
    <t xml:space="preserve">ahmed-khalil-hafsi/P2Predict</t>
  </si>
  <si>
    <t xml:space="preserve">https://github.com/ahmed-khalil-hafsi/P2Predict</t>
  </si>
  <si>
    <t xml:space="preserve">~1</t>
  </si>
  <si>
    <t xml:space="preserve">2026-07-08</t>
  </si>
  <si>
    <t xml:space="preserve">Otra</t>
  </si>
  <si>
    <t xml:space="preserve">Should-cost paramétrico para compras</t>
  </si>
  <si>
    <t xml:space="preserve">Validar tarifa lump sum vs mercado</t>
  </si>
  <si>
    <t xml:space="preserve">AnniceNajafi/RMCDA</t>
  </si>
  <si>
    <t xml:space="preserve">https://github.com/AnniceNajafi/RMCDA</t>
  </si>
  <si>
    <t xml:space="preserve">~8</t>
  </si>
  <si>
    <t xml:space="preserve">2026-05-01</t>
  </si>
  <si>
    <t xml:space="preserve">MCDA en R</t>
  </si>
  <si>
    <t xml:space="preserve">Solo si se usa R</t>
  </si>
  <si>
    <t xml:space="preserve">causalincentives/pycid</t>
  </si>
  <si>
    <t xml:space="preserve">https://github.com/causalincentives/pycid</t>
  </si>
  <si>
    <t xml:space="preserve">~115</t>
  </si>
  <si>
    <t xml:space="preserve">2023-09-19</t>
  </si>
  <si>
    <t xml:space="preserve">Diagramas de influencia</t>
  </si>
  <si>
    <t xml:space="preserve">Formalización avanzada</t>
  </si>
  <si>
    <t xml:space="preserve">CWWhitney/Decision_Analysis_Course</t>
  </si>
  <si>
    <t xml:space="preserve">https://github.com/CWWhitney/Decision_Analysis_Course</t>
  </si>
  <si>
    <t xml:space="preserve">HTML/R</t>
  </si>
  <si>
    <t xml:space="preserve">~27</t>
  </si>
  <si>
    <t xml:space="preserve">2026-06-24</t>
  </si>
  <si>
    <t xml:space="preserve">Curso de análisis de decisiones (Univ. Bonn)</t>
  </si>
  <si>
    <t xml:space="preserve">Metodología citable</t>
  </si>
  <si>
    <t xml:space="preserve">domokane/FinancePy</t>
  </si>
  <si>
    <t xml:space="preserve">https://github.com/domokane/FinancePy</t>
  </si>
  <si>
    <t xml:space="preserve">~3.2k</t>
  </si>
  <si>
    <t xml:space="preserve">Derivados y riesgo financiero</t>
  </si>
  <si>
    <t xml:space="preserve">Solo para cobertura cambiaria</t>
  </si>
  <si>
    <t xml:space="preserve">energyinpython/pyrepo-mcda</t>
  </si>
  <si>
    <t xml:space="preserve">https://github.com/energyinpython/pyrepo-mcda</t>
  </si>
  <si>
    <t xml:space="preserve">~13</t>
  </si>
  <si>
    <t xml:space="preserve">2026-08-17</t>
  </si>
  <si>
    <t xml:space="preserve">MCDA con sensibilidad de pesos</t>
  </si>
  <si>
    <t xml:space="preserve">Cuánto debe cambiar un peso para invertir la decisión</t>
  </si>
  <si>
    <t xml:space="preserve">ManosV18/managers-lab</t>
  </si>
  <si>
    <t xml:space="preserve">https://github.com/ManosV18/managers-lab</t>
  </si>
  <si>
    <t xml:space="preserve">Punto de equilibrio y costos</t>
  </si>
  <si>
    <t xml:space="preserve">Ejemplo sencillo</t>
  </si>
  <si>
    <t xml:space="preserve">NatLabRockies/GEOPHIRES-X</t>
  </si>
  <si>
    <t xml:space="preserve">https://github.com/NatLabRockies/GEOPHIRES-X</t>
  </si>
  <si>
    <t xml:space="preserve">~61</t>
  </si>
  <si>
    <t xml:space="preserve">Tecno-económica geotérmica con costos de perforación</t>
  </si>
  <si>
    <t xml:space="preserve">Referencia de economía de perforación</t>
  </si>
  <si>
    <t xml:space="preserve">NatLabRockies/SAM</t>
  </si>
  <si>
    <t xml:space="preserve">https://github.com/NatLabRockies/SAM</t>
  </si>
  <si>
    <t xml:space="preserve">~489</t>
  </si>
  <si>
    <t xml:space="preserve">2026-10-06</t>
  </si>
  <si>
    <t xml:space="preserve">Modelos financieros de proyectos de energía</t>
  </si>
  <si>
    <t xml:space="preserve">Metodología de flujo de caja</t>
  </si>
  <si>
    <t xml:space="preserve">Pegah-Ardehkhani/Multi-Criteria-Decision-Making</t>
  </si>
  <si>
    <t xml:space="preserve">https://github.com/Pegah-Ardehkhani/Multi-Criteria-Decision-Making</t>
  </si>
  <si>
    <t xml:space="preserve">~4</t>
  </si>
  <si>
    <t xml:space="preserve">2024-12-28</t>
  </si>
  <si>
    <t xml:space="preserve">Notebooks didácticos MCDM</t>
  </si>
  <si>
    <t xml:space="preserve">Replicar AHP/TOPSIS en Excel</t>
  </si>
  <si>
    <t xml:space="preserve">SURGroup/UQpy</t>
  </si>
  <si>
    <t xml:space="preserve">https://github.com/SURGroup/UQpy</t>
  </si>
  <si>
    <t xml:space="preserve">~362</t>
  </si>
  <si>
    <t xml:space="preserve">2026-08-27</t>
  </si>
  <si>
    <t xml:space="preserve">Cuantificación de incertidumbre general</t>
  </si>
  <si>
    <t xml:space="preserve">Probablemente excesivo</t>
  </si>
  <si>
    <t xml:space="preserve">anthill/koala</t>
  </si>
  <si>
    <t xml:space="preserve">https://github.com/anthill/koala</t>
  </si>
  <si>
    <t xml:space="preserve">~159</t>
  </si>
  <si>
    <t xml:space="preserve">2019-06-19</t>
  </si>
  <si>
    <t xml:space="preserve">Convierte cálculos de Excel a Python</t>
  </si>
  <si>
    <t xml:space="preserve">Solo referencia; desactualizado</t>
  </si>
  <si>
    <t xml:space="preserve">asemic-horizon/stanton</t>
  </si>
  <si>
    <t xml:space="preserve">https://github.com/asemic-horizon/stanton</t>
  </si>
  <si>
    <t xml:space="preserve">~24</t>
  </si>
  <si>
    <t xml:space="preserve">Monte Carlo de tres puntos sobre Excel vía xlwings</t>
  </si>
  <si>
    <t xml:space="preserve">Idea de diseño mín/probable/máx; requiere Excel</t>
  </si>
  <si>
    <t xml:space="preserve">DeepSpace2/StyleFrame</t>
  </si>
  <si>
    <t xml:space="preserve">https://github.com/DeepSpace2/StyleFrame</t>
  </si>
  <si>
    <t xml:space="preserve">~386</t>
  </si>
  <si>
    <t xml:space="preserve">2023-11-13</t>
  </si>
  <si>
    <t xml:space="preserve">Estilo a DataFrames exportados a Excel</t>
  </si>
  <si>
    <t xml:space="preserve">Anexos con formato; no fórmulas vivas</t>
  </si>
  <si>
    <t xml:space="preserve">exceljs/exceljs</t>
  </si>
  <si>
    <t xml:space="preserve">https://github.com/exceljs/exceljs</t>
  </si>
  <si>
    <t xml:space="preserve">JS/TS</t>
  </si>
  <si>
    <t xml:space="preserve">~15.5k</t>
  </si>
  <si>
    <t xml:space="preserve">xlsx en Node con fórmulas y validación</t>
  </si>
  <si>
    <t xml:space="preserve">Alternativa JS</t>
  </si>
  <si>
    <t xml:space="preserve">handsontable/hyperformula</t>
  </si>
  <si>
    <t xml:space="preserve">https://github.com/handsontable/hyperformula</t>
  </si>
  <si>
    <t xml:space="preserve">~2.8k</t>
  </si>
  <si>
    <t xml:space="preserve">GPLv3/comercial</t>
  </si>
  <si>
    <t xml:space="preserve">Motor de fórmulas headless compatible con Excel</t>
  </si>
  <si>
    <t xml:space="preserve">Simulador web interactivo</t>
  </si>
  <si>
    <t xml:space="preserve">jmcnamara/rust_xlsxwriter</t>
  </si>
  <si>
    <t xml:space="preserve">https://github.com/jmcnamara/rust_xlsxwriter</t>
  </si>
  <si>
    <t xml:space="preserve">Rust</t>
  </si>
  <si>
    <t xml:space="preserve">~595</t>
  </si>
  <si>
    <t xml:space="preserve">XlsxWriter en Rust</t>
  </si>
  <si>
    <t xml:space="preserve">Referencia</t>
  </si>
  <si>
    <t xml:space="preserve">nickderobertis/sensitivity</t>
  </si>
  <si>
    <t xml:space="preserve">https://github.com/nickderobertis/sensitivity</t>
  </si>
  <si>
    <t xml:space="preserve">~15</t>
  </si>
  <si>
    <t xml:space="preserve">2022-10-09</t>
  </si>
  <si>
    <t xml:space="preserve">Sensibilidad por combinaciones de entradas</t>
  </si>
  <si>
    <t xml:space="preserve">Tablas 2D (distancia × días) para replicar en Excel</t>
  </si>
  <si>
    <t xml:space="preserve">qax-os/excelize</t>
  </si>
  <si>
    <t xml:space="preserve">https://github.com/qax-os/excelize</t>
  </si>
  <si>
    <t xml:space="preserve">Go</t>
  </si>
  <si>
    <t xml:space="preserve">~21.0k</t>
  </si>
  <si>
    <t xml:space="preserve">xlsx en Go con motor de cálculo</t>
  </si>
  <si>
    <t xml:space="preserve">Solo si se usa Go</t>
  </si>
  <si>
    <t xml:space="preserve">rhannay/pyproforma</t>
  </si>
  <si>
    <t xml:space="preserve">https://github.com/rhannay/pyproforma</t>
  </si>
  <si>
    <t xml:space="preserve">~2</t>
  </si>
  <si>
    <t xml:space="preserve">2026-09-13</t>
  </si>
  <si>
    <t xml:space="preserve">Modelado financiero en código</t>
  </si>
  <si>
    <t xml:space="preserve">Referencia code-first</t>
  </si>
  <si>
    <t xml:space="preserve">SheetJS/sheetjs</t>
  </si>
  <si>
    <t xml:space="preserve">https://github.com/SheetJS/sheetjs</t>
  </si>
  <si>
    <t xml:space="preserve">~36.3k</t>
  </si>
  <si>
    <t xml:space="preserve">Leer/generar hojas en JS</t>
  </si>
  <si>
    <t xml:space="preserve">Visor web</t>
  </si>
  <si>
    <t xml:space="preserve">Espejo; repo vivo en git.sheetjs.com</t>
  </si>
  <si>
    <t xml:space="preserve">stephenrauch/pycel</t>
  </si>
  <si>
    <t xml:space="preserve">https://github.com/stephenrauch/pycel</t>
  </si>
  <si>
    <t xml:space="preserve">~31</t>
  </si>
  <si>
    <t xml:space="preserve">2021-10-13</t>
  </si>
  <si>
    <t xml:space="preserve">Fork activo de pycel publicado en PyPI</t>
  </si>
  <si>
    <t xml:space="preserve">Igual que pycel</t>
  </si>
  <si>
    <t xml:space="preserve">xlwings/git-xl</t>
  </si>
  <si>
    <t xml:space="preserve">https://github.com/xlwings/git-xl</t>
  </si>
  <si>
    <t xml:space="preserve">~608</t>
  </si>
  <si>
    <t xml:space="preserve">Diff de VBA en libros Excel</t>
  </si>
  <si>
    <t xml:space="preserve">Solo si hay macros</t>
  </si>
  <si>
    <t xml:space="preserve">xlwings/xlwings</t>
  </si>
  <si>
    <t xml:space="preserve">https://github.com/xlwings/xlwings</t>
  </si>
  <si>
    <t xml:space="preserve">2026-09-27 (PyPI 0.37.5)</t>
  </si>
  <si>
    <t xml:space="preserve">BSD (PRO aparte)</t>
  </si>
  <si>
    <t xml:space="preserve">Puente Python-Excel; requiere Excel instalado</t>
  </si>
  <si>
    <t xml:space="preserve">Útil en Windows con Excel; poco en Linux</t>
  </si>
  <si>
    <t xml:space="preserve">al-tabb/routingAPI</t>
  </si>
  <si>
    <t xml:space="preserve">https://github.com/al-tabb/routingAPI</t>
  </si>
  <si>
    <t xml:space="preserve">PHP</t>
  </si>
  <si>
    <t xml:space="preserve">2020-12-18</t>
  </si>
  <si>
    <t xml:space="preserve">Rutas con restricción de altura y peso</t>
  </si>
  <si>
    <t xml:space="preserve">Idea de restricciones viales</t>
  </si>
  <si>
    <t xml:space="preserve">aligulhalepoto309-debug/DrillWise-AI</t>
  </si>
  <si>
    <t xml:space="preserve">https://github.com/aligulhalepoto309-debug/DrillWise-AI</t>
  </si>
  <si>
    <t xml:space="preserve">NPT + tiempo ineficiente (ILT)</t>
  </si>
  <si>
    <t xml:space="preserve">Concepto ILT para flat time del move</t>
  </si>
  <si>
    <t xml:space="preserve">amandeepsinghs-cyber/rig-management</t>
  </si>
  <si>
    <t xml:space="preserve">https://github.com/amandeepsinghs-cyber/rig-management</t>
  </si>
  <si>
    <t xml:space="preserve">Documentos</t>
  </si>
  <si>
    <t xml:space="preserve">2026-09-24</t>
  </si>
  <si>
    <t xml:space="preserve">MIT (solo badge)</t>
  </si>
  <si>
    <t xml:space="preserve">Concepto de agente para flota de taladros, sin código</t>
  </si>
  <si>
    <t xml:space="preserve">Solo planteamiento</t>
  </si>
  <si>
    <t xml:space="preserve">APMonitor/drilling</t>
  </si>
  <si>
    <t xml:space="preserve">https://github.com/APMonitor/drilling</t>
  </si>
  <si>
    <t xml:space="preserve">MATLAB/Python</t>
  </si>
  <si>
    <t xml:space="preserve">56</t>
  </si>
  <si>
    <t xml:space="preserve">2019-12-19</t>
  </si>
  <si>
    <t xml:space="preserve">Modelos de procesos de perforación</t>
  </si>
  <si>
    <t xml:space="preserve">Marginal</t>
  </si>
  <si>
    <t xml:space="preserve">bayuraka/well-intervention-scheduling</t>
  </si>
  <si>
    <t xml:space="preserve">https://github.com/bayuraka/well-intervention-scheduling</t>
  </si>
  <si>
    <t xml:space="preserve">Notebook original con CSV de taladros y pozos</t>
  </si>
  <si>
    <t xml:space="preserve">Datos de ejemplo</t>
  </si>
  <si>
    <t xml:space="preserve">bysarmad/Well-Data-Management-and-Visualization</t>
  </si>
  <si>
    <t xml:space="preserve">https://github.com/bysarmad/Well-Data-Management-and-Visualization</t>
  </si>
  <si>
    <t xml:space="preserve">2019-05-29</t>
  </si>
  <si>
    <t xml:space="preserve">Parser de DDR de Volve</t>
  </si>
  <si>
    <t xml:space="preserve">DDR públicos</t>
  </si>
  <si>
    <t xml:space="preserve">CataBulu/FleetRoute</t>
  </si>
  <si>
    <t xml:space="preserve">https://github.com/CataBulu/FleetRoute</t>
  </si>
  <si>
    <t xml:space="preserve">Python + React</t>
  </si>
  <si>
    <t xml:space="preserve">Rutas de flota con horas de conducción</t>
  </si>
  <si>
    <t xml:space="preserve">Ventanas diurnas del convoy</t>
  </si>
  <si>
    <t xml:space="preserve">cog-imperial/drill-scheduling</t>
  </si>
  <si>
    <t xml:space="preserve">https://github.com/cog-imperial/drill-scheduling</t>
  </si>
  <si>
    <t xml:space="preserve">Python (Pyomo)</t>
  </si>
  <si>
    <t xml:space="preserve">2021-03-09</t>
  </si>
  <si>
    <t xml:space="preserve">Caso académico de programación de perforación</t>
  </si>
  <si>
    <t xml:space="preserve">Referencia de modelado</t>
  </si>
  <si>
    <t xml:space="preserve">Ero-Renaissance/drilling_sequence</t>
  </si>
  <si>
    <t xml:space="preserve">https://github.com/Ero-Renaissance/drilling_sequence</t>
  </si>
  <si>
    <t xml:space="preserve">2026-09-18</t>
  </si>
  <si>
    <t xml:space="preserve">Secuencia de perforación con flujo de aprobación</t>
  </si>
  <si>
    <t xml:space="preserve">Cómo una operadora formaliza la secuencia</t>
  </si>
  <si>
    <t xml:space="preserve">FrancisFM/Smart-PAD-Scheduler</t>
  </si>
  <si>
    <t xml:space="preserve">https://github.com/FrancisFM/Smart-PAD-Scheduler</t>
  </si>
  <si>
    <t xml:space="preserve">5</t>
  </si>
  <si>
    <t xml:space="preserve">2020-05-22</t>
  </si>
  <si>
    <t xml:space="preserve">Secuencia de pads con restricciones</t>
  </si>
  <si>
    <t xml:space="preserve">Contexto de programación</t>
  </si>
  <si>
    <t xml:space="preserve">ishandutta2007/Awesome-Drilling-Operations-Management</t>
  </si>
  <si>
    <t xml:space="preserve">https://github.com/ishandutta2007/Awesome-Drilling-Operations-Management</t>
  </si>
  <si>
    <t xml:space="preserve">Lista</t>
  </si>
  <si>
    <t xml:space="preserve">Lista curada de software de perforación</t>
  </si>
  <si>
    <t xml:space="preserve">Poco específico</t>
  </si>
  <si>
    <t xml:space="preserve">jtellezs/Lane-Benchmark</t>
  </si>
  <si>
    <t xml:space="preserve">https://github.com/jtellezs/Lane-Benchmark</t>
  </si>
  <si>
    <t xml:space="preserve">Apex</t>
  </si>
  <si>
    <t xml:space="preserve">Benchmark de tarifas por ruta y RFP</t>
  </si>
  <si>
    <t xml:space="preserve">Comparar cotizaciones de transportadores</t>
  </si>
  <si>
    <t xml:space="preserve">KrishnasaiBitra/Electric-Truck-TCO-Fleet-Economics</t>
  </si>
  <si>
    <t xml:space="preserve">https://github.com/KrishnasaiBitra/Electric-Truck-TCO-Fleet-Economics</t>
  </si>
  <si>
    <t xml:space="preserve">Jupyter + Excel</t>
  </si>
  <si>
    <t xml:space="preserve">TCO diésel vs eléctrico</t>
  </si>
  <si>
    <t xml:space="preserve">Plantilla de costo por km</t>
  </si>
  <si>
    <t xml:space="preserve">omarafed/well-intervention-scheduling</t>
  </si>
  <si>
    <t xml:space="preserve">https://github.com/omarafed/well-intervention-scheduling</t>
  </si>
  <si>
    <t xml:space="preserve">Python/Go/Vue</t>
  </si>
  <si>
    <t xml:space="preserve">Programación de taladros de intervención con Monte Carlo</t>
  </si>
  <si>
    <t xml:space="preserve">Idea de Monte Carlo sobre duración</t>
  </si>
  <si>
    <t xml:space="preserve">pratyakshpatel/Heterogeneous-Truck-Fleet-Optimization-Using-MINLP-and-Genetic-Algorithm</t>
  </si>
  <si>
    <t xml:space="preserve">https://github.com/pratyakshpatel/Heterogeneous-Truck-Fleet-Optimization-Using-MINLP-and-Genetic-Algorithm</t>
  </si>
  <si>
    <t xml:space="preserve">2025-08-28</t>
  </si>
  <si>
    <t xml:space="preserve">Mezcla óptima de tipos de camión</t>
  </si>
  <si>
    <t xml:space="preserve">Mix de vehículos (cama baja, grúa, winche)</t>
  </si>
  <si>
    <t xml:space="preserve">SvSven/transport-cost-calculator</t>
  </si>
  <si>
    <t xml:space="preserve">https://github.com/SvSven/transport-cost-calculator</t>
  </si>
  <si>
    <t xml:space="preserve">2022-05-06</t>
  </si>
  <si>
    <t xml:space="preserve">Distancia × precio/km</t>
  </si>
  <si>
    <t xml:space="preserve">Lógica mínima del escenario A</t>
  </si>
  <si>
    <t xml:space="preserve">utkarshraj94/volve-npt-analysis</t>
  </si>
  <si>
    <t xml:space="preserve">https://github.com/utkarshraj94/volve-npt-analysis</t>
  </si>
  <si>
    <t xml:space="preserve">Python + SQL</t>
  </si>
  <si>
    <t xml:space="preserve">Aviso de datos</t>
  </si>
  <si>
    <t xml:space="preserve">NPT de Volve con costo modelado</t>
  </si>
  <si>
    <t xml:space="preserve">Ejemplo de tarifa declarada como supuesto</t>
  </si>
  <si>
    <t xml:space="preserve">vijaybamini/SIH</t>
  </si>
  <si>
    <t xml:space="preserve">https://github.com/vijaybamini/SIH</t>
  </si>
  <si>
    <t xml:space="preserve">Python/JS</t>
  </si>
  <si>
    <t xml:space="preserve">Flete basado en costos vs benchmark de mercado</t>
  </si>
  <si>
    <t xml:space="preserve">Análogo a SICE-TAC vs cotización</t>
  </si>
  <si>
    <t xml:space="preserve">duarteocarmo/think-cell</t>
  </si>
  <si>
    <t xml:space="preserve">https://github.com/duarteocarmo/think-cell</t>
  </si>
  <si>
    <t xml:space="preserve">~26</t>
  </si>
  <si>
    <t xml:space="preserve">2021-09-29</t>
  </si>
  <si>
    <t xml:space="preserve">Automatiza gráficos think-cell</t>
  </si>
  <si>
    <t xml:space="preserve">Desactualizado</t>
  </si>
  <si>
    <t xml:space="preserve">fsciuti/awesome-speaker</t>
  </si>
  <si>
    <t xml:space="preserve">https://github.com/fsciuti/awesome-speaker</t>
  </si>
  <si>
    <t xml:space="preserve">Markdown</t>
  </si>
  <si>
    <t xml:space="preserve">~194</t>
  </si>
  <si>
    <t xml:space="preserve">no verificado</t>
  </si>
  <si>
    <t xml:space="preserve">CC-BY-4.0</t>
  </si>
  <si>
    <t xml:space="preserve">Recursos para oradores</t>
  </si>
  <si>
    <t xml:space="preserve">Buenas prácticas de presentación</t>
  </si>
  <si>
    <t xml:space="preserve">GongRzhe/Office-PowerPoint-MCP-Server</t>
  </si>
  <si>
    <t xml:space="preserve">https://github.com/GongRzhe/Office-PowerPoint-MCP-Server</t>
  </si>
  <si>
    <t xml:space="preserve">~1.9k</t>
  </si>
  <si>
    <t xml:space="preserve">archivado 2026-03-03</t>
  </si>
  <si>
    <t xml:space="preserve">Servidor MCP sobre python-pptx</t>
  </si>
  <si>
    <t xml:space="preserve">Fragmentos de código; archivado</t>
  </si>
  <si>
    <t xml:space="preserve">gotenberg/gotenberg</t>
  </si>
  <si>
    <t xml:space="preserve">https://github.com/gotenberg/gotenberg</t>
  </si>
  <si>
    <t xml:space="preserve">~13.3k</t>
  </si>
  <si>
    <t xml:space="preserve">API Docker de conversión a PDF</t>
  </si>
  <si>
    <t xml:space="preserve">No necesario aquí</t>
  </si>
  <si>
    <t xml:space="preserve">gramener/gramex</t>
  </si>
  <si>
    <t xml:space="preserve">https://github.com/gramener/gramex</t>
  </si>
  <si>
    <t xml:space="preserve">~143</t>
  </si>
  <si>
    <t xml:space="preserve">archivado 2026-01-08</t>
  </si>
  <si>
    <t xml:space="preserve">Analítica con pptgen histórico</t>
  </si>
  <si>
    <t xml:space="preserve">Solo referencia</t>
  </si>
  <si>
    <t xml:space="preserve">jgm/pandoc</t>
  </si>
  <si>
    <t xml:space="preserve">https://github.com/jgm/pandoc</t>
  </si>
  <si>
    <t xml:space="preserve">Haskell</t>
  </si>
  <si>
    <t xml:space="preserve">~46.7k</t>
  </si>
  <si>
    <t xml:space="preserve">GPL-2.0+</t>
  </si>
  <si>
    <t xml:space="preserve">Conversor universal, Markdown a pptx</t>
  </si>
  <si>
    <t xml:space="preserve">Anexos; sin gráficos nativos</t>
  </si>
  <si>
    <t xml:space="preserve">kwlo/python-pptx-templater</t>
  </si>
  <si>
    <t xml:space="preserve">https://github.com/kwlo/python-pptx-templater</t>
  </si>
  <si>
    <t xml:space="preserve">2019-10-27</t>
  </si>
  <si>
    <t xml:space="preserve">pptx desde plantilla + JSON con Jinja</t>
  </si>
  <si>
    <t xml:space="preserve">Referencia; abandonado</t>
  </si>
  <si>
    <t xml:space="preserve">marp-team/marp-cli</t>
  </si>
  <si>
    <t xml:space="preserve">https://github.com/marp-team/marp-cli</t>
  </si>
  <si>
    <t xml:space="preserve">~3.9k</t>
  </si>
  <si>
    <t xml:space="preserve">2026-09-08</t>
  </si>
  <si>
    <t xml:space="preserve">Markdown a PDF/HTML/PPTX (pptx no editable)</t>
  </si>
  <si>
    <t xml:space="preserve">Prototipo visual</t>
  </si>
  <si>
    <t xml:space="preserve">natter1/python_pptx_interface</t>
  </si>
  <si>
    <t xml:space="preserve">https://github.com/natter1/python_pptx_interface</t>
  </si>
  <si>
    <t xml:space="preserve">2025-04-10</t>
  </si>
  <si>
    <t xml:space="preserve">Utilidades de formato sobre python-pptx</t>
  </si>
  <si>
    <t xml:space="preserve">Formato de tablas de costos</t>
  </si>
  <si>
    <t xml:space="preserve">Philistino/ThinkcellBuilder</t>
  </si>
  <si>
    <t xml:space="preserve">https://github.com/Philistino/ThinkcellBuilder</t>
  </si>
  <si>
    <t xml:space="preserve">~12</t>
  </si>
  <si>
    <t xml:space="preserve">Archivos .ppttc para think-cell</t>
  </si>
  <si>
    <t xml:space="preserve">Solo con licencia think-cell</t>
  </si>
  <si>
    <t xml:space="preserve">slidevjs/slidev</t>
  </si>
  <si>
    <t xml:space="preserve">https://github.com/slidevjs/slidev</t>
  </si>
  <si>
    <t xml:space="preserve">TypeScript/Vue</t>
  </si>
  <si>
    <t xml:space="preserve">~49k</t>
  </si>
  <si>
    <t xml:space="preserve">Slides en Markdown + Vue</t>
  </si>
  <si>
    <t xml:space="preserve">Poco útil para pptx editable</t>
  </si>
  <si>
    <t xml:space="preserve">ssine/pptx2md</t>
  </si>
  <si>
    <t xml:space="preserve">https://github.com/ssine/pptx2md</t>
  </si>
  <si>
    <t xml:space="preserve">~1.3k</t>
  </si>
  <si>
    <t xml:space="preserve">2024-12-03</t>
  </si>
  <si>
    <t xml:space="preserve">pptx a Markdown</t>
  </si>
  <si>
    <t xml:space="preserve">Leer plantilla corporativa existente</t>
  </si>
  <si>
    <t xml:space="preserve">arviz-devs/arviz</t>
  </si>
  <si>
    <t xml:space="preserve">https://github.com/arviz-devs/arviz</t>
  </si>
  <si>
    <t xml:space="preserve">2026-08-11 (PyPI)</t>
  </si>
  <si>
    <t xml:space="preserve">Visualización bayesiana</t>
  </si>
  <si>
    <t xml:space="preserve">Anexo técnico</t>
  </si>
  <si>
    <t xml:space="preserve">bertcarnell/tornado</t>
  </si>
  <si>
    <t xml:space="preserve">https://github.com/bertcarnell/tornado</t>
  </si>
  <si>
    <t xml:space="preserve">9</t>
  </si>
  <si>
    <t xml:space="preserve">2024-08-03 (commit)</t>
  </si>
  <si>
    <t xml:space="preserve">Gráficos de tornado</t>
  </si>
  <si>
    <t xml:space="preserve">Referencia de diseño</t>
  </si>
  <si>
    <t xml:space="preserve">CamDavidsonPilon/lifelines</t>
  </si>
  <si>
    <t xml:space="preserve">https://github.com/CamDavidsonPilon/lifelines</t>
  </si>
  <si>
    <t xml:space="preserve">~2.6k</t>
  </si>
  <si>
    <t xml:space="preserve">2026-03-05 (PyPI)</t>
  </si>
  <si>
    <t xml:space="preserve">Análisis de supervivencia</t>
  </si>
  <si>
    <t xml:space="preserve">P(terminar antes de X días)</t>
  </si>
  <si>
    <t xml:space="preserve">danafitkowski/cpp-cpm-engine</t>
  </si>
  <si>
    <t xml:space="preserve">https://github.com/danafitkowski/cpp-cpm-engine</t>
  </si>
  <si>
    <t xml:space="preserve">JavaScript/Python</t>
  </si>
  <si>
    <t xml:space="preserve">3</t>
  </si>
  <si>
    <t xml:space="preserve">2026-10-11 (commit)</t>
  </si>
  <si>
    <t xml:space="preserve">CPM con Monte Carlo P50/P80 sobre cronogramas P6</t>
  </si>
  <si>
    <t xml:space="preserve">Riesgo de cronograma si hay P6</t>
  </si>
  <si>
    <t xml:space="preserve">datadrivenconstruction/DDC_Skills_for_AI_Agents_in_Construction</t>
  </si>
  <si>
    <t xml:space="preserve">https://github.com/datadrivenconstruction/DDC_Skills_for_AI_Agents_in_Construction</t>
  </si>
  <si>
    <t xml:space="preserve">Varios</t>
  </si>
  <si>
    <t xml:space="preserve">347</t>
  </si>
  <si>
    <t xml:space="preserve">2025-08-22 (commit)</t>
  </si>
  <si>
    <t xml:space="preserve">MIT (datos CC BY-NC)</t>
  </si>
  <si>
    <t xml:space="preserve">221 skills de IA para construcción: costos, cronograma, riesgo</t>
  </si>
  <si>
    <t xml:space="preserve">Ejemplos de contingencia P50/P80/P90</t>
  </si>
  <si>
    <t xml:space="preserve">jonathf/chaospy</t>
  </si>
  <si>
    <t xml:space="preserve">https://github.com/jonathf/chaospy</t>
  </si>
  <si>
    <t xml:space="preserve">480</t>
  </si>
  <si>
    <t xml:space="preserve">2025-08-29 (PyPI)</t>
  </si>
  <si>
    <t xml:space="preserve">Caos polinomial y muestreo avanzado</t>
  </si>
  <si>
    <t xml:space="preserve">JustinTervala/ProjectPredict</t>
  </si>
  <si>
    <t xml:space="preserve">https://github.com/JustinTervala/ProjectPredict</t>
  </si>
  <si>
    <t xml:space="preserve">2</t>
  </si>
  <si>
    <t xml:space="preserve">2018-05 (PyPI)</t>
  </si>
  <si>
    <t xml:space="preserve">Cronograma con redes bayesianas y PERT</t>
  </si>
  <si>
    <t xml:space="preserve">Sin mantenimiento</t>
  </si>
  <si>
    <t xml:space="preserve">leliel12/pert</t>
  </si>
  <si>
    <t xml:space="preserve">https://github.com/leliel12/pert</t>
  </si>
  <si>
    <t xml:space="preserve">2019-11 (PyPI)</t>
  </si>
  <si>
    <t xml:space="preserve">Técnica PERT clásica</t>
  </si>
  <si>
    <t xml:space="preserve">Referencia simple</t>
  </si>
  <si>
    <t xml:space="preserve">lmfit/uncertainties</t>
  </si>
  <si>
    <t xml:space="preserve">https://github.com/lmfit/uncertainties</t>
  </si>
  <si>
    <t xml:space="preserve">680</t>
  </si>
  <si>
    <t xml:space="preserve">2025-04-21 (PyPI)</t>
  </si>
  <si>
    <t xml:space="preserve">BSD</t>
  </si>
  <si>
    <t xml:space="preserve">Propagación lineal de incertidumbres</t>
  </si>
  <si>
    <t xml:space="preserve">Contraste con Monte Carlo</t>
  </si>
  <si>
    <t xml:space="preserve">openturns/openturns</t>
  </si>
  <si>
    <t xml:space="preserve">https://github.com/openturns/openturns</t>
  </si>
  <si>
    <t xml:space="preserve">C++/Python</t>
  </si>
  <si>
    <t xml:space="preserve">352</t>
  </si>
  <si>
    <t xml:space="preserve">2026-06-19 (PyPI)</t>
  </si>
  <si>
    <t xml:space="preserve">LGPL-3.0+</t>
  </si>
  <si>
    <t xml:space="preserve">Tratamiento industrial de incertidumbres, cópulas, confiabilidad</t>
  </si>
  <si>
    <t xml:space="preserve">Correlaciones formales</t>
  </si>
  <si>
    <t xml:space="preserve">quantified-uncertainty/squiggle</t>
  </si>
  <si>
    <t xml:space="preserve">https://github.com/quantified-uncertainty/squiggle</t>
  </si>
  <si>
    <t xml:space="preserve">221</t>
  </si>
  <si>
    <t xml:space="preserve">2026-09-13 (commit)</t>
  </si>
  <si>
    <t xml:space="preserve">Lenguaje de estimación probabilística con playground web</t>
  </si>
  <si>
    <t xml:space="preserve">Demo interactiva a gerencia</t>
  </si>
  <si>
    <t xml:space="preserve">rodmonic/Campagna</t>
  </si>
  <si>
    <t xml:space="preserve">https://github.com/rodmonic/Campagna</t>
  </si>
  <si>
    <t xml:space="preserve">C#/Excel-DNA</t>
  </si>
  <si>
    <t xml:space="preserve">2024-04-09 (commit)</t>
  </si>
  <si>
    <t xml:space="preserve">Monte Carlo para Excel (triangular, Bernoulli, Iman-Conover)</t>
  </si>
  <si>
    <t xml:space="preserve">Alternativa menor a XLRisk</t>
  </si>
  <si>
    <t xml:space="preserve">Pila de herramientas propuesta (para tu aprobación)</t>
  </si>
  <si>
    <t xml:space="preserve">Los datos se leen del Catálogo con fórmulas. Marca tu decisión en la hoja Catalogo, columna P.</t>
  </si>
  <si>
    <t xml:space="preserve">Capa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</si>
</sst>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</font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NLRWindSystems/LandBOSSE" TargetMode="External"/><Relationship Id="rId2" Type="http://schemas.openxmlformats.org/officeDocument/2006/relationships/hyperlink" Target="https://github.com/numpy/numpy-financial" TargetMode="External"/><Relationship Id="rId3" Type="http://schemas.openxmlformats.org/officeDocument/2006/relationships/hyperlink" Target="https://github.com/PhilipGriffith/AHPy" TargetMode="External"/><Relationship Id="rId4" Type="http://schemas.openxmlformats.org/officeDocument/2006/relationships/hyperlink" Target="https://github.com/SilverDecisions/SilverDecisions" TargetMode="External"/><Relationship Id="rId5" Type="http://schemas.openxmlformats.org/officeDocument/2006/relationships/hyperlink" Target="https://github.com/Valdecy/pyDecision" TargetMode="External"/><Relationship Id="rId6" Type="http://schemas.openxmlformats.org/officeDocument/2006/relationships/hyperlink" Target="https://github.com/anthropics/financial-services" TargetMode="External"/><Relationship Id="rId7" Type="http://schemas.openxmlformats.org/officeDocument/2006/relationships/hyperlink" Target="https://github.com/anthropics/skills/tree/main/skills/xlsx" TargetMode="External"/><Relationship Id="rId8" Type="http://schemas.openxmlformats.org/officeDocument/2006/relationships/hyperlink" Target="https://github.com/jmcnamara/XlsxWriter" TargetMode="External"/><Relationship Id="rId9" Type="http://schemas.openxmlformats.org/officeDocument/2006/relationships/hyperlink" Target="https://foss.heptapod.net/openpyxl/openpyxl" TargetMode="External"/><Relationship Id="rId10" Type="http://schemas.openxmlformats.org/officeDocument/2006/relationships/hyperlink" Target="https://github.com/SALib/SALib" TargetMode="External"/><Relationship Id="rId11" Type="http://schemas.openxmlformats.org/officeDocument/2006/relationships/hyperlink" Target="https://github.com/scanny/python-pptx" TargetMode="External"/><Relationship Id="rId12" Type="http://schemas.openxmlformats.org/officeDocument/2006/relationships/hyperlink" Target="https://github.com/scottshambaugh/monaco" TargetMode="External"/><Relationship Id="rId13" Type="http://schemas.openxmlformats.org/officeDocument/2006/relationships/hyperlink" Target="https://github.com/vinci1it2000/formulas" TargetMode="External"/><Relationship Id="rId14" Type="http://schemas.openxmlformats.org/officeDocument/2006/relationships/hyperlink" Target="https://github.com/Chaimurat/exploration-campaign-optimizer" TargetMode="External"/><Relationship Id="rId15" Type="http://schemas.openxmlformats.org/officeDocument/2006/relationships/hyperlink" Target="https://github.com/juansecorreapaez/RigGo" TargetMode="External"/><Relationship Id="rId16" Type="http://schemas.openxmlformats.org/officeDocument/2006/relationships/hyperlink" Target="https://github.com/praveen-christuraj/Well-Costing" TargetMode="External"/><Relationship Id="rId17" Type="http://schemas.openxmlformats.org/officeDocument/2006/relationships/hyperlink" Target="https://github.com/samarioexplorer/Guyana_Offshore_Drilling_Analytics" TargetMode="External"/><Relationship Id="rId18" Type="http://schemas.openxmlformats.org/officeDocument/2006/relationships/hyperlink" Target="https://github.com/anthropics/skills" TargetMode="External"/><Relationship Id="rId19" Type="http://schemas.openxmlformats.org/officeDocument/2006/relationships/hyperlink" Target="https://github.com/Belval/pdf2image" TargetMode="External"/><Relationship Id="rId20" Type="http://schemas.openxmlformats.org/officeDocument/2006/relationships/hyperlink" Target="https://github.com/LibreOffice/core" TargetMode="External"/><Relationship Id="rId21" Type="http://schemas.openxmlformats.org/officeDocument/2006/relationships/hyperlink" Target="https://github.com/likaku/Mck-ppt-design-skill" TargetMode="External"/><Relationship Id="rId22" Type="http://schemas.openxmlformats.org/officeDocument/2006/relationships/hyperlink" Target="https://github.com/matplotlib/matplotlib" TargetMode="External"/><Relationship Id="rId23" Type="http://schemas.openxmlformats.org/officeDocument/2006/relationships/hyperlink" Target="https://github.com/Netflix-Skunkworks/riskquant" TargetMode="External"/><Relationship Id="rId24" Type="http://schemas.openxmlformats.org/officeDocument/2006/relationships/hyperlink" Target="https://github.com/pyscripter/XLRisk" TargetMode="External"/><Relationship Id="rId25" Type="http://schemas.openxmlformats.org/officeDocument/2006/relationships/hyperlink" Target="https://github.com/Anexen/pyxirr" TargetMode="External"/><Relationship Id="rId26" Type="http://schemas.openxmlformats.org/officeDocument/2006/relationships/hyperlink" Target="https://github.com/daniel-fink/rangekeeper" TargetMode="External"/><Relationship Id="rId27" Type="http://schemas.openxmlformats.org/officeDocument/2006/relationships/hyperlink" Target="https://github.com/eikeluedeling/decisionSupport" TargetMode="External"/><Relationship Id="rId28" Type="http://schemas.openxmlformats.org/officeDocument/2006/relationships/hyperlink" Target="https://github.com/NLRWindSystems/ORBIT" TargetMode="External"/><Relationship Id="rId29" Type="http://schemas.openxmlformats.org/officeDocument/2006/relationships/hyperlink" Target="https://github.com/pbtamarona/OpenPyTEA" TargetMode="External"/><Relationship Id="rId30" Type="http://schemas.openxmlformats.org/officeDocument/2006/relationships/hyperlink" Target="https://github.com/quatrope/scikit-criteria" TargetMode="External"/><Relationship Id="rId31" Type="http://schemas.openxmlformats.org/officeDocument/2006/relationships/hyperlink" Target="https://github.com/bradbase/xlcalculator" TargetMode="External"/><Relationship Id="rId32" Type="http://schemas.openxmlformats.org/officeDocument/2006/relationships/hyperlink" Target="https://github.com/dgorissen/pycel" TargetMode="External"/><Relationship Id="rId33" Type="http://schemas.openxmlformats.org/officeDocument/2006/relationships/hyperlink" Target="https://github.com/ironcalc/IronCalc" TargetMode="External"/><Relationship Id="rId34" Type="http://schemas.openxmlformats.org/officeDocument/2006/relationships/hyperlink" Target="https://github.com/na-ka-na/ExcelCompare" TargetMode="External"/><Relationship Id="rId35" Type="http://schemas.openxmlformats.org/officeDocument/2006/relationships/hyperlink" Target="https://github.com/unoconv/unoserver" TargetMode="External"/><Relationship Id="rId36" Type="http://schemas.openxmlformats.org/officeDocument/2006/relationships/hyperlink" Target="https://github.com/chinmoypaul8897/drillscribe" TargetMode="External"/><Relationship Id="rId37" Type="http://schemas.openxmlformats.org/officeDocument/2006/relationships/hyperlink" Target="https://github.com/hzjken/multimodal-transportation-optimization" TargetMode="External"/><Relationship Id="rId38" Type="http://schemas.openxmlformats.org/officeDocument/2006/relationships/hyperlink" Target="https://github.com/moheavyai/truckeros" TargetMode="External"/><Relationship Id="rId39" Type="http://schemas.openxmlformats.org/officeDocument/2006/relationships/hyperlink" Target="https://github.com/NatLabRockies/T3CO" TargetMode="External"/><Relationship Id="rId40" Type="http://schemas.openxmlformats.org/officeDocument/2006/relationships/hyperlink" Target="https://github.com/PyVRP/PyVRP" TargetMode="External"/><Relationship Id="rId41" Type="http://schemas.openxmlformats.org/officeDocument/2006/relationships/hyperlink" Target="https://github.com/shivanireddyk/tcokit" TargetMode="External"/><Relationship Id="rId42" Type="http://schemas.openxmlformats.org/officeDocument/2006/relationships/hyperlink" Target="https://github.com/son-n-pham/drillcost" TargetMode="External"/><Relationship Id="rId43" Type="http://schemas.openxmlformats.org/officeDocument/2006/relationships/hyperlink" Target="https://github.com/gitbrent/PptxGenJS" TargetMode="External"/><Relationship Id="rId44" Type="http://schemas.openxmlformats.org/officeDocument/2006/relationships/hyperlink" Target="https://github.com/m3dev/pptx-template" TargetMode="External"/><Relationship Id="rId45" Type="http://schemas.openxmlformats.org/officeDocument/2006/relationships/hyperlink" Target="https://github.com/MartinPacker/md2pptx" TargetMode="External"/><Relationship Id="rId46" Type="http://schemas.openxmlformats.org/officeDocument/2006/relationships/hyperlink" Target="https://github.com/microsoft/markitdown" TargetMode="External"/><Relationship Id="rId47" Type="http://schemas.openxmlformats.org/officeDocument/2006/relationships/hyperlink" Target="https://github.com/singerla/pptx-automizer" TargetMode="External"/><Relationship Id="rId48" Type="http://schemas.openxmlformats.org/officeDocument/2006/relationships/hyperlink" Target="https://github.com/Derive-Risk/pyfair" TargetMode="External"/><Relationship Id="rId49" Type="http://schemas.openxmlformats.org/officeDocument/2006/relationships/hyperlink" Target="https://github.com/eggzec/mcerp" TargetMode="External"/><Relationship Id="rId50" Type="http://schemas.openxmlformats.org/officeDocument/2006/relationships/hyperlink" Target="https://github.com/johan162/mcprojsim" TargetMode="External"/><Relationship Id="rId51" Type="http://schemas.openxmlformats.org/officeDocument/2006/relationships/hyperlink" Target="https://github.com/MatthewReid854/reliability" TargetMode="External"/><Relationship Id="rId52" Type="http://schemas.openxmlformats.org/officeDocument/2006/relationships/hyperlink" Target="https://github.com/paulgovan/PRA" TargetMode="External"/><Relationship Id="rId53" Type="http://schemas.openxmlformats.org/officeDocument/2006/relationships/hyperlink" Target="https://github.com/peterhurford/squigglepy" TargetMode="External"/><Relationship Id="rId54" Type="http://schemas.openxmlformats.org/officeDocument/2006/relationships/hyperlink" Target="https://github.com/pgmpy/pgmpy" TargetMode="External"/><Relationship Id="rId55" Type="http://schemas.openxmlformats.org/officeDocument/2006/relationships/hyperlink" Target="https://github.com/plotly/plotly.py" TargetMode="External"/><Relationship Id="rId56" Type="http://schemas.openxmlformats.org/officeDocument/2006/relationships/hyperlink" Target="https://github.com/pymc-devs/pymc" TargetMode="External"/><Relationship Id="rId57" Type="http://schemas.openxmlformats.org/officeDocument/2006/relationships/hyperlink" Target="https://github.com/tadamcz/betapert" TargetMode="External"/><Relationship Id="rId58" Type="http://schemas.openxmlformats.org/officeDocument/2006/relationships/hyperlink" Target="https://github.com/ahmed-khalil-hafsi/P2Predict" TargetMode="External"/><Relationship Id="rId59" Type="http://schemas.openxmlformats.org/officeDocument/2006/relationships/hyperlink" Target="https://github.com/AnniceNajafi/RMCDA" TargetMode="External"/><Relationship Id="rId60" Type="http://schemas.openxmlformats.org/officeDocument/2006/relationships/hyperlink" Target="https://github.com/causalincentives/pycid" TargetMode="External"/><Relationship Id="rId61" Type="http://schemas.openxmlformats.org/officeDocument/2006/relationships/hyperlink" Target="https://github.com/CWWhitney/Decision_Analysis_Course" TargetMode="External"/><Relationship Id="rId62" Type="http://schemas.openxmlformats.org/officeDocument/2006/relationships/hyperlink" Target="https://github.com/domokane/FinancePy" TargetMode="External"/><Relationship Id="rId63" Type="http://schemas.openxmlformats.org/officeDocument/2006/relationships/hyperlink" Target="https://github.com/energyinpython/pyrepo-mcda" TargetMode="External"/><Relationship Id="rId64" Type="http://schemas.openxmlformats.org/officeDocument/2006/relationships/hyperlink" Target="https://github.com/ManosV18/managers-lab" TargetMode="External"/><Relationship Id="rId65" Type="http://schemas.openxmlformats.org/officeDocument/2006/relationships/hyperlink" Target="https://github.com/NatLabRockies/GEOPHIRES-X" TargetMode="External"/><Relationship Id="rId66" Type="http://schemas.openxmlformats.org/officeDocument/2006/relationships/hyperlink" Target="https://github.com/NatLabRockies/SAM" TargetMode="External"/><Relationship Id="rId67" Type="http://schemas.openxmlformats.org/officeDocument/2006/relationships/hyperlink" Target="https://github.com/Pegah-Ardehkhani/Multi-Criteria-Decision-Making" TargetMode="External"/><Relationship Id="rId68" Type="http://schemas.openxmlformats.org/officeDocument/2006/relationships/hyperlink" Target="https://github.com/SURGroup/UQpy" TargetMode="External"/><Relationship Id="rId69" Type="http://schemas.openxmlformats.org/officeDocument/2006/relationships/hyperlink" Target="https://github.com/anthill/koala" TargetMode="External"/><Relationship Id="rId70" Type="http://schemas.openxmlformats.org/officeDocument/2006/relationships/hyperlink" Target="https://github.com/asemic-horizon/stanton" TargetMode="External"/><Relationship Id="rId71" Type="http://schemas.openxmlformats.org/officeDocument/2006/relationships/hyperlink" Target="https://github.com/DeepSpace2/StyleFrame" TargetMode="External"/><Relationship Id="rId72" Type="http://schemas.openxmlformats.org/officeDocument/2006/relationships/hyperlink" Target="https://github.com/exceljs/exceljs" TargetMode="External"/><Relationship Id="rId73" Type="http://schemas.openxmlformats.org/officeDocument/2006/relationships/hyperlink" Target="https://github.com/handsontable/hyperformula" TargetMode="External"/><Relationship Id="rId74" Type="http://schemas.openxmlformats.org/officeDocument/2006/relationships/hyperlink" Target="https://github.com/jmcnamara/rust_xlsxwriter" TargetMode="External"/><Relationship Id="rId75" Type="http://schemas.openxmlformats.org/officeDocument/2006/relationships/hyperlink" Target="https://github.com/nickderobertis/sensitivity" TargetMode="External"/><Relationship Id="rId76" Type="http://schemas.openxmlformats.org/officeDocument/2006/relationships/hyperlink" Target="https://github.com/qax-os/excelize" TargetMode="External"/><Relationship Id="rId77" Type="http://schemas.openxmlformats.org/officeDocument/2006/relationships/hyperlink" Target="https://github.com/rhannay/pyproforma" TargetMode="External"/><Relationship Id="rId78" Type="http://schemas.openxmlformats.org/officeDocument/2006/relationships/hyperlink" Target="https://github.com/SheetJS/sheetjs" TargetMode="External"/><Relationship Id="rId79" Type="http://schemas.openxmlformats.org/officeDocument/2006/relationships/hyperlink" Target="https://github.com/stephenrauch/pycel" TargetMode="External"/><Relationship Id="rId80" Type="http://schemas.openxmlformats.org/officeDocument/2006/relationships/hyperlink" Target="https://github.com/xlwings/git-xl" TargetMode="External"/><Relationship Id="rId81" Type="http://schemas.openxmlformats.org/officeDocument/2006/relationships/hyperlink" Target="https://github.com/xlwings/xlwings" TargetMode="External"/><Relationship Id="rId82" Type="http://schemas.openxmlformats.org/officeDocument/2006/relationships/hyperlink" Target="https://github.com/al-tabb/routingAPI" TargetMode="External"/><Relationship Id="rId83" Type="http://schemas.openxmlformats.org/officeDocument/2006/relationships/hyperlink" Target="https://github.com/aligulhalepoto309-debug/DrillWise-AI" TargetMode="External"/><Relationship Id="rId84" Type="http://schemas.openxmlformats.org/officeDocument/2006/relationships/hyperlink" Target="https://github.com/amandeepsinghs-cyber/rig-management" TargetMode="External"/><Relationship Id="rId85" Type="http://schemas.openxmlformats.org/officeDocument/2006/relationships/hyperlink" Target="https://github.com/APMonitor/drilling" TargetMode="External"/><Relationship Id="rId86" Type="http://schemas.openxmlformats.org/officeDocument/2006/relationships/hyperlink" Target="https://github.com/bayuraka/well-intervention-scheduling" TargetMode="External"/><Relationship Id="rId87" Type="http://schemas.openxmlformats.org/officeDocument/2006/relationships/hyperlink" Target="https://github.com/bysarmad/Well-Data-Management-and-Visualization" TargetMode="External"/><Relationship Id="rId88" Type="http://schemas.openxmlformats.org/officeDocument/2006/relationships/hyperlink" Target="https://github.com/CataBulu/FleetRoute" TargetMode="External"/><Relationship Id="rId89" Type="http://schemas.openxmlformats.org/officeDocument/2006/relationships/hyperlink" Target="https://github.com/cog-imperial/drill-scheduling" TargetMode="External"/><Relationship Id="rId90" Type="http://schemas.openxmlformats.org/officeDocument/2006/relationships/hyperlink" Target="https://github.com/Ero-Renaissance/drilling_sequence" TargetMode="External"/><Relationship Id="rId91" Type="http://schemas.openxmlformats.org/officeDocument/2006/relationships/hyperlink" Target="https://github.com/FrancisFM/Smart-PAD-Scheduler" TargetMode="External"/><Relationship Id="rId92" Type="http://schemas.openxmlformats.org/officeDocument/2006/relationships/hyperlink" Target="https://github.com/ishandutta2007/Awesome-Drilling-Operations-Management" TargetMode="External"/><Relationship Id="rId93" Type="http://schemas.openxmlformats.org/officeDocument/2006/relationships/hyperlink" Target="https://github.com/jtellezs/Lane-Benchmark" TargetMode="External"/><Relationship Id="rId94" Type="http://schemas.openxmlformats.org/officeDocument/2006/relationships/hyperlink" Target="https://github.com/KrishnasaiBitra/Electric-Truck-TCO-Fleet-Economics" TargetMode="External"/><Relationship Id="rId95" Type="http://schemas.openxmlformats.org/officeDocument/2006/relationships/hyperlink" Target="https://github.com/omarafed/well-intervention-scheduling" TargetMode="External"/><Relationship Id="rId96" Type="http://schemas.openxmlformats.org/officeDocument/2006/relationships/hyperlink" Target="https://github.com/pratyakshpatel/Heterogeneous-Truck-Fleet-Optimization-Using-MINLP-and-Genetic-Algorithm" TargetMode="External"/><Relationship Id="rId97" Type="http://schemas.openxmlformats.org/officeDocument/2006/relationships/hyperlink" Target="https://github.com/SvSven/transport-cost-calculator" TargetMode="External"/><Relationship Id="rId98" Type="http://schemas.openxmlformats.org/officeDocument/2006/relationships/hyperlink" Target="https://github.com/utkarshraj94/volve-npt-analysis" TargetMode="External"/><Relationship Id="rId99" Type="http://schemas.openxmlformats.org/officeDocument/2006/relationships/hyperlink" Target="https://github.com/vijaybamini/SIH" TargetMode="External"/><Relationship Id="rId100" Type="http://schemas.openxmlformats.org/officeDocument/2006/relationships/hyperlink" Target="https://github.com/duarteocarmo/think-cell" TargetMode="External"/><Relationship Id="rId101" Type="http://schemas.openxmlformats.org/officeDocument/2006/relationships/hyperlink" Target="https://github.com/fsciuti/awesome-speaker" TargetMode="External"/><Relationship Id="rId102" Type="http://schemas.openxmlformats.org/officeDocument/2006/relationships/hyperlink" Target="https://github.com/GongRzhe/Office-PowerPoint-MCP-Server" TargetMode="External"/><Relationship Id="rId103" Type="http://schemas.openxmlformats.org/officeDocument/2006/relationships/hyperlink" Target="https://github.com/gotenberg/gotenberg" TargetMode="External"/><Relationship Id="rId104" Type="http://schemas.openxmlformats.org/officeDocument/2006/relationships/hyperlink" Target="https://github.com/gramener/gramex" TargetMode="External"/><Relationship Id="rId105" Type="http://schemas.openxmlformats.org/officeDocument/2006/relationships/hyperlink" Target="https://github.com/jgm/pandoc" TargetMode="External"/><Relationship Id="rId106" Type="http://schemas.openxmlformats.org/officeDocument/2006/relationships/hyperlink" Target="https://github.com/kwlo/python-pptx-templater" TargetMode="External"/><Relationship Id="rId107" Type="http://schemas.openxmlformats.org/officeDocument/2006/relationships/hyperlink" Target="https://github.com/marp-team/marp-cli" TargetMode="External"/><Relationship Id="rId108" Type="http://schemas.openxmlformats.org/officeDocument/2006/relationships/hyperlink" Target="https://github.com/natter1/python_pptx_interface" TargetMode="External"/><Relationship Id="rId109" Type="http://schemas.openxmlformats.org/officeDocument/2006/relationships/hyperlink" Target="https://github.com/Philistino/ThinkcellBuilder" TargetMode="External"/><Relationship Id="rId110" Type="http://schemas.openxmlformats.org/officeDocument/2006/relationships/hyperlink" Target="https://github.com/slidevjs/slidev" TargetMode="External"/><Relationship Id="rId111" Type="http://schemas.openxmlformats.org/officeDocument/2006/relationships/hyperlink" Target="https://github.com/ssine/pptx2md" TargetMode="External"/><Relationship Id="rId112" Type="http://schemas.openxmlformats.org/officeDocument/2006/relationships/hyperlink" Target="https://github.com/arviz-devs/arviz" TargetMode="External"/><Relationship Id="rId113" Type="http://schemas.openxmlformats.org/officeDocument/2006/relationships/hyperlink" Target="https://github.com/bertcarnell/tornado" TargetMode="External"/><Relationship Id="rId114" Type="http://schemas.openxmlformats.org/officeDocument/2006/relationships/hyperlink" Target="https://github.com/CamDavidsonPilon/lifelines" TargetMode="External"/><Relationship Id="rId115" Type="http://schemas.openxmlformats.org/officeDocument/2006/relationships/hyperlink" Target="https://github.com/danafitkowski/cpp-cpm-engine" TargetMode="External"/><Relationship Id="rId116" Type="http://schemas.openxmlformats.org/officeDocument/2006/relationships/hyperlink" Target="https://github.com/datadrivenconstruction/DDC_Skills_for_AI_Agents_in_Construction" TargetMode="External"/><Relationship Id="rId117" Type="http://schemas.openxmlformats.org/officeDocument/2006/relationships/hyperlink" Target="https://github.com/jonathf/chaospy" TargetMode="External"/><Relationship Id="rId118" Type="http://schemas.openxmlformats.org/officeDocument/2006/relationships/hyperlink" Target="https://github.com/JustinTervala/ProjectPredict" TargetMode="External"/><Relationship Id="rId119" Type="http://schemas.openxmlformats.org/officeDocument/2006/relationships/hyperlink" Target="https://github.com/leliel12/pert" TargetMode="External"/><Relationship Id="rId120" Type="http://schemas.openxmlformats.org/officeDocument/2006/relationships/hyperlink" Target="https://github.com/lmfit/uncertainties" TargetMode="External"/><Relationship Id="rId121" Type="http://schemas.openxmlformats.org/officeDocument/2006/relationships/hyperlink" Target="https://github.com/openturns/openturns" TargetMode="External"/><Relationship Id="rId122" Type="http://schemas.openxmlformats.org/officeDocument/2006/relationships/hyperlink" Target="https://github.com/quantified-uncertainty/squiggle" TargetMode="External"/><Relationship Id="rId123" Type="http://schemas.openxmlformats.org/officeDocument/2006/relationships/hyperlink" Target="https://github.com/rodmonic/Campagna" TargetMode="External"/><Relationship Id="rId12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n">
        <f aca="false">COUNTIFS(Catalogo!$D$5:$D$127,"*Excel*")</f>
        <v>26</v>
      </c>
      <c r="C4" s="3" t="n">
        <f aca="false">COUNTIFS(Catalogo!$D$5:$D$127,"*Excel*",Catalogo!$K$5:$K$127,"Alta")</f>
        <v>8</v>
      </c>
      <c r="D4" s="3" t="n">
        <f aca="false">COUNTIFS(Catalogo!$D$5:$D$127,"*Excel*",Catalogo!$K$5:$K$127,"Media")</f>
        <v>5</v>
      </c>
      <c r="E4" s="3" t="n">
        <f aca="false">COUNTIFS(Catalogo!$D$5:$D$127,"*Excel*",Catalogo!$K$5:$K$127,"Baja")</f>
        <v>13</v>
      </c>
      <c r="F4" s="3" t="n">
        <f aca="false">COUNTIFS(Catalogo!$D$5:$D$127,"*Excel*",Catalogo!$L$5:$L$127,"Sí")</f>
        <v>8</v>
      </c>
    </row>
    <row r="5" customFormat="false" ht="15" hidden="false" customHeight="false" outlineLevel="0" collapsed="false">
      <c r="A5" s="3" t="s">
        <v>8</v>
      </c>
      <c r="B5" s="3" t="n">
        <f aca="false">COUNTIFS(Catalogo!$D$5:$D$127,"*PowerPoint*")</f>
        <v>24</v>
      </c>
      <c r="C5" s="3" t="n">
        <f aca="false">COUNTIFS(Catalogo!$D$5:$D$127,"*PowerPoint*",Catalogo!$K$5:$K$127,"Alta")</f>
        <v>6</v>
      </c>
      <c r="D5" s="3" t="n">
        <f aca="false">COUNTIFS(Catalogo!$D$5:$D$127,"*PowerPoint*",Catalogo!$K$5:$K$127,"Media")</f>
        <v>6</v>
      </c>
      <c r="E5" s="3" t="n">
        <f aca="false">COUNTIFS(Catalogo!$D$5:$D$127,"*PowerPoint*",Catalogo!$K$5:$K$127,"Baja")</f>
        <v>12</v>
      </c>
      <c r="F5" s="3" t="n">
        <f aca="false">COUNTIFS(Catalogo!$D$5:$D$127,"*PowerPoint*",Catalogo!$L$5:$L$127,"Sí")</f>
        <v>7</v>
      </c>
    </row>
    <row r="6" customFormat="false" ht="15" hidden="false" customHeight="false" outlineLevel="0" collapsed="false">
      <c r="A6" s="3" t="s">
        <v>9</v>
      </c>
      <c r="B6" s="3" t="n">
        <f aca="false">COUNTIFS(Catalogo!$D$5:$D$127,"*Evaluación económica*")</f>
        <v>22</v>
      </c>
      <c r="C6" s="3" t="n">
        <f aca="false">COUNTIFS(Catalogo!$D$5:$D$127,"*Evaluación económica*",Catalogo!$K$5:$K$127,"Alta")</f>
        <v>5</v>
      </c>
      <c r="D6" s="3" t="n">
        <f aca="false">COUNTIFS(Catalogo!$D$5:$D$127,"*Evaluación económica*",Catalogo!$K$5:$K$127,"Media")</f>
        <v>6</v>
      </c>
      <c r="E6" s="3" t="n">
        <f aca="false">COUNTIFS(Catalogo!$D$5:$D$127,"*Evaluación económica*",Catalogo!$K$5:$K$127,"Baja")</f>
        <v>11</v>
      </c>
      <c r="F6" s="3" t="n">
        <f aca="false">COUNTIFS(Catalogo!$D$5:$D$127,"*Evaluación económica*",Catalogo!$L$5:$L$127,"Sí")</f>
        <v>3</v>
      </c>
    </row>
    <row r="7" customFormat="false" ht="15" hidden="false" customHeight="false" outlineLevel="0" collapsed="false">
      <c r="A7" s="3" t="s">
        <v>10</v>
      </c>
      <c r="B7" s="3" t="n">
        <f aca="false">COUNTIFS(Catalogo!$D$5:$D$127,"*Riesgo*")</f>
        <v>27</v>
      </c>
      <c r="C7" s="3" t="n">
        <f aca="false">COUNTIFS(Catalogo!$D$5:$D$127,"*Riesgo*",Catalogo!$K$5:$K$127,"Alta")</f>
        <v>5</v>
      </c>
      <c r="D7" s="3" t="n">
        <f aca="false">COUNTIFS(Catalogo!$D$5:$D$127,"*Riesgo*",Catalogo!$K$5:$K$127,"Media")</f>
        <v>10</v>
      </c>
      <c r="E7" s="3" t="n">
        <f aca="false">COUNTIFS(Catalogo!$D$5:$D$127,"*Riesgo*",Catalogo!$K$5:$K$127,"Baja")</f>
        <v>12</v>
      </c>
      <c r="F7" s="3" t="n">
        <f aca="false">COUNTIFS(Catalogo!$D$5:$D$127,"*Riesgo*",Catalogo!$L$5:$L$127,"Sí")</f>
        <v>6</v>
      </c>
    </row>
    <row r="8" customFormat="false" ht="15" hidden="false" customHeight="false" outlineLevel="0" collapsed="false">
      <c r="A8" s="3" t="s">
        <v>11</v>
      </c>
      <c r="B8" s="3" t="n">
        <f aca="false">COUNTIFS(Catalogo!$D$5:$D$127,"*Oil &amp; Gas y logística*")</f>
        <v>29</v>
      </c>
      <c r="C8" s="3" t="n">
        <f aca="false">COUNTIFS(Catalogo!$D$5:$D$127,"*Oil &amp; Gas y logística*",Catalogo!$K$5:$K$127,"Alta")</f>
        <v>4</v>
      </c>
      <c r="D8" s="3" t="n">
        <f aca="false">COUNTIFS(Catalogo!$D$5:$D$127,"*Oil &amp; Gas y logística*",Catalogo!$K$5:$K$127,"Media")</f>
        <v>7</v>
      </c>
      <c r="E8" s="3" t="n">
        <f aca="false">COUNTIFS(Catalogo!$D$5:$D$127,"*Oil &amp; Gas y logística*",Catalogo!$K$5:$K$127,"Baja")</f>
        <v>18</v>
      </c>
      <c r="F8" s="3" t="n">
        <f aca="false">COUNTIFS(Catalogo!$D$5:$D$127,"*Oil &amp; Gas y logística*",Catalogo!$L$5:$L$127,"Sí")</f>
        <v>2</v>
      </c>
    </row>
    <row r="9" customFormat="false" ht="15" hidden="false" customHeight="false" outlineLevel="0" collapsed="false">
      <c r="A9" s="4" t="s">
        <v>12</v>
      </c>
      <c r="B9" s="4" t="n">
        <f aca="false">COUNTA(Catalogo!$B$5:$B$127)</f>
        <v>123</v>
      </c>
      <c r="C9" s="4" t="n">
        <f aca="false">COUNTIF(Catalogo!$K$5:$K$127,"Alta")</f>
        <v>24</v>
      </c>
      <c r="D9" s="4" t="n">
        <f aca="false">COUNTIF(Catalogo!$K$5:$K$127,"Media")</f>
        <v>33</v>
      </c>
      <c r="E9" s="4" t="n">
        <f aca="false">COUNTIF(Catalogo!$K$5:$K$127,"Baja")</f>
        <v>66</v>
      </c>
      <c r="F9" s="4" t="n">
        <f aca="false">COUNTIF(Catalogo!$L$5:$L$127,"Sí")</f>
        <v>22</v>
      </c>
    </row>
    <row r="10" customFormat="false" ht="15" hidden="false" customHeight="false" outlineLevel="0" collapsed="false">
      <c r="A10" s="5" t="s">
        <v>13</v>
      </c>
    </row>
    <row r="12" customFormat="false" ht="15" hidden="false" customHeight="false" outlineLevel="0" collapsed="false">
      <c r="A12" s="6" t="s">
        <v>14</v>
      </c>
    </row>
    <row r="13" customFormat="false" ht="15" hidden="false" customHeight="false" outlineLevel="0" collapsed="false">
      <c r="A13" s="7" t="s">
        <v>15</v>
      </c>
      <c r="B13" s="7" t="n">
        <f aca="false">COUNTIF(Catalogo!$P$5:$P$127,"Sí")</f>
        <v>0</v>
      </c>
    </row>
    <row r="14" customFormat="false" ht="15" hidden="false" customHeight="false" outlineLevel="0" collapsed="false">
      <c r="A14" s="7" t="s">
        <v>16</v>
      </c>
      <c r="B14" s="7" t="n">
        <f aca="false">COUNTIF(Catalogo!$P$5:$P$127,"No")</f>
        <v>0</v>
      </c>
    </row>
    <row r="15" customFormat="false" ht="15" hidden="false" customHeight="false" outlineLevel="0" collapsed="false">
      <c r="A15" s="7" t="s">
        <v>17</v>
      </c>
      <c r="B15" s="7" t="n">
        <f aca="false">COUNTIF(Catalogo!$P$5:$P$127,"Revisar")</f>
        <v>0</v>
      </c>
    </row>
    <row r="16" customFormat="false" ht="15" hidden="false" customHeight="false" outlineLevel="0" collapsed="false">
      <c r="A16" s="7" t="s">
        <v>18</v>
      </c>
      <c r="B16" s="7" t="n">
        <f aca="false">COUNTA(Catalogo!$B$5:$B$127)-SUM(B13:B15)</f>
        <v>123</v>
      </c>
    </row>
    <row r="18" customFormat="false" ht="15" hidden="false" customHeight="false" outlineLevel="0" collapsed="false">
      <c r="A18" s="6" t="s">
        <v>19</v>
      </c>
    </row>
    <row r="19" customFormat="false" ht="30" hidden="false" customHeight="true" outlineLevel="0" collapsed="false">
      <c r="A19" s="8" t="s">
        <v>20</v>
      </c>
      <c r="B19" s="8"/>
      <c r="C19" s="8"/>
      <c r="D19" s="8"/>
      <c r="E19" s="8"/>
      <c r="F19" s="8"/>
    </row>
    <row r="20" customFormat="false" ht="30" hidden="false" customHeight="true" outlineLevel="0" collapsed="false">
      <c r="A20" s="8" t="s">
        <v>21</v>
      </c>
      <c r="B20" s="8"/>
      <c r="C20" s="8"/>
      <c r="D20" s="8"/>
      <c r="E20" s="8"/>
      <c r="F20" s="8"/>
    </row>
    <row r="21" customFormat="false" ht="30" hidden="false" customHeight="true" outlineLevel="0" collapsed="false">
      <c r="A21" s="8" t="s">
        <v>22</v>
      </c>
      <c r="B21" s="8"/>
      <c r="C21" s="8"/>
      <c r="D21" s="8"/>
      <c r="E21" s="8"/>
      <c r="F21" s="8"/>
    </row>
    <row r="22" customFormat="false" ht="30" hidden="false" customHeight="true" outlineLevel="0" collapsed="false">
      <c r="A22" s="8" t="s">
        <v>23</v>
      </c>
      <c r="B22" s="8"/>
      <c r="C22" s="8"/>
      <c r="D22" s="8"/>
      <c r="E22" s="8"/>
      <c r="F22" s="8"/>
    </row>
    <row r="23" customFormat="false" ht="30" hidden="false" customHeight="true" outlineLevel="0" collapsed="false">
      <c r="A23" s="8" t="s">
        <v>24</v>
      </c>
      <c r="B23" s="8"/>
      <c r="C23" s="8"/>
      <c r="D23" s="8"/>
      <c r="E23" s="8"/>
      <c r="F23" s="8"/>
    </row>
  </sheetData>
  <mergeCells count="5">
    <mergeCell ref="A19:F19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45"/>
    <col collapsed="false" customWidth="true" hidden="false" outlineLevel="0" max="10" min="10" style="0" width="55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24"/>
    <col collapsed="false" customWidth="true" hidden="false" outlineLevel="0" max="14" min="14" style="0" width="45"/>
    <col collapsed="false" customWidth="true" hidden="false" outlineLevel="0" max="15" min="15" style="0" width="30"/>
    <col collapsed="false" customWidth="true" hidden="false" outlineLevel="0" max="16" min="16" style="0" width="12"/>
    <col collapsed="false" customWidth="true" hidden="false" outlineLevel="0" max="17" min="17" style="0" width="3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5" t="s">
        <v>26</v>
      </c>
    </row>
    <row r="4" customFormat="false" ht="39.55" hidden="false" customHeight="false" outlineLevel="0" collapsed="false">
      <c r="A4" s="9" t="s">
        <v>27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  <c r="G4" s="9" t="s">
        <v>33</v>
      </c>
      <c r="H4" s="9" t="s">
        <v>34</v>
      </c>
      <c r="I4" s="9" t="s">
        <v>35</v>
      </c>
      <c r="J4" s="9" t="s">
        <v>36</v>
      </c>
      <c r="K4" s="9" t="s">
        <v>37</v>
      </c>
      <c r="L4" s="9" t="s">
        <v>38</v>
      </c>
      <c r="M4" s="9" t="s">
        <v>39</v>
      </c>
      <c r="N4" s="9" t="s">
        <v>40</v>
      </c>
      <c r="O4" s="9" t="s">
        <v>41</v>
      </c>
      <c r="P4" s="9" t="s">
        <v>42</v>
      </c>
      <c r="Q4" s="9" t="s">
        <v>43</v>
      </c>
    </row>
    <row r="5" customFormat="false" ht="23.85" hidden="false" customHeight="false" outlineLevel="0" collapsed="false">
      <c r="A5" s="10" t="n">
        <v>1</v>
      </c>
      <c r="B5" s="10" t="s">
        <v>44</v>
      </c>
      <c r="C5" s="11" t="s">
        <v>45</v>
      </c>
      <c r="D5" s="10" t="s">
        <v>9</v>
      </c>
      <c r="E5" s="10" t="s">
        <v>46</v>
      </c>
      <c r="F5" s="10" t="s">
        <v>47</v>
      </c>
      <c r="G5" s="10" t="s">
        <v>48</v>
      </c>
      <c r="H5" s="10" t="s">
        <v>49</v>
      </c>
      <c r="I5" s="10" t="s">
        <v>50</v>
      </c>
      <c r="J5" s="10" t="s">
        <v>51</v>
      </c>
      <c r="K5" s="10" t="s">
        <v>3</v>
      </c>
      <c r="L5" s="10" t="s">
        <v>15</v>
      </c>
      <c r="M5" s="10" t="s">
        <v>52</v>
      </c>
      <c r="N5" s="10" t="s">
        <v>53</v>
      </c>
      <c r="O5" s="10"/>
      <c r="P5" s="12"/>
      <c r="Q5" s="12"/>
    </row>
    <row r="6" customFormat="false" ht="15" hidden="false" customHeight="false" outlineLevel="0" collapsed="false">
      <c r="A6" s="10" t="n">
        <v>2</v>
      </c>
      <c r="B6" s="10" t="s">
        <v>54</v>
      </c>
      <c r="C6" s="11" t="s">
        <v>55</v>
      </c>
      <c r="D6" s="10" t="s">
        <v>9</v>
      </c>
      <c r="E6" s="10" t="s">
        <v>46</v>
      </c>
      <c r="F6" s="10" t="s">
        <v>56</v>
      </c>
      <c r="G6" s="10" t="s">
        <v>57</v>
      </c>
      <c r="H6" s="10" t="s">
        <v>58</v>
      </c>
      <c r="I6" s="10" t="s">
        <v>59</v>
      </c>
      <c r="J6" s="10" t="s">
        <v>60</v>
      </c>
      <c r="K6" s="10" t="s">
        <v>3</v>
      </c>
      <c r="L6" s="10" t="s">
        <v>15</v>
      </c>
      <c r="M6" s="10" t="s">
        <v>52</v>
      </c>
      <c r="N6" s="10" t="s">
        <v>61</v>
      </c>
      <c r="O6" s="10"/>
      <c r="P6" s="12"/>
      <c r="Q6" s="12"/>
    </row>
    <row r="7" customFormat="false" ht="23.85" hidden="false" customHeight="false" outlineLevel="0" collapsed="false">
      <c r="A7" s="10" t="n">
        <v>3</v>
      </c>
      <c r="B7" s="10" t="s">
        <v>62</v>
      </c>
      <c r="C7" s="11" t="s">
        <v>63</v>
      </c>
      <c r="D7" s="10" t="s">
        <v>9</v>
      </c>
      <c r="E7" s="10" t="s">
        <v>46</v>
      </c>
      <c r="F7" s="10" t="s">
        <v>64</v>
      </c>
      <c r="G7" s="10" t="s">
        <v>65</v>
      </c>
      <c r="H7" s="10" t="s">
        <v>66</v>
      </c>
      <c r="I7" s="10" t="s">
        <v>67</v>
      </c>
      <c r="J7" s="10" t="s">
        <v>68</v>
      </c>
      <c r="K7" s="10" t="s">
        <v>3</v>
      </c>
      <c r="L7" s="10" t="s">
        <v>15</v>
      </c>
      <c r="M7" s="10" t="s">
        <v>52</v>
      </c>
      <c r="N7" s="10" t="s">
        <v>69</v>
      </c>
      <c r="O7" s="10"/>
      <c r="P7" s="12"/>
      <c r="Q7" s="12"/>
    </row>
    <row r="8" customFormat="false" ht="15" hidden="false" customHeight="false" outlineLevel="0" collapsed="false">
      <c r="A8" s="10" t="n">
        <v>4</v>
      </c>
      <c r="B8" s="10" t="s">
        <v>70</v>
      </c>
      <c r="C8" s="11" t="s">
        <v>71</v>
      </c>
      <c r="D8" s="10" t="s">
        <v>9</v>
      </c>
      <c r="E8" s="10" t="s">
        <v>72</v>
      </c>
      <c r="F8" s="10" t="s">
        <v>73</v>
      </c>
      <c r="G8" s="10" t="s">
        <v>74</v>
      </c>
      <c r="H8" s="10" t="s">
        <v>75</v>
      </c>
      <c r="I8" s="10" t="s">
        <v>76</v>
      </c>
      <c r="J8" s="10" t="s">
        <v>77</v>
      </c>
      <c r="K8" s="10" t="s">
        <v>3</v>
      </c>
      <c r="L8" s="10" t="s">
        <v>16</v>
      </c>
      <c r="M8" s="10"/>
      <c r="N8" s="10"/>
      <c r="O8" s="10"/>
      <c r="P8" s="12"/>
      <c r="Q8" s="12"/>
    </row>
    <row r="9" customFormat="false" ht="23.85" hidden="false" customHeight="false" outlineLevel="0" collapsed="false">
      <c r="A9" s="10" t="n">
        <v>5</v>
      </c>
      <c r="B9" s="10" t="s">
        <v>78</v>
      </c>
      <c r="C9" s="11" t="s">
        <v>79</v>
      </c>
      <c r="D9" s="10" t="s">
        <v>9</v>
      </c>
      <c r="E9" s="10" t="s">
        <v>46</v>
      </c>
      <c r="F9" s="10" t="s">
        <v>80</v>
      </c>
      <c r="G9" s="10" t="s">
        <v>81</v>
      </c>
      <c r="H9" s="10" t="s">
        <v>82</v>
      </c>
      <c r="I9" s="10" t="s">
        <v>83</v>
      </c>
      <c r="J9" s="10" t="s">
        <v>84</v>
      </c>
      <c r="K9" s="10" t="s">
        <v>3</v>
      </c>
      <c r="L9" s="10" t="s">
        <v>16</v>
      </c>
      <c r="M9" s="10"/>
      <c r="N9" s="10"/>
      <c r="O9" s="10" t="s">
        <v>85</v>
      </c>
      <c r="P9" s="12"/>
      <c r="Q9" s="12"/>
    </row>
    <row r="10" customFormat="false" ht="23.85" hidden="false" customHeight="false" outlineLevel="0" collapsed="false">
      <c r="A10" s="10" t="n">
        <v>6</v>
      </c>
      <c r="B10" s="10" t="s">
        <v>86</v>
      </c>
      <c r="C10" s="11" t="s">
        <v>87</v>
      </c>
      <c r="D10" s="10" t="s">
        <v>88</v>
      </c>
      <c r="E10" s="10" t="s">
        <v>89</v>
      </c>
      <c r="F10" s="10" t="s">
        <v>90</v>
      </c>
      <c r="G10" s="10" t="s">
        <v>91</v>
      </c>
      <c r="H10" s="10" t="s">
        <v>49</v>
      </c>
      <c r="I10" s="10" t="s">
        <v>92</v>
      </c>
      <c r="J10" s="10" t="s">
        <v>93</v>
      </c>
      <c r="K10" s="10" t="s">
        <v>3</v>
      </c>
      <c r="L10" s="10" t="s">
        <v>15</v>
      </c>
      <c r="M10" s="10" t="s">
        <v>94</v>
      </c>
      <c r="N10" s="10" t="s">
        <v>95</v>
      </c>
      <c r="O10" s="10"/>
      <c r="P10" s="12"/>
      <c r="Q10" s="12"/>
    </row>
    <row r="11" customFormat="false" ht="23.85" hidden="false" customHeight="false" outlineLevel="0" collapsed="false">
      <c r="A11" s="10" t="n">
        <v>7</v>
      </c>
      <c r="B11" s="10" t="s">
        <v>96</v>
      </c>
      <c r="C11" s="11" t="s">
        <v>97</v>
      </c>
      <c r="D11" s="10" t="s">
        <v>7</v>
      </c>
      <c r="E11" s="10" t="s">
        <v>46</v>
      </c>
      <c r="F11" s="10" t="s">
        <v>98</v>
      </c>
      <c r="G11" s="10" t="s">
        <v>91</v>
      </c>
      <c r="H11" s="10" t="s">
        <v>99</v>
      </c>
      <c r="I11" s="10" t="s">
        <v>100</v>
      </c>
      <c r="J11" s="10" t="s">
        <v>101</v>
      </c>
      <c r="K11" s="10" t="s">
        <v>3</v>
      </c>
      <c r="L11" s="10" t="s">
        <v>15</v>
      </c>
      <c r="M11" s="10" t="s">
        <v>94</v>
      </c>
      <c r="N11" s="10" t="s">
        <v>102</v>
      </c>
      <c r="O11" s="10"/>
      <c r="P11" s="12"/>
      <c r="Q11" s="12"/>
    </row>
    <row r="12" customFormat="false" ht="23.85" hidden="false" customHeight="false" outlineLevel="0" collapsed="false">
      <c r="A12" s="10" t="n">
        <v>8</v>
      </c>
      <c r="B12" s="10" t="s">
        <v>103</v>
      </c>
      <c r="C12" s="11" t="s">
        <v>104</v>
      </c>
      <c r="D12" s="10" t="s">
        <v>7</v>
      </c>
      <c r="E12" s="10" t="s">
        <v>46</v>
      </c>
      <c r="F12" s="10" t="s">
        <v>105</v>
      </c>
      <c r="G12" s="10" t="s">
        <v>106</v>
      </c>
      <c r="H12" s="10" t="s">
        <v>107</v>
      </c>
      <c r="I12" s="10" t="s">
        <v>108</v>
      </c>
      <c r="J12" s="10" t="s">
        <v>109</v>
      </c>
      <c r="K12" s="10" t="s">
        <v>3</v>
      </c>
      <c r="L12" s="10" t="s">
        <v>15</v>
      </c>
      <c r="M12" s="10" t="s">
        <v>110</v>
      </c>
      <c r="N12" s="10" t="s">
        <v>111</v>
      </c>
      <c r="O12" s="10"/>
      <c r="P12" s="12"/>
      <c r="Q12" s="12"/>
    </row>
    <row r="13" customFormat="false" ht="23.85" hidden="false" customHeight="false" outlineLevel="0" collapsed="false">
      <c r="A13" s="10" t="n">
        <v>9</v>
      </c>
      <c r="B13" s="10" t="s">
        <v>112</v>
      </c>
      <c r="C13" s="11" t="s">
        <v>113</v>
      </c>
      <c r="D13" s="10" t="s">
        <v>7</v>
      </c>
      <c r="E13" s="10" t="s">
        <v>46</v>
      </c>
      <c r="F13" s="10" t="s">
        <v>114</v>
      </c>
      <c r="G13" s="10" t="s">
        <v>115</v>
      </c>
      <c r="H13" s="10" t="s">
        <v>66</v>
      </c>
      <c r="I13" s="10" t="s">
        <v>116</v>
      </c>
      <c r="J13" s="10" t="s">
        <v>117</v>
      </c>
      <c r="K13" s="10" t="s">
        <v>3</v>
      </c>
      <c r="L13" s="10" t="s">
        <v>15</v>
      </c>
      <c r="M13" s="10" t="s">
        <v>110</v>
      </c>
      <c r="N13" s="10" t="s">
        <v>118</v>
      </c>
      <c r="O13" s="10" t="s">
        <v>119</v>
      </c>
      <c r="P13" s="12"/>
      <c r="Q13" s="12"/>
    </row>
    <row r="14" customFormat="false" ht="23.85" hidden="false" customHeight="false" outlineLevel="0" collapsed="false">
      <c r="A14" s="10" t="n">
        <v>10</v>
      </c>
      <c r="B14" s="10" t="s">
        <v>120</v>
      </c>
      <c r="C14" s="11" t="s">
        <v>121</v>
      </c>
      <c r="D14" s="10" t="s">
        <v>122</v>
      </c>
      <c r="E14" s="10" t="s">
        <v>46</v>
      </c>
      <c r="F14" s="10" t="s">
        <v>123</v>
      </c>
      <c r="G14" s="10" t="s">
        <v>124</v>
      </c>
      <c r="H14" s="10" t="s">
        <v>66</v>
      </c>
      <c r="I14" s="10" t="s">
        <v>125</v>
      </c>
      <c r="J14" s="10" t="s">
        <v>126</v>
      </c>
      <c r="K14" s="10" t="s">
        <v>3</v>
      </c>
      <c r="L14" s="10" t="s">
        <v>15</v>
      </c>
      <c r="M14" s="10" t="s">
        <v>127</v>
      </c>
      <c r="N14" s="10" t="s">
        <v>128</v>
      </c>
      <c r="O14" s="10" t="s">
        <v>129</v>
      </c>
      <c r="P14" s="12"/>
      <c r="Q14" s="12"/>
    </row>
    <row r="15" customFormat="false" ht="23.85" hidden="false" customHeight="false" outlineLevel="0" collapsed="false">
      <c r="A15" s="10" t="n">
        <v>11</v>
      </c>
      <c r="B15" s="10" t="s">
        <v>130</v>
      </c>
      <c r="C15" s="11" t="s">
        <v>131</v>
      </c>
      <c r="D15" s="10" t="s">
        <v>88</v>
      </c>
      <c r="E15" s="10" t="s">
        <v>46</v>
      </c>
      <c r="F15" s="10" t="s">
        <v>132</v>
      </c>
      <c r="G15" s="10" t="s">
        <v>133</v>
      </c>
      <c r="H15" s="10" t="s">
        <v>66</v>
      </c>
      <c r="I15" s="10" t="s">
        <v>134</v>
      </c>
      <c r="J15" s="10" t="s">
        <v>135</v>
      </c>
      <c r="K15" s="10" t="s">
        <v>3</v>
      </c>
      <c r="L15" s="10" t="s">
        <v>15</v>
      </c>
      <c r="M15" s="10" t="s">
        <v>136</v>
      </c>
      <c r="N15" s="10" t="s">
        <v>137</v>
      </c>
      <c r="O15" s="10" t="s">
        <v>138</v>
      </c>
      <c r="P15" s="12"/>
      <c r="Q15" s="12"/>
    </row>
    <row r="16" customFormat="false" ht="23.85" hidden="false" customHeight="false" outlineLevel="0" collapsed="false">
      <c r="A16" s="10" t="n">
        <v>12</v>
      </c>
      <c r="B16" s="10" t="s">
        <v>139</v>
      </c>
      <c r="C16" s="11" t="s">
        <v>140</v>
      </c>
      <c r="D16" s="10" t="s">
        <v>122</v>
      </c>
      <c r="E16" s="10" t="s">
        <v>46</v>
      </c>
      <c r="F16" s="10" t="s">
        <v>141</v>
      </c>
      <c r="G16" s="10" t="s">
        <v>142</v>
      </c>
      <c r="H16" s="10" t="s">
        <v>66</v>
      </c>
      <c r="I16" s="10" t="s">
        <v>143</v>
      </c>
      <c r="J16" s="10" t="s">
        <v>144</v>
      </c>
      <c r="K16" s="10" t="s">
        <v>3</v>
      </c>
      <c r="L16" s="10" t="s">
        <v>15</v>
      </c>
      <c r="M16" s="10" t="s">
        <v>127</v>
      </c>
      <c r="N16" s="10" t="s">
        <v>145</v>
      </c>
      <c r="O16" s="10" t="s">
        <v>129</v>
      </c>
      <c r="P16" s="12"/>
      <c r="Q16" s="12"/>
    </row>
    <row r="17" customFormat="false" ht="23.85" hidden="false" customHeight="false" outlineLevel="0" collapsed="false">
      <c r="A17" s="10" t="n">
        <v>13</v>
      </c>
      <c r="B17" s="10" t="s">
        <v>146</v>
      </c>
      <c r="C17" s="11" t="s">
        <v>147</v>
      </c>
      <c r="D17" s="10" t="s">
        <v>7</v>
      </c>
      <c r="E17" s="10" t="s">
        <v>46</v>
      </c>
      <c r="F17" s="10" t="s">
        <v>148</v>
      </c>
      <c r="G17" s="10" t="s">
        <v>149</v>
      </c>
      <c r="H17" s="10" t="s">
        <v>150</v>
      </c>
      <c r="I17" s="10" t="s">
        <v>151</v>
      </c>
      <c r="J17" s="10" t="s">
        <v>152</v>
      </c>
      <c r="K17" s="10" t="s">
        <v>3</v>
      </c>
      <c r="L17" s="10" t="s">
        <v>15</v>
      </c>
      <c r="M17" s="10" t="s">
        <v>94</v>
      </c>
      <c r="N17" s="10" t="s">
        <v>153</v>
      </c>
      <c r="O17" s="10"/>
      <c r="P17" s="12"/>
      <c r="Q17" s="12"/>
    </row>
    <row r="18" customFormat="false" ht="23.85" hidden="false" customHeight="false" outlineLevel="0" collapsed="false">
      <c r="A18" s="10" t="n">
        <v>14</v>
      </c>
      <c r="B18" s="10" t="s">
        <v>154</v>
      </c>
      <c r="C18" s="11" t="s">
        <v>155</v>
      </c>
      <c r="D18" s="10" t="s">
        <v>11</v>
      </c>
      <c r="E18" s="10" t="s">
        <v>156</v>
      </c>
      <c r="F18" s="10" t="s">
        <v>157</v>
      </c>
      <c r="G18" s="10" t="s">
        <v>158</v>
      </c>
      <c r="H18" s="10" t="s">
        <v>159</v>
      </c>
      <c r="I18" s="10" t="s">
        <v>160</v>
      </c>
      <c r="J18" s="10" t="s">
        <v>161</v>
      </c>
      <c r="K18" s="10" t="s">
        <v>3</v>
      </c>
      <c r="L18" s="10" t="s">
        <v>16</v>
      </c>
      <c r="M18" s="10"/>
      <c r="N18" s="10"/>
      <c r="O18" s="10" t="s">
        <v>159</v>
      </c>
      <c r="P18" s="12"/>
      <c r="Q18" s="12"/>
    </row>
    <row r="19" customFormat="false" ht="23.85" hidden="false" customHeight="false" outlineLevel="0" collapsed="false">
      <c r="A19" s="10" t="n">
        <v>15</v>
      </c>
      <c r="B19" s="10" t="s">
        <v>162</v>
      </c>
      <c r="C19" s="11" t="s">
        <v>163</v>
      </c>
      <c r="D19" s="10" t="s">
        <v>11</v>
      </c>
      <c r="E19" s="10" t="s">
        <v>164</v>
      </c>
      <c r="F19" s="10" t="s">
        <v>157</v>
      </c>
      <c r="G19" s="10" t="s">
        <v>165</v>
      </c>
      <c r="H19" s="10" t="s">
        <v>159</v>
      </c>
      <c r="I19" s="10" t="s">
        <v>166</v>
      </c>
      <c r="J19" s="10" t="s">
        <v>167</v>
      </c>
      <c r="K19" s="10" t="s">
        <v>3</v>
      </c>
      <c r="L19" s="10" t="s">
        <v>15</v>
      </c>
      <c r="M19" s="10" t="s">
        <v>52</v>
      </c>
      <c r="N19" s="10" t="s">
        <v>168</v>
      </c>
      <c r="O19" s="10" t="s">
        <v>169</v>
      </c>
      <c r="P19" s="12"/>
      <c r="Q19" s="12"/>
    </row>
    <row r="20" customFormat="false" ht="23.85" hidden="false" customHeight="false" outlineLevel="0" collapsed="false">
      <c r="A20" s="10" t="n">
        <v>16</v>
      </c>
      <c r="B20" s="10" t="s">
        <v>170</v>
      </c>
      <c r="C20" s="11" t="s">
        <v>171</v>
      </c>
      <c r="D20" s="10" t="s">
        <v>11</v>
      </c>
      <c r="E20" s="10" t="s">
        <v>172</v>
      </c>
      <c r="F20" s="10" t="s">
        <v>173</v>
      </c>
      <c r="G20" s="10" t="s">
        <v>174</v>
      </c>
      <c r="H20" s="10" t="s">
        <v>159</v>
      </c>
      <c r="I20" s="10" t="s">
        <v>175</v>
      </c>
      <c r="J20" s="10" t="s">
        <v>176</v>
      </c>
      <c r="K20" s="10" t="s">
        <v>3</v>
      </c>
      <c r="L20" s="10" t="s">
        <v>15</v>
      </c>
      <c r="M20" s="10" t="s">
        <v>52</v>
      </c>
      <c r="N20" s="10" t="s">
        <v>177</v>
      </c>
      <c r="O20" s="10" t="s">
        <v>159</v>
      </c>
      <c r="P20" s="12"/>
      <c r="Q20" s="12"/>
    </row>
    <row r="21" customFormat="false" ht="23.85" hidden="false" customHeight="false" outlineLevel="0" collapsed="false">
      <c r="A21" s="10" t="n">
        <v>17</v>
      </c>
      <c r="B21" s="10" t="s">
        <v>178</v>
      </c>
      <c r="C21" s="11" t="s">
        <v>179</v>
      </c>
      <c r="D21" s="10" t="s">
        <v>11</v>
      </c>
      <c r="E21" s="10" t="s">
        <v>180</v>
      </c>
      <c r="F21" s="10" t="s">
        <v>157</v>
      </c>
      <c r="G21" s="10" t="s">
        <v>158</v>
      </c>
      <c r="H21" s="10" t="s">
        <v>66</v>
      </c>
      <c r="I21" s="10" t="s">
        <v>181</v>
      </c>
      <c r="J21" s="10" t="s">
        <v>182</v>
      </c>
      <c r="K21" s="10" t="s">
        <v>3</v>
      </c>
      <c r="L21" s="10" t="s">
        <v>16</v>
      </c>
      <c r="M21" s="10"/>
      <c r="N21" s="10"/>
      <c r="O21" s="10"/>
      <c r="P21" s="12"/>
      <c r="Q21" s="12"/>
    </row>
    <row r="22" customFormat="false" ht="23.85" hidden="false" customHeight="false" outlineLevel="0" collapsed="false">
      <c r="A22" s="10" t="n">
        <v>18</v>
      </c>
      <c r="B22" s="10" t="s">
        <v>183</v>
      </c>
      <c r="C22" s="11" t="s">
        <v>184</v>
      </c>
      <c r="D22" s="10" t="s">
        <v>8</v>
      </c>
      <c r="E22" s="10" t="s">
        <v>185</v>
      </c>
      <c r="F22" s="10" t="s">
        <v>186</v>
      </c>
      <c r="G22" s="10" t="s">
        <v>187</v>
      </c>
      <c r="H22" s="10" t="s">
        <v>188</v>
      </c>
      <c r="I22" s="10" t="s">
        <v>189</v>
      </c>
      <c r="J22" s="10" t="s">
        <v>190</v>
      </c>
      <c r="K22" s="10" t="s">
        <v>3</v>
      </c>
      <c r="L22" s="10" t="s">
        <v>15</v>
      </c>
      <c r="M22" s="10" t="s">
        <v>136</v>
      </c>
      <c r="N22" s="10" t="s">
        <v>191</v>
      </c>
      <c r="O22" s="10" t="s">
        <v>192</v>
      </c>
      <c r="P22" s="12"/>
      <c r="Q22" s="12"/>
    </row>
    <row r="23" customFormat="false" ht="15" hidden="false" customHeight="false" outlineLevel="0" collapsed="false">
      <c r="A23" s="10" t="n">
        <v>19</v>
      </c>
      <c r="B23" s="10" t="s">
        <v>193</v>
      </c>
      <c r="C23" s="11" t="s">
        <v>194</v>
      </c>
      <c r="D23" s="10" t="s">
        <v>8</v>
      </c>
      <c r="E23" s="10" t="s">
        <v>46</v>
      </c>
      <c r="F23" s="10" t="s">
        <v>195</v>
      </c>
      <c r="G23" s="10" t="s">
        <v>196</v>
      </c>
      <c r="H23" s="10" t="s">
        <v>66</v>
      </c>
      <c r="I23" s="10" t="s">
        <v>197</v>
      </c>
      <c r="J23" s="10" t="s">
        <v>198</v>
      </c>
      <c r="K23" s="10" t="s">
        <v>3</v>
      </c>
      <c r="L23" s="10" t="s">
        <v>15</v>
      </c>
      <c r="M23" s="10" t="s">
        <v>199</v>
      </c>
      <c r="N23" s="10" t="s">
        <v>200</v>
      </c>
      <c r="O23" s="10"/>
      <c r="P23" s="12"/>
      <c r="Q23" s="12"/>
    </row>
    <row r="24" customFormat="false" ht="15" hidden="false" customHeight="false" outlineLevel="0" collapsed="false">
      <c r="A24" s="10" t="n">
        <v>20</v>
      </c>
      <c r="B24" s="10" t="s">
        <v>201</v>
      </c>
      <c r="C24" s="11" t="s">
        <v>202</v>
      </c>
      <c r="D24" s="10" t="s">
        <v>8</v>
      </c>
      <c r="E24" s="10" t="s">
        <v>203</v>
      </c>
      <c r="F24" s="10" t="s">
        <v>204</v>
      </c>
      <c r="G24" s="10" t="s">
        <v>205</v>
      </c>
      <c r="H24" s="10" t="s">
        <v>206</v>
      </c>
      <c r="I24" s="10" t="s">
        <v>207</v>
      </c>
      <c r="J24" s="10" t="s">
        <v>208</v>
      </c>
      <c r="K24" s="10" t="s">
        <v>3</v>
      </c>
      <c r="L24" s="10" t="s">
        <v>15</v>
      </c>
      <c r="M24" s="10" t="s">
        <v>199</v>
      </c>
      <c r="N24" s="10" t="s">
        <v>209</v>
      </c>
      <c r="O24" s="10"/>
      <c r="P24" s="12"/>
      <c r="Q24" s="12"/>
    </row>
    <row r="25" customFormat="false" ht="15" hidden="false" customHeight="false" outlineLevel="0" collapsed="false">
      <c r="A25" s="10" t="n">
        <v>21</v>
      </c>
      <c r="B25" s="10" t="s">
        <v>210</v>
      </c>
      <c r="C25" s="11" t="s">
        <v>211</v>
      </c>
      <c r="D25" s="10" t="s">
        <v>8</v>
      </c>
      <c r="E25" s="10" t="s">
        <v>46</v>
      </c>
      <c r="F25" s="10" t="s">
        <v>212</v>
      </c>
      <c r="G25" s="10" t="s">
        <v>213</v>
      </c>
      <c r="H25" s="10" t="s">
        <v>49</v>
      </c>
      <c r="I25" s="10" t="s">
        <v>214</v>
      </c>
      <c r="J25" s="10" t="s">
        <v>215</v>
      </c>
      <c r="K25" s="10" t="s">
        <v>3</v>
      </c>
      <c r="L25" s="10" t="s">
        <v>15</v>
      </c>
      <c r="M25" s="10" t="s">
        <v>136</v>
      </c>
      <c r="N25" s="10" t="s">
        <v>216</v>
      </c>
      <c r="O25" s="10"/>
      <c r="P25" s="12"/>
      <c r="Q25" s="12"/>
    </row>
    <row r="26" customFormat="false" ht="15" hidden="false" customHeight="false" outlineLevel="0" collapsed="false">
      <c r="A26" s="10" t="n">
        <v>22</v>
      </c>
      <c r="B26" s="10" t="s">
        <v>217</v>
      </c>
      <c r="C26" s="11" t="s">
        <v>218</v>
      </c>
      <c r="D26" s="10" t="s">
        <v>10</v>
      </c>
      <c r="E26" s="10" t="s">
        <v>46</v>
      </c>
      <c r="F26" s="10" t="s">
        <v>219</v>
      </c>
      <c r="G26" s="10" t="s">
        <v>220</v>
      </c>
      <c r="H26" s="10" t="s">
        <v>221</v>
      </c>
      <c r="I26" s="10" t="s">
        <v>222</v>
      </c>
      <c r="J26" s="10" t="s">
        <v>223</v>
      </c>
      <c r="K26" s="10" t="s">
        <v>3</v>
      </c>
      <c r="L26" s="10" t="s">
        <v>15</v>
      </c>
      <c r="M26" s="10" t="s">
        <v>136</v>
      </c>
      <c r="N26" s="10" t="s">
        <v>224</v>
      </c>
      <c r="O26" s="10"/>
      <c r="P26" s="12"/>
      <c r="Q26" s="12"/>
    </row>
    <row r="27" customFormat="false" ht="23.85" hidden="false" customHeight="false" outlineLevel="0" collapsed="false">
      <c r="A27" s="10" t="n">
        <v>23</v>
      </c>
      <c r="B27" s="10" t="s">
        <v>225</v>
      </c>
      <c r="C27" s="11" t="s">
        <v>226</v>
      </c>
      <c r="D27" s="10" t="s">
        <v>10</v>
      </c>
      <c r="E27" s="10" t="s">
        <v>46</v>
      </c>
      <c r="F27" s="10" t="s">
        <v>227</v>
      </c>
      <c r="G27" s="10" t="s">
        <v>228</v>
      </c>
      <c r="H27" s="10" t="s">
        <v>49</v>
      </c>
      <c r="I27" s="10" t="s">
        <v>229</v>
      </c>
      <c r="J27" s="10" t="s">
        <v>230</v>
      </c>
      <c r="K27" s="10" t="s">
        <v>3</v>
      </c>
      <c r="L27" s="10" t="s">
        <v>15</v>
      </c>
      <c r="M27" s="10" t="s">
        <v>127</v>
      </c>
      <c r="N27" s="10" t="s">
        <v>231</v>
      </c>
      <c r="O27" s="10"/>
      <c r="P27" s="12"/>
      <c r="Q27" s="12"/>
    </row>
    <row r="28" customFormat="false" ht="23.85" hidden="false" customHeight="false" outlineLevel="0" collapsed="false">
      <c r="A28" s="10" t="n">
        <v>24</v>
      </c>
      <c r="B28" s="10" t="s">
        <v>232</v>
      </c>
      <c r="C28" s="11" t="s">
        <v>233</v>
      </c>
      <c r="D28" s="10" t="s">
        <v>10</v>
      </c>
      <c r="E28" s="10" t="s">
        <v>234</v>
      </c>
      <c r="F28" s="10" t="s">
        <v>235</v>
      </c>
      <c r="G28" s="10" t="s">
        <v>236</v>
      </c>
      <c r="H28" s="10" t="s">
        <v>66</v>
      </c>
      <c r="I28" s="10" t="s">
        <v>237</v>
      </c>
      <c r="J28" s="10" t="s">
        <v>238</v>
      </c>
      <c r="K28" s="10" t="s">
        <v>3</v>
      </c>
      <c r="L28" s="10" t="s">
        <v>15</v>
      </c>
      <c r="M28" s="10" t="s">
        <v>127</v>
      </c>
      <c r="N28" s="10" t="s">
        <v>239</v>
      </c>
      <c r="O28" s="10" t="s">
        <v>240</v>
      </c>
      <c r="P28" s="12"/>
      <c r="Q28" s="12"/>
    </row>
    <row r="29" customFormat="false" ht="15" hidden="false" customHeight="false" outlineLevel="0" collapsed="false">
      <c r="A29" s="10" t="n">
        <v>25</v>
      </c>
      <c r="B29" s="10" t="s">
        <v>241</v>
      </c>
      <c r="C29" s="11" t="s">
        <v>242</v>
      </c>
      <c r="D29" s="10" t="s">
        <v>9</v>
      </c>
      <c r="E29" s="10" t="s">
        <v>243</v>
      </c>
      <c r="F29" s="10" t="s">
        <v>244</v>
      </c>
      <c r="G29" s="10" t="s">
        <v>245</v>
      </c>
      <c r="H29" s="10" t="s">
        <v>246</v>
      </c>
      <c r="I29" s="10" t="s">
        <v>247</v>
      </c>
      <c r="J29" s="10" t="s">
        <v>248</v>
      </c>
      <c r="K29" s="10" t="s">
        <v>4</v>
      </c>
      <c r="L29" s="10" t="s">
        <v>16</v>
      </c>
      <c r="M29" s="10"/>
      <c r="N29" s="10"/>
      <c r="O29" s="10"/>
      <c r="P29" s="12"/>
      <c r="Q29" s="12"/>
    </row>
    <row r="30" customFormat="false" ht="15" hidden="false" customHeight="false" outlineLevel="0" collapsed="false">
      <c r="A30" s="10" t="n">
        <v>26</v>
      </c>
      <c r="B30" s="10" t="s">
        <v>249</v>
      </c>
      <c r="C30" s="11" t="s">
        <v>250</v>
      </c>
      <c r="D30" s="10" t="s">
        <v>9</v>
      </c>
      <c r="E30" s="10" t="s">
        <v>251</v>
      </c>
      <c r="F30" s="10" t="s">
        <v>252</v>
      </c>
      <c r="G30" s="10" t="s">
        <v>253</v>
      </c>
      <c r="H30" s="10" t="s">
        <v>254</v>
      </c>
      <c r="I30" s="10" t="s">
        <v>255</v>
      </c>
      <c r="J30" s="10" t="s">
        <v>256</v>
      </c>
      <c r="K30" s="10" t="s">
        <v>4</v>
      </c>
      <c r="L30" s="10" t="s">
        <v>16</v>
      </c>
      <c r="M30" s="10"/>
      <c r="N30" s="10"/>
      <c r="O30" s="10"/>
      <c r="P30" s="12"/>
      <c r="Q30" s="12"/>
    </row>
    <row r="31" customFormat="false" ht="15" hidden="false" customHeight="false" outlineLevel="0" collapsed="false">
      <c r="A31" s="10" t="n">
        <v>27</v>
      </c>
      <c r="B31" s="10" t="s">
        <v>257</v>
      </c>
      <c r="C31" s="11" t="s">
        <v>258</v>
      </c>
      <c r="D31" s="10" t="s">
        <v>9</v>
      </c>
      <c r="E31" s="10" t="s">
        <v>259</v>
      </c>
      <c r="F31" s="10" t="s">
        <v>260</v>
      </c>
      <c r="G31" s="10" t="s">
        <v>261</v>
      </c>
      <c r="H31" s="10" t="s">
        <v>262</v>
      </c>
      <c r="I31" s="10" t="s">
        <v>263</v>
      </c>
      <c r="J31" s="10" t="s">
        <v>264</v>
      </c>
      <c r="K31" s="10" t="s">
        <v>4</v>
      </c>
      <c r="L31" s="10" t="s">
        <v>16</v>
      </c>
      <c r="M31" s="10"/>
      <c r="N31" s="10"/>
      <c r="O31" s="10"/>
      <c r="P31" s="12"/>
      <c r="Q31" s="12"/>
    </row>
    <row r="32" customFormat="false" ht="15" hidden="false" customHeight="false" outlineLevel="0" collapsed="false">
      <c r="A32" s="10" t="n">
        <v>28</v>
      </c>
      <c r="B32" s="10" t="s">
        <v>265</v>
      </c>
      <c r="C32" s="11" t="s">
        <v>266</v>
      </c>
      <c r="D32" s="10" t="s">
        <v>9</v>
      </c>
      <c r="E32" s="10" t="s">
        <v>46</v>
      </c>
      <c r="F32" s="10" t="s">
        <v>267</v>
      </c>
      <c r="G32" s="10" t="s">
        <v>268</v>
      </c>
      <c r="H32" s="10" t="s">
        <v>49</v>
      </c>
      <c r="I32" s="10" t="s">
        <v>269</v>
      </c>
      <c r="J32" s="10" t="s">
        <v>270</v>
      </c>
      <c r="K32" s="10" t="s">
        <v>4</v>
      </c>
      <c r="L32" s="10" t="s">
        <v>16</v>
      </c>
      <c r="M32" s="10"/>
      <c r="N32" s="10"/>
      <c r="O32" s="10"/>
      <c r="P32" s="12"/>
      <c r="Q32" s="12"/>
    </row>
    <row r="33" customFormat="false" ht="23.85" hidden="false" customHeight="false" outlineLevel="0" collapsed="false">
      <c r="A33" s="10" t="n">
        <v>29</v>
      </c>
      <c r="B33" s="10" t="s">
        <v>271</v>
      </c>
      <c r="C33" s="11" t="s">
        <v>272</v>
      </c>
      <c r="D33" s="10" t="s">
        <v>9</v>
      </c>
      <c r="E33" s="10" t="s">
        <v>251</v>
      </c>
      <c r="F33" s="10" t="s">
        <v>273</v>
      </c>
      <c r="G33" s="10" t="s">
        <v>274</v>
      </c>
      <c r="H33" s="10" t="s">
        <v>66</v>
      </c>
      <c r="I33" s="10" t="s">
        <v>275</v>
      </c>
      <c r="J33" s="10" t="s">
        <v>276</v>
      </c>
      <c r="K33" s="10" t="s">
        <v>4</v>
      </c>
      <c r="L33" s="10" t="s">
        <v>16</v>
      </c>
      <c r="M33" s="10"/>
      <c r="N33" s="10"/>
      <c r="O33" s="10"/>
      <c r="P33" s="12"/>
      <c r="Q33" s="12"/>
    </row>
    <row r="34" customFormat="false" ht="15" hidden="false" customHeight="false" outlineLevel="0" collapsed="false">
      <c r="A34" s="10" t="n">
        <v>30</v>
      </c>
      <c r="B34" s="10" t="s">
        <v>277</v>
      </c>
      <c r="C34" s="11" t="s">
        <v>278</v>
      </c>
      <c r="D34" s="10" t="s">
        <v>9</v>
      </c>
      <c r="E34" s="10" t="s">
        <v>46</v>
      </c>
      <c r="F34" s="10" t="s">
        <v>279</v>
      </c>
      <c r="G34" s="10" t="s">
        <v>280</v>
      </c>
      <c r="H34" s="10" t="s">
        <v>58</v>
      </c>
      <c r="I34" s="10" t="s">
        <v>281</v>
      </c>
      <c r="J34" s="10" t="s">
        <v>282</v>
      </c>
      <c r="K34" s="10" t="s">
        <v>4</v>
      </c>
      <c r="L34" s="10" t="s">
        <v>16</v>
      </c>
      <c r="M34" s="10"/>
      <c r="N34" s="10"/>
      <c r="O34" s="10"/>
      <c r="P34" s="12"/>
      <c r="Q34" s="12"/>
    </row>
    <row r="35" customFormat="false" ht="23.85" hidden="false" customHeight="false" outlineLevel="0" collapsed="false">
      <c r="A35" s="10" t="n">
        <v>31</v>
      </c>
      <c r="B35" s="10" t="s">
        <v>283</v>
      </c>
      <c r="C35" s="11" t="s">
        <v>284</v>
      </c>
      <c r="D35" s="10" t="s">
        <v>7</v>
      </c>
      <c r="E35" s="10" t="s">
        <v>46</v>
      </c>
      <c r="F35" s="10" t="s">
        <v>285</v>
      </c>
      <c r="G35" s="10" t="s">
        <v>286</v>
      </c>
      <c r="H35" s="10" t="s">
        <v>66</v>
      </c>
      <c r="I35" s="10" t="s">
        <v>287</v>
      </c>
      <c r="J35" s="10" t="s">
        <v>288</v>
      </c>
      <c r="K35" s="10" t="s">
        <v>4</v>
      </c>
      <c r="L35" s="10" t="s">
        <v>16</v>
      </c>
      <c r="M35" s="10"/>
      <c r="N35" s="10"/>
      <c r="O35" s="10"/>
      <c r="P35" s="12"/>
      <c r="Q35" s="12"/>
    </row>
    <row r="36" customFormat="false" ht="23.85" hidden="false" customHeight="false" outlineLevel="0" collapsed="false">
      <c r="A36" s="10" t="n">
        <v>32</v>
      </c>
      <c r="B36" s="10" t="s">
        <v>289</v>
      </c>
      <c r="C36" s="11" t="s">
        <v>290</v>
      </c>
      <c r="D36" s="10" t="s">
        <v>7</v>
      </c>
      <c r="E36" s="10" t="s">
        <v>46</v>
      </c>
      <c r="F36" s="10" t="s">
        <v>291</v>
      </c>
      <c r="G36" s="10" t="s">
        <v>292</v>
      </c>
      <c r="H36" s="10" t="s">
        <v>293</v>
      </c>
      <c r="I36" s="10" t="s">
        <v>294</v>
      </c>
      <c r="J36" s="10" t="s">
        <v>295</v>
      </c>
      <c r="K36" s="10" t="s">
        <v>4</v>
      </c>
      <c r="L36" s="10" t="s">
        <v>16</v>
      </c>
      <c r="M36" s="10"/>
      <c r="N36" s="10"/>
      <c r="O36" s="10"/>
      <c r="P36" s="12"/>
      <c r="Q36" s="12"/>
    </row>
    <row r="37" customFormat="false" ht="23.85" hidden="false" customHeight="false" outlineLevel="0" collapsed="false">
      <c r="A37" s="10" t="n">
        <v>33</v>
      </c>
      <c r="B37" s="10" t="s">
        <v>296</v>
      </c>
      <c r="C37" s="11" t="s">
        <v>297</v>
      </c>
      <c r="D37" s="10" t="s">
        <v>7</v>
      </c>
      <c r="E37" s="10" t="s">
        <v>298</v>
      </c>
      <c r="F37" s="10" t="s">
        <v>299</v>
      </c>
      <c r="G37" s="10" t="s">
        <v>300</v>
      </c>
      <c r="H37" s="10" t="s">
        <v>301</v>
      </c>
      <c r="I37" s="10" t="s">
        <v>302</v>
      </c>
      <c r="J37" s="10" t="s">
        <v>303</v>
      </c>
      <c r="K37" s="10" t="s">
        <v>4</v>
      </c>
      <c r="L37" s="10" t="s">
        <v>16</v>
      </c>
      <c r="M37" s="10"/>
      <c r="N37" s="10"/>
      <c r="O37" s="10"/>
      <c r="P37" s="12"/>
      <c r="Q37" s="12"/>
    </row>
    <row r="38" customFormat="false" ht="15" hidden="false" customHeight="false" outlineLevel="0" collapsed="false">
      <c r="A38" s="10" t="n">
        <v>34</v>
      </c>
      <c r="B38" s="10" t="s">
        <v>304</v>
      </c>
      <c r="C38" s="11" t="s">
        <v>305</v>
      </c>
      <c r="D38" s="10" t="s">
        <v>7</v>
      </c>
      <c r="E38" s="10" t="s">
        <v>306</v>
      </c>
      <c r="F38" s="10" t="s">
        <v>307</v>
      </c>
      <c r="G38" s="10" t="s">
        <v>91</v>
      </c>
      <c r="H38" s="10" t="s">
        <v>66</v>
      </c>
      <c r="I38" s="10" t="s">
        <v>308</v>
      </c>
      <c r="J38" s="10" t="s">
        <v>309</v>
      </c>
      <c r="K38" s="10" t="s">
        <v>4</v>
      </c>
      <c r="L38" s="10" t="s">
        <v>16</v>
      </c>
      <c r="M38" s="10"/>
      <c r="N38" s="10"/>
      <c r="O38" s="10"/>
      <c r="P38" s="12"/>
      <c r="Q38" s="12"/>
    </row>
    <row r="39" customFormat="false" ht="23.85" hidden="false" customHeight="false" outlineLevel="0" collapsed="false">
      <c r="A39" s="10" t="n">
        <v>35</v>
      </c>
      <c r="B39" s="10" t="s">
        <v>310</v>
      </c>
      <c r="C39" s="11" t="s">
        <v>311</v>
      </c>
      <c r="D39" s="10" t="s">
        <v>88</v>
      </c>
      <c r="E39" s="10" t="s">
        <v>46</v>
      </c>
      <c r="F39" s="10" t="s">
        <v>312</v>
      </c>
      <c r="G39" s="10" t="s">
        <v>91</v>
      </c>
      <c r="H39" s="10" t="s">
        <v>66</v>
      </c>
      <c r="I39" s="10" t="s">
        <v>313</v>
      </c>
      <c r="J39" s="10" t="s">
        <v>314</v>
      </c>
      <c r="K39" s="10" t="s">
        <v>4</v>
      </c>
      <c r="L39" s="10" t="s">
        <v>16</v>
      </c>
      <c r="M39" s="10"/>
      <c r="N39" s="10"/>
      <c r="O39" s="10"/>
      <c r="P39" s="12"/>
      <c r="Q39" s="12"/>
    </row>
    <row r="40" customFormat="false" ht="15" hidden="false" customHeight="false" outlineLevel="0" collapsed="false">
      <c r="A40" s="10" t="n">
        <v>36</v>
      </c>
      <c r="B40" s="10" t="s">
        <v>315</v>
      </c>
      <c r="C40" s="11" t="s">
        <v>316</v>
      </c>
      <c r="D40" s="10" t="s">
        <v>11</v>
      </c>
      <c r="E40" s="10" t="s">
        <v>46</v>
      </c>
      <c r="F40" s="10" t="s">
        <v>173</v>
      </c>
      <c r="G40" s="10" t="s">
        <v>317</v>
      </c>
      <c r="H40" s="10" t="s">
        <v>318</v>
      </c>
      <c r="I40" s="10" t="s">
        <v>319</v>
      </c>
      <c r="J40" s="10" t="s">
        <v>320</v>
      </c>
      <c r="K40" s="10" t="s">
        <v>4</v>
      </c>
      <c r="L40" s="10" t="s">
        <v>16</v>
      </c>
      <c r="M40" s="10"/>
      <c r="N40" s="10"/>
      <c r="O40" s="10"/>
      <c r="P40" s="12"/>
      <c r="Q40" s="12"/>
    </row>
    <row r="41" customFormat="false" ht="23.85" hidden="false" customHeight="false" outlineLevel="0" collapsed="false">
      <c r="A41" s="10" t="n">
        <v>37</v>
      </c>
      <c r="B41" s="10" t="s">
        <v>321</v>
      </c>
      <c r="C41" s="11" t="s">
        <v>322</v>
      </c>
      <c r="D41" s="10" t="s">
        <v>11</v>
      </c>
      <c r="E41" s="10" t="s">
        <v>323</v>
      </c>
      <c r="F41" s="10" t="s">
        <v>324</v>
      </c>
      <c r="G41" s="10" t="s">
        <v>325</v>
      </c>
      <c r="H41" s="10" t="s">
        <v>159</v>
      </c>
      <c r="I41" s="10" t="s">
        <v>326</v>
      </c>
      <c r="J41" s="10" t="s">
        <v>327</v>
      </c>
      <c r="K41" s="10" t="s">
        <v>4</v>
      </c>
      <c r="L41" s="10" t="s">
        <v>16</v>
      </c>
      <c r="M41" s="10"/>
      <c r="N41" s="10"/>
      <c r="O41" s="10"/>
      <c r="P41" s="12"/>
      <c r="Q41" s="12"/>
    </row>
    <row r="42" customFormat="false" ht="23.85" hidden="false" customHeight="false" outlineLevel="0" collapsed="false">
      <c r="A42" s="10" t="n">
        <v>38</v>
      </c>
      <c r="B42" s="10" t="s">
        <v>328</v>
      </c>
      <c r="C42" s="11" t="s">
        <v>329</v>
      </c>
      <c r="D42" s="10" t="s">
        <v>11</v>
      </c>
      <c r="E42" s="10" t="s">
        <v>330</v>
      </c>
      <c r="F42" s="10" t="s">
        <v>157</v>
      </c>
      <c r="G42" s="10" t="s">
        <v>331</v>
      </c>
      <c r="H42" s="10" t="s">
        <v>332</v>
      </c>
      <c r="I42" s="10" t="s">
        <v>333</v>
      </c>
      <c r="J42" s="10" t="s">
        <v>334</v>
      </c>
      <c r="K42" s="10" t="s">
        <v>4</v>
      </c>
      <c r="L42" s="10" t="s">
        <v>16</v>
      </c>
      <c r="M42" s="10"/>
      <c r="N42" s="10"/>
      <c r="O42" s="10" t="s">
        <v>335</v>
      </c>
      <c r="P42" s="12"/>
      <c r="Q42" s="12"/>
    </row>
    <row r="43" customFormat="false" ht="15" hidden="false" customHeight="false" outlineLevel="0" collapsed="false">
      <c r="A43" s="10" t="n">
        <v>39</v>
      </c>
      <c r="B43" s="10" t="s">
        <v>336</v>
      </c>
      <c r="C43" s="11" t="s">
        <v>337</v>
      </c>
      <c r="D43" s="10" t="s">
        <v>11</v>
      </c>
      <c r="E43" s="10" t="s">
        <v>46</v>
      </c>
      <c r="F43" s="10" t="s">
        <v>338</v>
      </c>
      <c r="G43" s="10" t="s">
        <v>339</v>
      </c>
      <c r="H43" s="10" t="s">
        <v>58</v>
      </c>
      <c r="I43" s="10" t="s">
        <v>340</v>
      </c>
      <c r="J43" s="10" t="s">
        <v>341</v>
      </c>
      <c r="K43" s="10" t="s">
        <v>4</v>
      </c>
      <c r="L43" s="10" t="s">
        <v>16</v>
      </c>
      <c r="M43" s="10"/>
      <c r="N43" s="10"/>
      <c r="O43" s="10"/>
      <c r="P43" s="12"/>
      <c r="Q43" s="12"/>
    </row>
    <row r="44" customFormat="false" ht="15" hidden="false" customHeight="false" outlineLevel="0" collapsed="false">
      <c r="A44" s="10" t="n">
        <v>40</v>
      </c>
      <c r="B44" s="10" t="s">
        <v>342</v>
      </c>
      <c r="C44" s="11" t="s">
        <v>343</v>
      </c>
      <c r="D44" s="10" t="s">
        <v>11</v>
      </c>
      <c r="E44" s="10" t="s">
        <v>344</v>
      </c>
      <c r="F44" s="10" t="s">
        <v>345</v>
      </c>
      <c r="G44" s="10" t="s">
        <v>187</v>
      </c>
      <c r="H44" s="10" t="s">
        <v>66</v>
      </c>
      <c r="I44" s="10" t="s">
        <v>346</v>
      </c>
      <c r="J44" s="10" t="s">
        <v>347</v>
      </c>
      <c r="K44" s="10" t="s">
        <v>4</v>
      </c>
      <c r="L44" s="10" t="s">
        <v>16</v>
      </c>
      <c r="M44" s="10"/>
      <c r="N44" s="10"/>
      <c r="O44" s="10"/>
      <c r="P44" s="12"/>
      <c r="Q44" s="12"/>
    </row>
    <row r="45" customFormat="false" ht="15" hidden="false" customHeight="false" outlineLevel="0" collapsed="false">
      <c r="A45" s="10" t="n">
        <v>41</v>
      </c>
      <c r="B45" s="10" t="s">
        <v>348</v>
      </c>
      <c r="C45" s="11" t="s">
        <v>349</v>
      </c>
      <c r="D45" s="10" t="s">
        <v>11</v>
      </c>
      <c r="E45" s="10" t="s">
        <v>46</v>
      </c>
      <c r="F45" s="10" t="s">
        <v>157</v>
      </c>
      <c r="G45" s="10" t="s">
        <v>350</v>
      </c>
      <c r="H45" s="10" t="s">
        <v>66</v>
      </c>
      <c r="I45" s="10" t="s">
        <v>351</v>
      </c>
      <c r="J45" s="10" t="s">
        <v>352</v>
      </c>
      <c r="K45" s="10" t="s">
        <v>4</v>
      </c>
      <c r="L45" s="10" t="s">
        <v>16</v>
      </c>
      <c r="M45" s="10"/>
      <c r="N45" s="10"/>
      <c r="O45" s="10"/>
      <c r="P45" s="12"/>
      <c r="Q45" s="12"/>
    </row>
    <row r="46" customFormat="false" ht="15" hidden="false" customHeight="false" outlineLevel="0" collapsed="false">
      <c r="A46" s="10" t="n">
        <v>42</v>
      </c>
      <c r="B46" s="10" t="s">
        <v>353</v>
      </c>
      <c r="C46" s="11" t="s">
        <v>354</v>
      </c>
      <c r="D46" s="10" t="s">
        <v>11</v>
      </c>
      <c r="E46" s="10" t="s">
        <v>355</v>
      </c>
      <c r="F46" s="10" t="s">
        <v>157</v>
      </c>
      <c r="G46" s="10" t="s">
        <v>356</v>
      </c>
      <c r="H46" s="10" t="s">
        <v>66</v>
      </c>
      <c r="I46" s="10" t="s">
        <v>357</v>
      </c>
      <c r="J46" s="10" t="s">
        <v>358</v>
      </c>
      <c r="K46" s="10" t="s">
        <v>4</v>
      </c>
      <c r="L46" s="10" t="s">
        <v>16</v>
      </c>
      <c r="M46" s="10"/>
      <c r="N46" s="10"/>
      <c r="O46" s="10"/>
      <c r="P46" s="12"/>
      <c r="Q46" s="12"/>
    </row>
    <row r="47" customFormat="false" ht="23.85" hidden="false" customHeight="false" outlineLevel="0" collapsed="false">
      <c r="A47" s="10" t="n">
        <v>43</v>
      </c>
      <c r="B47" s="10" t="s">
        <v>359</v>
      </c>
      <c r="C47" s="11" t="s">
        <v>360</v>
      </c>
      <c r="D47" s="10" t="s">
        <v>8</v>
      </c>
      <c r="E47" s="10" t="s">
        <v>361</v>
      </c>
      <c r="F47" s="10" t="s">
        <v>362</v>
      </c>
      <c r="G47" s="10" t="s">
        <v>363</v>
      </c>
      <c r="H47" s="10" t="s">
        <v>66</v>
      </c>
      <c r="I47" s="10" t="s">
        <v>364</v>
      </c>
      <c r="J47" s="10" t="s">
        <v>365</v>
      </c>
      <c r="K47" s="10" t="s">
        <v>4</v>
      </c>
      <c r="L47" s="10" t="s">
        <v>16</v>
      </c>
      <c r="M47" s="10"/>
      <c r="N47" s="10"/>
      <c r="O47" s="10"/>
      <c r="P47" s="12"/>
      <c r="Q47" s="12"/>
    </row>
    <row r="48" customFormat="false" ht="15" hidden="false" customHeight="false" outlineLevel="0" collapsed="false">
      <c r="A48" s="10" t="n">
        <v>44</v>
      </c>
      <c r="B48" s="10" t="s">
        <v>366</v>
      </c>
      <c r="C48" s="11" t="s">
        <v>367</v>
      </c>
      <c r="D48" s="10" t="s">
        <v>8</v>
      </c>
      <c r="E48" s="10" t="s">
        <v>46</v>
      </c>
      <c r="F48" s="10" t="s">
        <v>368</v>
      </c>
      <c r="G48" s="10" t="s">
        <v>369</v>
      </c>
      <c r="H48" s="10" t="s">
        <v>49</v>
      </c>
      <c r="I48" s="10" t="s">
        <v>370</v>
      </c>
      <c r="J48" s="10" t="s">
        <v>371</v>
      </c>
      <c r="K48" s="10" t="s">
        <v>4</v>
      </c>
      <c r="L48" s="10" t="s">
        <v>16</v>
      </c>
      <c r="M48" s="10"/>
      <c r="N48" s="10"/>
      <c r="O48" s="10"/>
      <c r="P48" s="12"/>
      <c r="Q48" s="12"/>
    </row>
    <row r="49" customFormat="false" ht="15" hidden="false" customHeight="false" outlineLevel="0" collapsed="false">
      <c r="A49" s="10" t="n">
        <v>45</v>
      </c>
      <c r="B49" s="10" t="s">
        <v>372</v>
      </c>
      <c r="C49" s="11" t="s">
        <v>373</v>
      </c>
      <c r="D49" s="10" t="s">
        <v>8</v>
      </c>
      <c r="E49" s="10" t="s">
        <v>46</v>
      </c>
      <c r="F49" s="10" t="s">
        <v>374</v>
      </c>
      <c r="G49" s="10" t="s">
        <v>174</v>
      </c>
      <c r="H49" s="10" t="s">
        <v>66</v>
      </c>
      <c r="I49" s="10" t="s">
        <v>375</v>
      </c>
      <c r="J49" s="10" t="s">
        <v>376</v>
      </c>
      <c r="K49" s="10" t="s">
        <v>4</v>
      </c>
      <c r="L49" s="10" t="s">
        <v>16</v>
      </c>
      <c r="M49" s="10"/>
      <c r="N49" s="10"/>
      <c r="O49" s="10"/>
      <c r="P49" s="12"/>
      <c r="Q49" s="12"/>
    </row>
    <row r="50" customFormat="false" ht="15" hidden="false" customHeight="false" outlineLevel="0" collapsed="false">
      <c r="A50" s="10" t="n">
        <v>46</v>
      </c>
      <c r="B50" s="10" t="s">
        <v>377</v>
      </c>
      <c r="C50" s="11" t="s">
        <v>378</v>
      </c>
      <c r="D50" s="10" t="s">
        <v>8</v>
      </c>
      <c r="E50" s="10" t="s">
        <v>46</v>
      </c>
      <c r="F50" s="10" t="s">
        <v>379</v>
      </c>
      <c r="G50" s="10" t="s">
        <v>380</v>
      </c>
      <c r="H50" s="10" t="s">
        <v>66</v>
      </c>
      <c r="I50" s="10" t="s">
        <v>381</v>
      </c>
      <c r="J50" s="10" t="s">
        <v>382</v>
      </c>
      <c r="K50" s="10" t="s">
        <v>4</v>
      </c>
      <c r="L50" s="10" t="s">
        <v>15</v>
      </c>
      <c r="M50" s="10" t="s">
        <v>199</v>
      </c>
      <c r="N50" s="10" t="s">
        <v>383</v>
      </c>
      <c r="O50" s="10"/>
      <c r="P50" s="12"/>
      <c r="Q50" s="12"/>
    </row>
    <row r="51" customFormat="false" ht="23.85" hidden="false" customHeight="false" outlineLevel="0" collapsed="false">
      <c r="A51" s="10" t="n">
        <v>47</v>
      </c>
      <c r="B51" s="10" t="s">
        <v>384</v>
      </c>
      <c r="C51" s="11" t="s">
        <v>385</v>
      </c>
      <c r="D51" s="10" t="s">
        <v>8</v>
      </c>
      <c r="E51" s="10" t="s">
        <v>386</v>
      </c>
      <c r="F51" s="10" t="s">
        <v>387</v>
      </c>
      <c r="G51" s="10" t="s">
        <v>388</v>
      </c>
      <c r="H51" s="10" t="s">
        <v>66</v>
      </c>
      <c r="I51" s="10" t="s">
        <v>389</v>
      </c>
      <c r="J51" s="10" t="s">
        <v>390</v>
      </c>
      <c r="K51" s="10" t="s">
        <v>4</v>
      </c>
      <c r="L51" s="10" t="s">
        <v>16</v>
      </c>
      <c r="M51" s="10"/>
      <c r="N51" s="10"/>
      <c r="O51" s="10"/>
      <c r="P51" s="12"/>
      <c r="Q51" s="12"/>
    </row>
    <row r="52" customFormat="false" ht="15" hidden="false" customHeight="false" outlineLevel="0" collapsed="false">
      <c r="A52" s="10" t="n">
        <v>48</v>
      </c>
      <c r="B52" s="10" t="s">
        <v>391</v>
      </c>
      <c r="C52" s="11" t="s">
        <v>392</v>
      </c>
      <c r="D52" s="10" t="s">
        <v>10</v>
      </c>
      <c r="E52" s="10" t="s">
        <v>46</v>
      </c>
      <c r="F52" s="10" t="s">
        <v>393</v>
      </c>
      <c r="G52" s="10" t="s">
        <v>394</v>
      </c>
      <c r="H52" s="10" t="s">
        <v>66</v>
      </c>
      <c r="I52" s="10" t="s">
        <v>395</v>
      </c>
      <c r="J52" s="10" t="s">
        <v>396</v>
      </c>
      <c r="K52" s="10" t="s">
        <v>4</v>
      </c>
      <c r="L52" s="10" t="s">
        <v>16</v>
      </c>
      <c r="M52" s="10"/>
      <c r="N52" s="10"/>
      <c r="O52" s="10" t="s">
        <v>397</v>
      </c>
      <c r="P52" s="12"/>
      <c r="Q52" s="12"/>
    </row>
    <row r="53" customFormat="false" ht="23.85" hidden="false" customHeight="false" outlineLevel="0" collapsed="false">
      <c r="A53" s="10" t="n">
        <v>49</v>
      </c>
      <c r="B53" s="10" t="s">
        <v>398</v>
      </c>
      <c r="C53" s="11" t="s">
        <v>399</v>
      </c>
      <c r="D53" s="10" t="s">
        <v>10</v>
      </c>
      <c r="E53" s="10" t="s">
        <v>46</v>
      </c>
      <c r="F53" s="10" t="s">
        <v>400</v>
      </c>
      <c r="G53" s="10" t="s">
        <v>401</v>
      </c>
      <c r="H53" s="10" t="s">
        <v>402</v>
      </c>
      <c r="I53" s="10" t="s">
        <v>403</v>
      </c>
      <c r="J53" s="10" t="s">
        <v>404</v>
      </c>
      <c r="K53" s="10" t="s">
        <v>4</v>
      </c>
      <c r="L53" s="10" t="s">
        <v>16</v>
      </c>
      <c r="M53" s="10"/>
      <c r="N53" s="10"/>
      <c r="O53" s="10" t="s">
        <v>405</v>
      </c>
      <c r="P53" s="12"/>
      <c r="Q53" s="12"/>
    </row>
    <row r="54" customFormat="false" ht="23.85" hidden="false" customHeight="false" outlineLevel="0" collapsed="false">
      <c r="A54" s="10" t="n">
        <v>50</v>
      </c>
      <c r="B54" s="10" t="s">
        <v>406</v>
      </c>
      <c r="C54" s="11" t="s">
        <v>407</v>
      </c>
      <c r="D54" s="10" t="s">
        <v>10</v>
      </c>
      <c r="E54" s="10" t="s">
        <v>46</v>
      </c>
      <c r="F54" s="10" t="s">
        <v>173</v>
      </c>
      <c r="G54" s="10" t="s">
        <v>408</v>
      </c>
      <c r="H54" s="10" t="s">
        <v>66</v>
      </c>
      <c r="I54" s="10" t="s">
        <v>409</v>
      </c>
      <c r="J54" s="10" t="s">
        <v>410</v>
      </c>
      <c r="K54" s="10" t="s">
        <v>4</v>
      </c>
      <c r="L54" s="10" t="s">
        <v>16</v>
      </c>
      <c r="M54" s="10"/>
      <c r="N54" s="10"/>
      <c r="O54" s="10"/>
      <c r="P54" s="12"/>
      <c r="Q54" s="12"/>
    </row>
    <row r="55" customFormat="false" ht="15" hidden="false" customHeight="false" outlineLevel="0" collapsed="false">
      <c r="A55" s="10" t="n">
        <v>51</v>
      </c>
      <c r="B55" s="10" t="s">
        <v>411</v>
      </c>
      <c r="C55" s="11" t="s">
        <v>412</v>
      </c>
      <c r="D55" s="10" t="s">
        <v>10</v>
      </c>
      <c r="E55" s="10" t="s">
        <v>46</v>
      </c>
      <c r="F55" s="10" t="s">
        <v>413</v>
      </c>
      <c r="G55" s="10" t="s">
        <v>414</v>
      </c>
      <c r="H55" s="10" t="s">
        <v>75</v>
      </c>
      <c r="I55" s="10" t="s">
        <v>415</v>
      </c>
      <c r="J55" s="10" t="s">
        <v>416</v>
      </c>
      <c r="K55" s="10" t="s">
        <v>4</v>
      </c>
      <c r="L55" s="10" t="s">
        <v>16</v>
      </c>
      <c r="M55" s="10"/>
      <c r="N55" s="10"/>
      <c r="O55" s="10"/>
      <c r="P55" s="12"/>
      <c r="Q55" s="12"/>
    </row>
    <row r="56" customFormat="false" ht="23.85" hidden="false" customHeight="false" outlineLevel="0" collapsed="false">
      <c r="A56" s="10" t="n">
        <v>52</v>
      </c>
      <c r="B56" s="10" t="s">
        <v>417</v>
      </c>
      <c r="C56" s="11" t="s">
        <v>418</v>
      </c>
      <c r="D56" s="10" t="s">
        <v>10</v>
      </c>
      <c r="E56" s="10" t="s">
        <v>259</v>
      </c>
      <c r="F56" s="10" t="s">
        <v>419</v>
      </c>
      <c r="G56" s="10" t="s">
        <v>420</v>
      </c>
      <c r="H56" s="10" t="s">
        <v>66</v>
      </c>
      <c r="I56" s="10" t="s">
        <v>421</v>
      </c>
      <c r="J56" s="10" t="s">
        <v>422</v>
      </c>
      <c r="K56" s="10" t="s">
        <v>4</v>
      </c>
      <c r="L56" s="10" t="s">
        <v>16</v>
      </c>
      <c r="M56" s="10"/>
      <c r="N56" s="10"/>
      <c r="O56" s="10"/>
      <c r="P56" s="12"/>
      <c r="Q56" s="12"/>
    </row>
    <row r="57" customFormat="false" ht="15" hidden="false" customHeight="false" outlineLevel="0" collapsed="false">
      <c r="A57" s="10" t="n">
        <v>53</v>
      </c>
      <c r="B57" s="10" t="s">
        <v>423</v>
      </c>
      <c r="C57" s="11" t="s">
        <v>424</v>
      </c>
      <c r="D57" s="10" t="s">
        <v>10</v>
      </c>
      <c r="E57" s="10" t="s">
        <v>46</v>
      </c>
      <c r="F57" s="10" t="s">
        <v>425</v>
      </c>
      <c r="G57" s="10" t="s">
        <v>426</v>
      </c>
      <c r="H57" s="10" t="s">
        <v>66</v>
      </c>
      <c r="I57" s="10" t="s">
        <v>427</v>
      </c>
      <c r="J57" s="10" t="s">
        <v>428</v>
      </c>
      <c r="K57" s="10" t="s">
        <v>4</v>
      </c>
      <c r="L57" s="10" t="s">
        <v>16</v>
      </c>
      <c r="M57" s="10"/>
      <c r="N57" s="10"/>
      <c r="O57" s="10" t="s">
        <v>429</v>
      </c>
      <c r="P57" s="12"/>
      <c r="Q57" s="12"/>
    </row>
    <row r="58" customFormat="false" ht="15" hidden="false" customHeight="false" outlineLevel="0" collapsed="false">
      <c r="A58" s="10" t="n">
        <v>54</v>
      </c>
      <c r="B58" s="10" t="s">
        <v>430</v>
      </c>
      <c r="C58" s="11" t="s">
        <v>431</v>
      </c>
      <c r="D58" s="10" t="s">
        <v>10</v>
      </c>
      <c r="E58" s="10" t="s">
        <v>46</v>
      </c>
      <c r="F58" s="10" t="s">
        <v>432</v>
      </c>
      <c r="G58" s="10" t="s">
        <v>433</v>
      </c>
      <c r="H58" s="10" t="s">
        <v>66</v>
      </c>
      <c r="I58" s="10" t="s">
        <v>434</v>
      </c>
      <c r="J58" s="10" t="s">
        <v>435</v>
      </c>
      <c r="K58" s="10" t="s">
        <v>4</v>
      </c>
      <c r="L58" s="10" t="s">
        <v>16</v>
      </c>
      <c r="M58" s="10"/>
      <c r="N58" s="10"/>
      <c r="O58" s="10"/>
      <c r="P58" s="12"/>
      <c r="Q58" s="12"/>
    </row>
    <row r="59" customFormat="false" ht="15" hidden="false" customHeight="false" outlineLevel="0" collapsed="false">
      <c r="A59" s="10" t="n">
        <v>55</v>
      </c>
      <c r="B59" s="10" t="s">
        <v>436</v>
      </c>
      <c r="C59" s="11" t="s">
        <v>437</v>
      </c>
      <c r="D59" s="10" t="s">
        <v>10</v>
      </c>
      <c r="E59" s="10" t="s">
        <v>46</v>
      </c>
      <c r="F59" s="10" t="s">
        <v>438</v>
      </c>
      <c r="G59" s="10" t="s">
        <v>439</v>
      </c>
      <c r="H59" s="10" t="s">
        <v>66</v>
      </c>
      <c r="I59" s="10" t="s">
        <v>440</v>
      </c>
      <c r="J59" s="10" t="s">
        <v>441</v>
      </c>
      <c r="K59" s="10" t="s">
        <v>4</v>
      </c>
      <c r="L59" s="10" t="s">
        <v>16</v>
      </c>
      <c r="M59" s="10"/>
      <c r="N59" s="10"/>
      <c r="O59" s="10"/>
      <c r="P59" s="12"/>
      <c r="Q59" s="12"/>
    </row>
    <row r="60" customFormat="false" ht="15" hidden="false" customHeight="false" outlineLevel="0" collapsed="false">
      <c r="A60" s="10" t="n">
        <v>56</v>
      </c>
      <c r="B60" s="10" t="s">
        <v>442</v>
      </c>
      <c r="C60" s="11" t="s">
        <v>443</v>
      </c>
      <c r="D60" s="10" t="s">
        <v>10</v>
      </c>
      <c r="E60" s="10" t="s">
        <v>46</v>
      </c>
      <c r="F60" s="10" t="s">
        <v>444</v>
      </c>
      <c r="G60" s="10" t="s">
        <v>445</v>
      </c>
      <c r="H60" s="10" t="s">
        <v>49</v>
      </c>
      <c r="I60" s="10" t="s">
        <v>446</v>
      </c>
      <c r="J60" s="10" t="s">
        <v>447</v>
      </c>
      <c r="K60" s="10" t="s">
        <v>4</v>
      </c>
      <c r="L60" s="10" t="s">
        <v>16</v>
      </c>
      <c r="M60" s="10"/>
      <c r="N60" s="10"/>
      <c r="O60" s="10"/>
      <c r="P60" s="12"/>
      <c r="Q60" s="12"/>
    </row>
    <row r="61" customFormat="false" ht="15" hidden="false" customHeight="false" outlineLevel="0" collapsed="false">
      <c r="A61" s="10" t="n">
        <v>57</v>
      </c>
      <c r="B61" s="10" t="s">
        <v>448</v>
      </c>
      <c r="C61" s="11" t="s">
        <v>449</v>
      </c>
      <c r="D61" s="10" t="s">
        <v>10</v>
      </c>
      <c r="E61" s="10" t="s">
        <v>46</v>
      </c>
      <c r="F61" s="10" t="s">
        <v>173</v>
      </c>
      <c r="G61" s="10" t="s">
        <v>450</v>
      </c>
      <c r="H61" s="10" t="s">
        <v>91</v>
      </c>
      <c r="I61" s="10" t="s">
        <v>451</v>
      </c>
      <c r="J61" s="10" t="s">
        <v>452</v>
      </c>
      <c r="K61" s="10" t="s">
        <v>4</v>
      </c>
      <c r="L61" s="10" t="s">
        <v>15</v>
      </c>
      <c r="M61" s="10" t="s">
        <v>127</v>
      </c>
      <c r="N61" s="10" t="s">
        <v>453</v>
      </c>
      <c r="O61" s="10"/>
      <c r="P61" s="12"/>
      <c r="Q61" s="12"/>
    </row>
    <row r="62" customFormat="false" ht="15" hidden="false" customHeight="false" outlineLevel="0" collapsed="false">
      <c r="A62" s="10" t="n">
        <v>58</v>
      </c>
      <c r="B62" s="10" t="s">
        <v>454</v>
      </c>
      <c r="C62" s="11" t="s">
        <v>455</v>
      </c>
      <c r="D62" s="10" t="s">
        <v>9</v>
      </c>
      <c r="E62" s="10" t="s">
        <v>46</v>
      </c>
      <c r="F62" s="10" t="s">
        <v>456</v>
      </c>
      <c r="G62" s="10" t="s">
        <v>457</v>
      </c>
      <c r="H62" s="10" t="s">
        <v>458</v>
      </c>
      <c r="I62" s="10" t="s">
        <v>459</v>
      </c>
      <c r="J62" s="10" t="s">
        <v>460</v>
      </c>
      <c r="K62" s="10" t="s">
        <v>5</v>
      </c>
      <c r="L62" s="10" t="s">
        <v>16</v>
      </c>
      <c r="M62" s="10"/>
      <c r="N62" s="10"/>
      <c r="O62" s="10"/>
      <c r="P62" s="12"/>
      <c r="Q62" s="12"/>
    </row>
    <row r="63" customFormat="false" ht="15" hidden="false" customHeight="false" outlineLevel="0" collapsed="false">
      <c r="A63" s="10" t="n">
        <v>59</v>
      </c>
      <c r="B63" s="10" t="s">
        <v>461</v>
      </c>
      <c r="C63" s="11" t="s">
        <v>462</v>
      </c>
      <c r="D63" s="10" t="s">
        <v>9</v>
      </c>
      <c r="E63" s="10" t="s">
        <v>259</v>
      </c>
      <c r="F63" s="10" t="s">
        <v>463</v>
      </c>
      <c r="G63" s="10" t="s">
        <v>464</v>
      </c>
      <c r="H63" s="10" t="s">
        <v>66</v>
      </c>
      <c r="I63" s="10" t="s">
        <v>465</v>
      </c>
      <c r="J63" s="10" t="s">
        <v>466</v>
      </c>
      <c r="K63" s="10" t="s">
        <v>5</v>
      </c>
      <c r="L63" s="10" t="s">
        <v>16</v>
      </c>
      <c r="M63" s="10"/>
      <c r="N63" s="10"/>
      <c r="O63" s="10"/>
      <c r="P63" s="12"/>
      <c r="Q63" s="12"/>
    </row>
    <row r="64" customFormat="false" ht="15" hidden="false" customHeight="false" outlineLevel="0" collapsed="false">
      <c r="A64" s="10" t="n">
        <v>60</v>
      </c>
      <c r="B64" s="10" t="s">
        <v>467</v>
      </c>
      <c r="C64" s="11" t="s">
        <v>468</v>
      </c>
      <c r="D64" s="10" t="s">
        <v>9</v>
      </c>
      <c r="E64" s="10" t="s">
        <v>46</v>
      </c>
      <c r="F64" s="10" t="s">
        <v>469</v>
      </c>
      <c r="G64" s="10" t="s">
        <v>470</v>
      </c>
      <c r="H64" s="10" t="s">
        <v>49</v>
      </c>
      <c r="I64" s="10" t="s">
        <v>471</v>
      </c>
      <c r="J64" s="10" t="s">
        <v>472</v>
      </c>
      <c r="K64" s="10" t="s">
        <v>5</v>
      </c>
      <c r="L64" s="10" t="s">
        <v>16</v>
      </c>
      <c r="M64" s="10"/>
      <c r="N64" s="10"/>
      <c r="O64" s="10"/>
      <c r="P64" s="12"/>
      <c r="Q64" s="12"/>
    </row>
    <row r="65" customFormat="false" ht="15" hidden="false" customHeight="false" outlineLevel="0" collapsed="false">
      <c r="A65" s="10" t="n">
        <v>61</v>
      </c>
      <c r="B65" s="10" t="s">
        <v>473</v>
      </c>
      <c r="C65" s="11" t="s">
        <v>474</v>
      </c>
      <c r="D65" s="10" t="s">
        <v>9</v>
      </c>
      <c r="E65" s="10" t="s">
        <v>475</v>
      </c>
      <c r="F65" s="10" t="s">
        <v>476</v>
      </c>
      <c r="G65" s="10" t="s">
        <v>477</v>
      </c>
      <c r="H65" s="10" t="s">
        <v>66</v>
      </c>
      <c r="I65" s="10" t="s">
        <v>478</v>
      </c>
      <c r="J65" s="10" t="s">
        <v>479</v>
      </c>
      <c r="K65" s="10" t="s">
        <v>5</v>
      </c>
      <c r="L65" s="10" t="s">
        <v>16</v>
      </c>
      <c r="M65" s="10"/>
      <c r="N65" s="10"/>
      <c r="O65" s="10"/>
      <c r="P65" s="12"/>
      <c r="Q65" s="12"/>
    </row>
    <row r="66" customFormat="false" ht="15" hidden="false" customHeight="false" outlineLevel="0" collapsed="false">
      <c r="A66" s="10" t="n">
        <v>62</v>
      </c>
      <c r="B66" s="10" t="s">
        <v>480</v>
      </c>
      <c r="C66" s="11" t="s">
        <v>481</v>
      </c>
      <c r="D66" s="10" t="s">
        <v>9</v>
      </c>
      <c r="E66" s="10" t="s">
        <v>46</v>
      </c>
      <c r="F66" s="10" t="s">
        <v>482</v>
      </c>
      <c r="G66" s="10" t="s">
        <v>339</v>
      </c>
      <c r="H66" s="10" t="s">
        <v>293</v>
      </c>
      <c r="I66" s="10" t="s">
        <v>483</v>
      </c>
      <c r="J66" s="10" t="s">
        <v>484</v>
      </c>
      <c r="K66" s="10" t="s">
        <v>5</v>
      </c>
      <c r="L66" s="10" t="s">
        <v>16</v>
      </c>
      <c r="M66" s="10"/>
      <c r="N66" s="10"/>
      <c r="O66" s="10"/>
      <c r="P66" s="12"/>
      <c r="Q66" s="12"/>
    </row>
    <row r="67" customFormat="false" ht="15" hidden="false" customHeight="false" outlineLevel="0" collapsed="false">
      <c r="A67" s="10" t="n">
        <v>63</v>
      </c>
      <c r="B67" s="10" t="s">
        <v>485</v>
      </c>
      <c r="C67" s="11" t="s">
        <v>486</v>
      </c>
      <c r="D67" s="10" t="s">
        <v>9</v>
      </c>
      <c r="E67" s="10" t="s">
        <v>46</v>
      </c>
      <c r="F67" s="10" t="s">
        <v>487</v>
      </c>
      <c r="G67" s="10" t="s">
        <v>488</v>
      </c>
      <c r="H67" s="10" t="s">
        <v>66</v>
      </c>
      <c r="I67" s="10" t="s">
        <v>489</v>
      </c>
      <c r="J67" s="10" t="s">
        <v>490</v>
      </c>
      <c r="K67" s="10" t="s">
        <v>5</v>
      </c>
      <c r="L67" s="10" t="s">
        <v>16</v>
      </c>
      <c r="M67" s="10"/>
      <c r="N67" s="10"/>
      <c r="O67" s="10"/>
      <c r="P67" s="12"/>
      <c r="Q67" s="12"/>
    </row>
    <row r="68" customFormat="false" ht="15" hidden="false" customHeight="false" outlineLevel="0" collapsed="false">
      <c r="A68" s="10" t="n">
        <v>64</v>
      </c>
      <c r="B68" s="10" t="s">
        <v>491</v>
      </c>
      <c r="C68" s="11" t="s">
        <v>492</v>
      </c>
      <c r="D68" s="10" t="s">
        <v>9</v>
      </c>
      <c r="E68" s="10" t="s">
        <v>46</v>
      </c>
      <c r="F68" s="10" t="s">
        <v>157</v>
      </c>
      <c r="G68" s="10" t="s">
        <v>380</v>
      </c>
      <c r="H68" s="10" t="s">
        <v>66</v>
      </c>
      <c r="I68" s="10" t="s">
        <v>493</v>
      </c>
      <c r="J68" s="10" t="s">
        <v>494</v>
      </c>
      <c r="K68" s="10" t="s">
        <v>5</v>
      </c>
      <c r="L68" s="10" t="s">
        <v>16</v>
      </c>
      <c r="M68" s="10"/>
      <c r="N68" s="10"/>
      <c r="O68" s="10"/>
      <c r="P68" s="12"/>
      <c r="Q68" s="12"/>
    </row>
    <row r="69" customFormat="false" ht="23.85" hidden="false" customHeight="false" outlineLevel="0" collapsed="false">
      <c r="A69" s="10" t="n">
        <v>65</v>
      </c>
      <c r="B69" s="10" t="s">
        <v>495</v>
      </c>
      <c r="C69" s="11" t="s">
        <v>496</v>
      </c>
      <c r="D69" s="10" t="s">
        <v>9</v>
      </c>
      <c r="E69" s="10" t="s">
        <v>46</v>
      </c>
      <c r="F69" s="10" t="s">
        <v>497</v>
      </c>
      <c r="G69" s="10" t="s">
        <v>339</v>
      </c>
      <c r="H69" s="10" t="s">
        <v>66</v>
      </c>
      <c r="I69" s="10" t="s">
        <v>498</v>
      </c>
      <c r="J69" s="10" t="s">
        <v>499</v>
      </c>
      <c r="K69" s="10" t="s">
        <v>5</v>
      </c>
      <c r="L69" s="10" t="s">
        <v>16</v>
      </c>
      <c r="M69" s="10"/>
      <c r="N69" s="10"/>
      <c r="O69" s="10"/>
      <c r="P69" s="12"/>
      <c r="Q69" s="12"/>
    </row>
    <row r="70" customFormat="false" ht="15" hidden="false" customHeight="false" outlineLevel="0" collapsed="false">
      <c r="A70" s="10" t="n">
        <v>66</v>
      </c>
      <c r="B70" s="10" t="s">
        <v>500</v>
      </c>
      <c r="C70" s="11" t="s">
        <v>501</v>
      </c>
      <c r="D70" s="10" t="s">
        <v>9</v>
      </c>
      <c r="E70" s="10" t="s">
        <v>203</v>
      </c>
      <c r="F70" s="10" t="s">
        <v>502</v>
      </c>
      <c r="G70" s="10" t="s">
        <v>503</v>
      </c>
      <c r="H70" s="10" t="s">
        <v>58</v>
      </c>
      <c r="I70" s="10" t="s">
        <v>504</v>
      </c>
      <c r="J70" s="10" t="s">
        <v>505</v>
      </c>
      <c r="K70" s="10" t="s">
        <v>5</v>
      </c>
      <c r="L70" s="10" t="s">
        <v>16</v>
      </c>
      <c r="M70" s="10"/>
      <c r="N70" s="10"/>
      <c r="O70" s="10"/>
      <c r="P70" s="12"/>
      <c r="Q70" s="12"/>
    </row>
    <row r="71" customFormat="false" ht="23.85" hidden="false" customHeight="false" outlineLevel="0" collapsed="false">
      <c r="A71" s="10" t="n">
        <v>67</v>
      </c>
      <c r="B71" s="10" t="s">
        <v>506</v>
      </c>
      <c r="C71" s="11" t="s">
        <v>507</v>
      </c>
      <c r="D71" s="10" t="s">
        <v>9</v>
      </c>
      <c r="E71" s="10" t="s">
        <v>251</v>
      </c>
      <c r="F71" s="10" t="s">
        <v>508</v>
      </c>
      <c r="G71" s="10" t="s">
        <v>509</v>
      </c>
      <c r="H71" s="10" t="s">
        <v>66</v>
      </c>
      <c r="I71" s="10" t="s">
        <v>510</v>
      </c>
      <c r="J71" s="10" t="s">
        <v>511</v>
      </c>
      <c r="K71" s="10" t="s">
        <v>5</v>
      </c>
      <c r="L71" s="10" t="s">
        <v>16</v>
      </c>
      <c r="M71" s="10"/>
      <c r="N71" s="10"/>
      <c r="O71" s="10"/>
      <c r="P71" s="12"/>
      <c r="Q71" s="12"/>
    </row>
    <row r="72" customFormat="false" ht="15" hidden="false" customHeight="false" outlineLevel="0" collapsed="false">
      <c r="A72" s="10" t="n">
        <v>68</v>
      </c>
      <c r="B72" s="10" t="s">
        <v>512</v>
      </c>
      <c r="C72" s="11" t="s">
        <v>513</v>
      </c>
      <c r="D72" s="10" t="s">
        <v>9</v>
      </c>
      <c r="E72" s="10" t="s">
        <v>46</v>
      </c>
      <c r="F72" s="10" t="s">
        <v>514</v>
      </c>
      <c r="G72" s="10" t="s">
        <v>515</v>
      </c>
      <c r="H72" s="10" t="s">
        <v>66</v>
      </c>
      <c r="I72" s="10" t="s">
        <v>516</v>
      </c>
      <c r="J72" s="10" t="s">
        <v>517</v>
      </c>
      <c r="K72" s="10" t="s">
        <v>5</v>
      </c>
      <c r="L72" s="10" t="s">
        <v>16</v>
      </c>
      <c r="M72" s="10"/>
      <c r="N72" s="10"/>
      <c r="O72" s="10"/>
      <c r="P72" s="12"/>
      <c r="Q72" s="12"/>
    </row>
    <row r="73" customFormat="false" ht="15" hidden="false" customHeight="false" outlineLevel="0" collapsed="false">
      <c r="A73" s="10" t="n">
        <v>69</v>
      </c>
      <c r="B73" s="10" t="s">
        <v>518</v>
      </c>
      <c r="C73" s="11" t="s">
        <v>519</v>
      </c>
      <c r="D73" s="10" t="s">
        <v>7</v>
      </c>
      <c r="E73" s="10" t="s">
        <v>46</v>
      </c>
      <c r="F73" s="10" t="s">
        <v>520</v>
      </c>
      <c r="G73" s="10" t="s">
        <v>521</v>
      </c>
      <c r="H73" s="10" t="s">
        <v>293</v>
      </c>
      <c r="I73" s="10" t="s">
        <v>522</v>
      </c>
      <c r="J73" s="10" t="s">
        <v>523</v>
      </c>
      <c r="K73" s="10" t="s">
        <v>5</v>
      </c>
      <c r="L73" s="10" t="s">
        <v>16</v>
      </c>
      <c r="M73" s="10"/>
      <c r="N73" s="10"/>
      <c r="O73" s="10"/>
      <c r="P73" s="12"/>
      <c r="Q73" s="12"/>
    </row>
    <row r="74" customFormat="false" ht="15" hidden="false" customHeight="false" outlineLevel="0" collapsed="false">
      <c r="A74" s="10" t="n">
        <v>70</v>
      </c>
      <c r="B74" s="10" t="s">
        <v>524</v>
      </c>
      <c r="C74" s="11" t="s">
        <v>525</v>
      </c>
      <c r="D74" s="10" t="s">
        <v>7</v>
      </c>
      <c r="E74" s="10" t="s">
        <v>46</v>
      </c>
      <c r="F74" s="10" t="s">
        <v>526</v>
      </c>
      <c r="G74" s="10" t="s">
        <v>91</v>
      </c>
      <c r="H74" s="10" t="s">
        <v>66</v>
      </c>
      <c r="I74" s="10" t="s">
        <v>527</v>
      </c>
      <c r="J74" s="10" t="s">
        <v>528</v>
      </c>
      <c r="K74" s="10" t="s">
        <v>5</v>
      </c>
      <c r="L74" s="10" t="s">
        <v>16</v>
      </c>
      <c r="M74" s="10"/>
      <c r="N74" s="10"/>
      <c r="O74" s="10"/>
      <c r="P74" s="12"/>
      <c r="Q74" s="12"/>
    </row>
    <row r="75" customFormat="false" ht="15" hidden="false" customHeight="false" outlineLevel="0" collapsed="false">
      <c r="A75" s="10" t="n">
        <v>71</v>
      </c>
      <c r="B75" s="10" t="s">
        <v>529</v>
      </c>
      <c r="C75" s="11" t="s">
        <v>530</v>
      </c>
      <c r="D75" s="10" t="s">
        <v>7</v>
      </c>
      <c r="E75" s="10" t="s">
        <v>46</v>
      </c>
      <c r="F75" s="10" t="s">
        <v>531</v>
      </c>
      <c r="G75" s="10" t="s">
        <v>532</v>
      </c>
      <c r="H75" s="10" t="s">
        <v>66</v>
      </c>
      <c r="I75" s="10" t="s">
        <v>533</v>
      </c>
      <c r="J75" s="10" t="s">
        <v>534</v>
      </c>
      <c r="K75" s="10" t="s">
        <v>5</v>
      </c>
      <c r="L75" s="10" t="s">
        <v>16</v>
      </c>
      <c r="M75" s="10"/>
      <c r="N75" s="10"/>
      <c r="O75" s="10"/>
      <c r="P75" s="12"/>
      <c r="Q75" s="12"/>
    </row>
    <row r="76" customFormat="false" ht="15" hidden="false" customHeight="false" outlineLevel="0" collapsed="false">
      <c r="A76" s="10" t="n">
        <v>72</v>
      </c>
      <c r="B76" s="10" t="s">
        <v>535</v>
      </c>
      <c r="C76" s="11" t="s">
        <v>536</v>
      </c>
      <c r="D76" s="10" t="s">
        <v>7</v>
      </c>
      <c r="E76" s="10" t="s">
        <v>537</v>
      </c>
      <c r="F76" s="10" t="s">
        <v>538</v>
      </c>
      <c r="G76" s="10" t="s">
        <v>91</v>
      </c>
      <c r="H76" s="10" t="s">
        <v>66</v>
      </c>
      <c r="I76" s="10" t="s">
        <v>539</v>
      </c>
      <c r="J76" s="10" t="s">
        <v>540</v>
      </c>
      <c r="K76" s="10" t="s">
        <v>5</v>
      </c>
      <c r="L76" s="10" t="s">
        <v>16</v>
      </c>
      <c r="M76" s="10"/>
      <c r="N76" s="10"/>
      <c r="O76" s="10"/>
      <c r="P76" s="12"/>
      <c r="Q76" s="12"/>
    </row>
    <row r="77" customFormat="false" ht="15" hidden="false" customHeight="false" outlineLevel="0" collapsed="false">
      <c r="A77" s="10" t="n">
        <v>73</v>
      </c>
      <c r="B77" s="10" t="s">
        <v>541</v>
      </c>
      <c r="C77" s="11" t="s">
        <v>542</v>
      </c>
      <c r="D77" s="10" t="s">
        <v>7</v>
      </c>
      <c r="E77" s="10" t="s">
        <v>386</v>
      </c>
      <c r="F77" s="10" t="s">
        <v>543</v>
      </c>
      <c r="G77" s="10" t="s">
        <v>91</v>
      </c>
      <c r="H77" s="10" t="s">
        <v>544</v>
      </c>
      <c r="I77" s="10" t="s">
        <v>545</v>
      </c>
      <c r="J77" s="10" t="s">
        <v>546</v>
      </c>
      <c r="K77" s="10" t="s">
        <v>5</v>
      </c>
      <c r="L77" s="10" t="s">
        <v>16</v>
      </c>
      <c r="M77" s="10"/>
      <c r="N77" s="10"/>
      <c r="O77" s="10"/>
      <c r="P77" s="12"/>
      <c r="Q77" s="12"/>
    </row>
    <row r="78" customFormat="false" ht="15" hidden="false" customHeight="false" outlineLevel="0" collapsed="false">
      <c r="A78" s="10" t="n">
        <v>74</v>
      </c>
      <c r="B78" s="10" t="s">
        <v>547</v>
      </c>
      <c r="C78" s="11" t="s">
        <v>548</v>
      </c>
      <c r="D78" s="10" t="s">
        <v>7</v>
      </c>
      <c r="E78" s="10" t="s">
        <v>549</v>
      </c>
      <c r="F78" s="10" t="s">
        <v>550</v>
      </c>
      <c r="G78" s="10" t="s">
        <v>91</v>
      </c>
      <c r="H78" s="10" t="s">
        <v>301</v>
      </c>
      <c r="I78" s="10" t="s">
        <v>551</v>
      </c>
      <c r="J78" s="10" t="s">
        <v>552</v>
      </c>
      <c r="K78" s="10" t="s">
        <v>5</v>
      </c>
      <c r="L78" s="10" t="s">
        <v>16</v>
      </c>
      <c r="M78" s="10"/>
      <c r="N78" s="10"/>
      <c r="O78" s="10"/>
      <c r="P78" s="12"/>
      <c r="Q78" s="12"/>
    </row>
    <row r="79" customFormat="false" ht="15" hidden="false" customHeight="false" outlineLevel="0" collapsed="false">
      <c r="A79" s="10" t="n">
        <v>75</v>
      </c>
      <c r="B79" s="10" t="s">
        <v>553</v>
      </c>
      <c r="C79" s="11" t="s">
        <v>554</v>
      </c>
      <c r="D79" s="10" t="s">
        <v>7</v>
      </c>
      <c r="E79" s="10" t="s">
        <v>46</v>
      </c>
      <c r="F79" s="10" t="s">
        <v>555</v>
      </c>
      <c r="G79" s="10" t="s">
        <v>556</v>
      </c>
      <c r="H79" s="10" t="s">
        <v>66</v>
      </c>
      <c r="I79" s="10" t="s">
        <v>557</v>
      </c>
      <c r="J79" s="10" t="s">
        <v>558</v>
      </c>
      <c r="K79" s="10" t="s">
        <v>5</v>
      </c>
      <c r="L79" s="10" t="s">
        <v>16</v>
      </c>
      <c r="M79" s="10"/>
      <c r="N79" s="10"/>
      <c r="O79" s="10"/>
      <c r="P79" s="12"/>
      <c r="Q79" s="12"/>
    </row>
    <row r="80" customFormat="false" ht="15" hidden="false" customHeight="false" outlineLevel="0" collapsed="false">
      <c r="A80" s="10" t="n">
        <v>76</v>
      </c>
      <c r="B80" s="10" t="s">
        <v>559</v>
      </c>
      <c r="C80" s="11" t="s">
        <v>560</v>
      </c>
      <c r="D80" s="10" t="s">
        <v>7</v>
      </c>
      <c r="E80" s="10" t="s">
        <v>561</v>
      </c>
      <c r="F80" s="10" t="s">
        <v>562</v>
      </c>
      <c r="G80" s="10" t="s">
        <v>91</v>
      </c>
      <c r="H80" s="10" t="s">
        <v>402</v>
      </c>
      <c r="I80" s="10" t="s">
        <v>563</v>
      </c>
      <c r="J80" s="10" t="s">
        <v>564</v>
      </c>
      <c r="K80" s="10" t="s">
        <v>5</v>
      </c>
      <c r="L80" s="10" t="s">
        <v>16</v>
      </c>
      <c r="M80" s="10"/>
      <c r="N80" s="10"/>
      <c r="O80" s="10"/>
      <c r="P80" s="12"/>
      <c r="Q80" s="12"/>
    </row>
    <row r="81" customFormat="false" ht="15" hidden="false" customHeight="false" outlineLevel="0" collapsed="false">
      <c r="A81" s="10" t="n">
        <v>77</v>
      </c>
      <c r="B81" s="10" t="s">
        <v>565</v>
      </c>
      <c r="C81" s="11" t="s">
        <v>566</v>
      </c>
      <c r="D81" s="10" t="s">
        <v>7</v>
      </c>
      <c r="E81" s="10" t="s">
        <v>46</v>
      </c>
      <c r="F81" s="10" t="s">
        <v>567</v>
      </c>
      <c r="G81" s="10" t="s">
        <v>568</v>
      </c>
      <c r="H81" s="10" t="s">
        <v>66</v>
      </c>
      <c r="I81" s="10" t="s">
        <v>569</v>
      </c>
      <c r="J81" s="10" t="s">
        <v>570</v>
      </c>
      <c r="K81" s="10" t="s">
        <v>5</v>
      </c>
      <c r="L81" s="10" t="s">
        <v>16</v>
      </c>
      <c r="M81" s="10"/>
      <c r="N81" s="10"/>
      <c r="O81" s="10"/>
      <c r="P81" s="12"/>
      <c r="Q81" s="12"/>
    </row>
    <row r="82" customFormat="false" ht="15" hidden="false" customHeight="false" outlineLevel="0" collapsed="false">
      <c r="A82" s="10" t="n">
        <v>78</v>
      </c>
      <c r="B82" s="10" t="s">
        <v>571</v>
      </c>
      <c r="C82" s="11" t="s">
        <v>572</v>
      </c>
      <c r="D82" s="10" t="s">
        <v>7</v>
      </c>
      <c r="E82" s="10" t="s">
        <v>72</v>
      </c>
      <c r="F82" s="10" t="s">
        <v>573</v>
      </c>
      <c r="G82" s="10" t="s">
        <v>91</v>
      </c>
      <c r="H82" s="10" t="s">
        <v>49</v>
      </c>
      <c r="I82" s="10" t="s">
        <v>574</v>
      </c>
      <c r="J82" s="10" t="s">
        <v>575</v>
      </c>
      <c r="K82" s="10" t="s">
        <v>5</v>
      </c>
      <c r="L82" s="10" t="s">
        <v>16</v>
      </c>
      <c r="M82" s="10"/>
      <c r="N82" s="10"/>
      <c r="O82" s="10" t="s">
        <v>576</v>
      </c>
      <c r="P82" s="12"/>
      <c r="Q82" s="12"/>
    </row>
    <row r="83" customFormat="false" ht="15" hidden="false" customHeight="false" outlineLevel="0" collapsed="false">
      <c r="A83" s="10" t="n">
        <v>79</v>
      </c>
      <c r="B83" s="10" t="s">
        <v>577</v>
      </c>
      <c r="C83" s="11" t="s">
        <v>578</v>
      </c>
      <c r="D83" s="10" t="s">
        <v>7</v>
      </c>
      <c r="E83" s="10" t="s">
        <v>46</v>
      </c>
      <c r="F83" s="10" t="s">
        <v>579</v>
      </c>
      <c r="G83" s="10" t="s">
        <v>580</v>
      </c>
      <c r="H83" s="10" t="s">
        <v>293</v>
      </c>
      <c r="I83" s="10" t="s">
        <v>581</v>
      </c>
      <c r="J83" s="10" t="s">
        <v>582</v>
      </c>
      <c r="K83" s="10" t="s">
        <v>5</v>
      </c>
      <c r="L83" s="10" t="s">
        <v>16</v>
      </c>
      <c r="M83" s="10"/>
      <c r="N83" s="10"/>
      <c r="O83" s="10"/>
      <c r="P83" s="12"/>
      <c r="Q83" s="12"/>
    </row>
    <row r="84" customFormat="false" ht="15" hidden="false" customHeight="false" outlineLevel="0" collapsed="false">
      <c r="A84" s="10" t="n">
        <v>80</v>
      </c>
      <c r="B84" s="10" t="s">
        <v>583</v>
      </c>
      <c r="C84" s="11" t="s">
        <v>584</v>
      </c>
      <c r="D84" s="10" t="s">
        <v>7</v>
      </c>
      <c r="E84" s="10" t="s">
        <v>46</v>
      </c>
      <c r="F84" s="10" t="s">
        <v>585</v>
      </c>
      <c r="G84" s="10" t="s">
        <v>91</v>
      </c>
      <c r="H84" s="10" t="s">
        <v>66</v>
      </c>
      <c r="I84" s="10" t="s">
        <v>586</v>
      </c>
      <c r="J84" s="10" t="s">
        <v>587</v>
      </c>
      <c r="K84" s="10" t="s">
        <v>5</v>
      </c>
      <c r="L84" s="10" t="s">
        <v>16</v>
      </c>
      <c r="M84" s="10"/>
      <c r="N84" s="10"/>
      <c r="O84" s="10"/>
      <c r="P84" s="12"/>
      <c r="Q84" s="12"/>
    </row>
    <row r="85" customFormat="false" ht="23.85" hidden="false" customHeight="false" outlineLevel="0" collapsed="false">
      <c r="A85" s="10" t="n">
        <v>81</v>
      </c>
      <c r="B85" s="10" t="s">
        <v>588</v>
      </c>
      <c r="C85" s="11" t="s">
        <v>589</v>
      </c>
      <c r="D85" s="10" t="s">
        <v>7</v>
      </c>
      <c r="E85" s="10" t="s">
        <v>46</v>
      </c>
      <c r="F85" s="10" t="s">
        <v>432</v>
      </c>
      <c r="G85" s="10" t="s">
        <v>590</v>
      </c>
      <c r="H85" s="10" t="s">
        <v>591</v>
      </c>
      <c r="I85" s="10" t="s">
        <v>592</v>
      </c>
      <c r="J85" s="10" t="s">
        <v>593</v>
      </c>
      <c r="K85" s="10" t="s">
        <v>5</v>
      </c>
      <c r="L85" s="10" t="s">
        <v>16</v>
      </c>
      <c r="M85" s="10"/>
      <c r="N85" s="10"/>
      <c r="O85" s="10"/>
      <c r="P85" s="12"/>
      <c r="Q85" s="12"/>
    </row>
    <row r="86" customFormat="false" ht="15" hidden="false" customHeight="false" outlineLevel="0" collapsed="false">
      <c r="A86" s="10" t="n">
        <v>82</v>
      </c>
      <c r="B86" s="10" t="s">
        <v>594</v>
      </c>
      <c r="C86" s="11" t="s">
        <v>595</v>
      </c>
      <c r="D86" s="10" t="s">
        <v>11</v>
      </c>
      <c r="E86" s="10" t="s">
        <v>596</v>
      </c>
      <c r="F86" s="10" t="s">
        <v>114</v>
      </c>
      <c r="G86" s="10" t="s">
        <v>597</v>
      </c>
      <c r="H86" s="10" t="s">
        <v>159</v>
      </c>
      <c r="I86" s="10" t="s">
        <v>598</v>
      </c>
      <c r="J86" s="10" t="s">
        <v>599</v>
      </c>
      <c r="K86" s="10" t="s">
        <v>5</v>
      </c>
      <c r="L86" s="10" t="s">
        <v>16</v>
      </c>
      <c r="M86" s="10"/>
      <c r="N86" s="10"/>
      <c r="O86" s="10"/>
      <c r="P86" s="12"/>
      <c r="Q86" s="12"/>
    </row>
    <row r="87" customFormat="false" ht="15" hidden="false" customHeight="false" outlineLevel="0" collapsed="false">
      <c r="A87" s="10" t="n">
        <v>83</v>
      </c>
      <c r="B87" s="10" t="s">
        <v>600</v>
      </c>
      <c r="C87" s="11" t="s">
        <v>601</v>
      </c>
      <c r="D87" s="10" t="s">
        <v>11</v>
      </c>
      <c r="E87" s="10" t="s">
        <v>46</v>
      </c>
      <c r="F87" s="10" t="s">
        <v>114</v>
      </c>
      <c r="G87" s="10" t="s">
        <v>339</v>
      </c>
      <c r="H87" s="10" t="s">
        <v>66</v>
      </c>
      <c r="I87" s="10" t="s">
        <v>602</v>
      </c>
      <c r="J87" s="10" t="s">
        <v>603</v>
      </c>
      <c r="K87" s="10" t="s">
        <v>5</v>
      </c>
      <c r="L87" s="10" t="s">
        <v>16</v>
      </c>
      <c r="M87" s="10"/>
      <c r="N87" s="10"/>
      <c r="O87" s="10"/>
      <c r="P87" s="12"/>
      <c r="Q87" s="12"/>
    </row>
    <row r="88" customFormat="false" ht="15" hidden="false" customHeight="false" outlineLevel="0" collapsed="false">
      <c r="A88" s="10" t="n">
        <v>84</v>
      </c>
      <c r="B88" s="10" t="s">
        <v>604</v>
      </c>
      <c r="C88" s="11" t="s">
        <v>605</v>
      </c>
      <c r="D88" s="10" t="s">
        <v>11</v>
      </c>
      <c r="E88" s="10" t="s">
        <v>606</v>
      </c>
      <c r="F88" s="10" t="s">
        <v>157</v>
      </c>
      <c r="G88" s="10" t="s">
        <v>607</v>
      </c>
      <c r="H88" s="10" t="s">
        <v>608</v>
      </c>
      <c r="I88" s="10" t="s">
        <v>609</v>
      </c>
      <c r="J88" s="10" t="s">
        <v>610</v>
      </c>
      <c r="K88" s="10" t="s">
        <v>5</v>
      </c>
      <c r="L88" s="10" t="s">
        <v>16</v>
      </c>
      <c r="M88" s="10"/>
      <c r="N88" s="10"/>
      <c r="O88" s="10"/>
      <c r="P88" s="12"/>
      <c r="Q88" s="12"/>
    </row>
    <row r="89" customFormat="false" ht="15" hidden="false" customHeight="false" outlineLevel="0" collapsed="false">
      <c r="A89" s="10" t="n">
        <v>85</v>
      </c>
      <c r="B89" s="10" t="s">
        <v>611</v>
      </c>
      <c r="C89" s="11" t="s">
        <v>612</v>
      </c>
      <c r="D89" s="10" t="s">
        <v>11</v>
      </c>
      <c r="E89" s="10" t="s">
        <v>613</v>
      </c>
      <c r="F89" s="10" t="s">
        <v>614</v>
      </c>
      <c r="G89" s="10" t="s">
        <v>615</v>
      </c>
      <c r="H89" s="10" t="s">
        <v>66</v>
      </c>
      <c r="I89" s="10" t="s">
        <v>616</v>
      </c>
      <c r="J89" s="10" t="s">
        <v>617</v>
      </c>
      <c r="K89" s="10" t="s">
        <v>5</v>
      </c>
      <c r="L89" s="10" t="s">
        <v>16</v>
      </c>
      <c r="M89" s="10"/>
      <c r="N89" s="10"/>
      <c r="O89" s="10"/>
      <c r="P89" s="12"/>
      <c r="Q89" s="12"/>
    </row>
    <row r="90" customFormat="false" ht="15" hidden="false" customHeight="false" outlineLevel="0" collapsed="false">
      <c r="A90" s="10" t="n">
        <v>86</v>
      </c>
      <c r="B90" s="10" t="s">
        <v>618</v>
      </c>
      <c r="C90" s="11" t="s">
        <v>619</v>
      </c>
      <c r="D90" s="10" t="s">
        <v>11</v>
      </c>
      <c r="E90" s="10" t="s">
        <v>251</v>
      </c>
      <c r="F90" s="10" t="s">
        <v>114</v>
      </c>
      <c r="G90" s="10" t="s">
        <v>503</v>
      </c>
      <c r="H90" s="10" t="s">
        <v>159</v>
      </c>
      <c r="I90" s="10" t="s">
        <v>620</v>
      </c>
      <c r="J90" s="10" t="s">
        <v>621</v>
      </c>
      <c r="K90" s="10" t="s">
        <v>5</v>
      </c>
      <c r="L90" s="10" t="s">
        <v>16</v>
      </c>
      <c r="M90" s="10"/>
      <c r="N90" s="10"/>
      <c r="O90" s="10"/>
      <c r="P90" s="12"/>
      <c r="Q90" s="12"/>
    </row>
    <row r="91" customFormat="false" ht="23.85" hidden="false" customHeight="false" outlineLevel="0" collapsed="false">
      <c r="A91" s="10" t="n">
        <v>87</v>
      </c>
      <c r="B91" s="10" t="s">
        <v>622</v>
      </c>
      <c r="C91" s="11" t="s">
        <v>623</v>
      </c>
      <c r="D91" s="10" t="s">
        <v>11</v>
      </c>
      <c r="E91" s="10" t="s">
        <v>46</v>
      </c>
      <c r="F91" s="10" t="s">
        <v>114</v>
      </c>
      <c r="G91" s="10" t="s">
        <v>624</v>
      </c>
      <c r="H91" s="10" t="s">
        <v>159</v>
      </c>
      <c r="I91" s="10" t="s">
        <v>625</v>
      </c>
      <c r="J91" s="10" t="s">
        <v>626</v>
      </c>
      <c r="K91" s="10" t="s">
        <v>5</v>
      </c>
      <c r="L91" s="10" t="s">
        <v>16</v>
      </c>
      <c r="M91" s="10"/>
      <c r="N91" s="10"/>
      <c r="O91" s="10"/>
      <c r="P91" s="12"/>
      <c r="Q91" s="12"/>
    </row>
    <row r="92" customFormat="false" ht="15" hidden="false" customHeight="false" outlineLevel="0" collapsed="false">
      <c r="A92" s="10" t="n">
        <v>88</v>
      </c>
      <c r="B92" s="10" t="s">
        <v>627</v>
      </c>
      <c r="C92" s="11" t="s">
        <v>628</v>
      </c>
      <c r="D92" s="10" t="s">
        <v>11</v>
      </c>
      <c r="E92" s="10" t="s">
        <v>629</v>
      </c>
      <c r="F92" s="10" t="s">
        <v>173</v>
      </c>
      <c r="G92" s="10" t="s">
        <v>388</v>
      </c>
      <c r="H92" s="10" t="s">
        <v>66</v>
      </c>
      <c r="I92" s="10" t="s">
        <v>630</v>
      </c>
      <c r="J92" s="10" t="s">
        <v>631</v>
      </c>
      <c r="K92" s="10" t="s">
        <v>5</v>
      </c>
      <c r="L92" s="10" t="s">
        <v>16</v>
      </c>
      <c r="M92" s="10"/>
      <c r="N92" s="10"/>
      <c r="O92" s="10"/>
      <c r="P92" s="12"/>
      <c r="Q92" s="12"/>
    </row>
    <row r="93" customFormat="false" ht="15" hidden="false" customHeight="false" outlineLevel="0" collapsed="false">
      <c r="A93" s="10" t="n">
        <v>89</v>
      </c>
      <c r="B93" s="10" t="s">
        <v>632</v>
      </c>
      <c r="C93" s="11" t="s">
        <v>633</v>
      </c>
      <c r="D93" s="10" t="s">
        <v>11</v>
      </c>
      <c r="E93" s="10" t="s">
        <v>634</v>
      </c>
      <c r="F93" s="10" t="s">
        <v>157</v>
      </c>
      <c r="G93" s="10" t="s">
        <v>635</v>
      </c>
      <c r="H93" s="10" t="s">
        <v>66</v>
      </c>
      <c r="I93" s="10" t="s">
        <v>636</v>
      </c>
      <c r="J93" s="10" t="s">
        <v>637</v>
      </c>
      <c r="K93" s="10" t="s">
        <v>5</v>
      </c>
      <c r="L93" s="10" t="s">
        <v>16</v>
      </c>
      <c r="M93" s="10"/>
      <c r="N93" s="10"/>
      <c r="O93" s="10"/>
      <c r="P93" s="12"/>
      <c r="Q93" s="12"/>
    </row>
    <row r="94" customFormat="false" ht="15" hidden="false" customHeight="false" outlineLevel="0" collapsed="false">
      <c r="A94" s="10" t="n">
        <v>90</v>
      </c>
      <c r="B94" s="10" t="s">
        <v>638</v>
      </c>
      <c r="C94" s="11" t="s">
        <v>639</v>
      </c>
      <c r="D94" s="10" t="s">
        <v>11</v>
      </c>
      <c r="E94" s="10" t="s">
        <v>629</v>
      </c>
      <c r="F94" s="10" t="s">
        <v>157</v>
      </c>
      <c r="G94" s="10" t="s">
        <v>640</v>
      </c>
      <c r="H94" s="10" t="s">
        <v>159</v>
      </c>
      <c r="I94" s="10" t="s">
        <v>641</v>
      </c>
      <c r="J94" s="10" t="s">
        <v>642</v>
      </c>
      <c r="K94" s="10" t="s">
        <v>5</v>
      </c>
      <c r="L94" s="10" t="s">
        <v>16</v>
      </c>
      <c r="M94" s="10"/>
      <c r="N94" s="10"/>
      <c r="O94" s="10"/>
      <c r="P94" s="12"/>
      <c r="Q94" s="12"/>
    </row>
    <row r="95" customFormat="false" ht="15" hidden="false" customHeight="false" outlineLevel="0" collapsed="false">
      <c r="A95" s="10" t="n">
        <v>91</v>
      </c>
      <c r="B95" s="10" t="s">
        <v>643</v>
      </c>
      <c r="C95" s="11" t="s">
        <v>644</v>
      </c>
      <c r="D95" s="10" t="s">
        <v>11</v>
      </c>
      <c r="E95" s="10" t="s">
        <v>251</v>
      </c>
      <c r="F95" s="10" t="s">
        <v>645</v>
      </c>
      <c r="G95" s="10" t="s">
        <v>646</v>
      </c>
      <c r="H95" s="10" t="s">
        <v>66</v>
      </c>
      <c r="I95" s="10" t="s">
        <v>647</v>
      </c>
      <c r="J95" s="10" t="s">
        <v>648</v>
      </c>
      <c r="K95" s="10" t="s">
        <v>5</v>
      </c>
      <c r="L95" s="10" t="s">
        <v>16</v>
      </c>
      <c r="M95" s="10"/>
      <c r="N95" s="10"/>
      <c r="O95" s="10"/>
      <c r="P95" s="12"/>
      <c r="Q95" s="12"/>
    </row>
    <row r="96" customFormat="false" ht="23.85" hidden="false" customHeight="false" outlineLevel="0" collapsed="false">
      <c r="A96" s="10" t="n">
        <v>92</v>
      </c>
      <c r="B96" s="10" t="s">
        <v>649</v>
      </c>
      <c r="C96" s="11" t="s">
        <v>650</v>
      </c>
      <c r="D96" s="10" t="s">
        <v>11</v>
      </c>
      <c r="E96" s="10" t="s">
        <v>651</v>
      </c>
      <c r="F96" s="10" t="s">
        <v>173</v>
      </c>
      <c r="G96" s="10" t="s">
        <v>165</v>
      </c>
      <c r="H96" s="10" t="s">
        <v>66</v>
      </c>
      <c r="I96" s="10" t="s">
        <v>652</v>
      </c>
      <c r="J96" s="10" t="s">
        <v>653</v>
      </c>
      <c r="K96" s="10" t="s">
        <v>5</v>
      </c>
      <c r="L96" s="10" t="s">
        <v>16</v>
      </c>
      <c r="M96" s="10"/>
      <c r="N96" s="10"/>
      <c r="O96" s="10"/>
      <c r="P96" s="12"/>
      <c r="Q96" s="12"/>
    </row>
    <row r="97" customFormat="false" ht="15" hidden="false" customHeight="false" outlineLevel="0" collapsed="false">
      <c r="A97" s="10" t="n">
        <v>93</v>
      </c>
      <c r="B97" s="10" t="s">
        <v>654</v>
      </c>
      <c r="C97" s="11" t="s">
        <v>655</v>
      </c>
      <c r="D97" s="10" t="s">
        <v>11</v>
      </c>
      <c r="E97" s="10" t="s">
        <v>656</v>
      </c>
      <c r="F97" s="10" t="s">
        <v>114</v>
      </c>
      <c r="G97" s="10" t="s">
        <v>158</v>
      </c>
      <c r="H97" s="10" t="s">
        <v>159</v>
      </c>
      <c r="I97" s="10" t="s">
        <v>657</v>
      </c>
      <c r="J97" s="10" t="s">
        <v>658</v>
      </c>
      <c r="K97" s="10" t="s">
        <v>5</v>
      </c>
      <c r="L97" s="10" t="s">
        <v>16</v>
      </c>
      <c r="M97" s="10"/>
      <c r="N97" s="10"/>
      <c r="O97" s="10"/>
      <c r="P97" s="12"/>
      <c r="Q97" s="12"/>
    </row>
    <row r="98" customFormat="false" ht="23.85" hidden="false" customHeight="false" outlineLevel="0" collapsed="false">
      <c r="A98" s="10" t="n">
        <v>94</v>
      </c>
      <c r="B98" s="10" t="s">
        <v>659</v>
      </c>
      <c r="C98" s="11" t="s">
        <v>660</v>
      </c>
      <c r="D98" s="10" t="s">
        <v>11</v>
      </c>
      <c r="E98" s="10" t="s">
        <v>661</v>
      </c>
      <c r="F98" s="10" t="s">
        <v>114</v>
      </c>
      <c r="G98" s="10" t="s">
        <v>380</v>
      </c>
      <c r="H98" s="10" t="s">
        <v>159</v>
      </c>
      <c r="I98" s="10" t="s">
        <v>662</v>
      </c>
      <c r="J98" s="10" t="s">
        <v>663</v>
      </c>
      <c r="K98" s="10" t="s">
        <v>5</v>
      </c>
      <c r="L98" s="10" t="s">
        <v>16</v>
      </c>
      <c r="M98" s="10"/>
      <c r="N98" s="10"/>
      <c r="O98" s="10"/>
      <c r="P98" s="12"/>
      <c r="Q98" s="12"/>
    </row>
    <row r="99" customFormat="false" ht="23.85" hidden="false" customHeight="false" outlineLevel="0" collapsed="false">
      <c r="A99" s="10" t="n">
        <v>95</v>
      </c>
      <c r="B99" s="10" t="s">
        <v>664</v>
      </c>
      <c r="C99" s="11" t="s">
        <v>665</v>
      </c>
      <c r="D99" s="10" t="s">
        <v>11</v>
      </c>
      <c r="E99" s="10" t="s">
        <v>666</v>
      </c>
      <c r="F99" s="10" t="s">
        <v>157</v>
      </c>
      <c r="G99" s="10" t="s">
        <v>187</v>
      </c>
      <c r="H99" s="10" t="s">
        <v>159</v>
      </c>
      <c r="I99" s="10" t="s">
        <v>667</v>
      </c>
      <c r="J99" s="10" t="s">
        <v>668</v>
      </c>
      <c r="K99" s="10" t="s">
        <v>5</v>
      </c>
      <c r="L99" s="10" t="s">
        <v>16</v>
      </c>
      <c r="M99" s="10"/>
      <c r="N99" s="10"/>
      <c r="O99" s="10"/>
      <c r="P99" s="12"/>
      <c r="Q99" s="12"/>
    </row>
    <row r="100" customFormat="false" ht="35.05" hidden="false" customHeight="false" outlineLevel="0" collapsed="false">
      <c r="A100" s="10" t="n">
        <v>96</v>
      </c>
      <c r="B100" s="10" t="s">
        <v>669</v>
      </c>
      <c r="C100" s="11" t="s">
        <v>670</v>
      </c>
      <c r="D100" s="10" t="s">
        <v>11</v>
      </c>
      <c r="E100" s="10" t="s">
        <v>251</v>
      </c>
      <c r="F100" s="10" t="s">
        <v>114</v>
      </c>
      <c r="G100" s="10" t="s">
        <v>671</v>
      </c>
      <c r="H100" s="10" t="s">
        <v>159</v>
      </c>
      <c r="I100" s="10" t="s">
        <v>672</v>
      </c>
      <c r="J100" s="10" t="s">
        <v>673</v>
      </c>
      <c r="K100" s="10" t="s">
        <v>5</v>
      </c>
      <c r="L100" s="10" t="s">
        <v>16</v>
      </c>
      <c r="M100" s="10"/>
      <c r="N100" s="10"/>
      <c r="O100" s="10"/>
      <c r="P100" s="12"/>
      <c r="Q100" s="12"/>
    </row>
    <row r="101" customFormat="false" ht="15" hidden="false" customHeight="false" outlineLevel="0" collapsed="false">
      <c r="A101" s="10" t="n">
        <v>97</v>
      </c>
      <c r="B101" s="10" t="s">
        <v>674</v>
      </c>
      <c r="C101" s="11" t="s">
        <v>675</v>
      </c>
      <c r="D101" s="10" t="s">
        <v>11</v>
      </c>
      <c r="E101" s="10" t="s">
        <v>72</v>
      </c>
      <c r="F101" s="10" t="s">
        <v>114</v>
      </c>
      <c r="G101" s="10" t="s">
        <v>676</v>
      </c>
      <c r="H101" s="10" t="s">
        <v>66</v>
      </c>
      <c r="I101" s="10" t="s">
        <v>677</v>
      </c>
      <c r="J101" s="10" t="s">
        <v>678</v>
      </c>
      <c r="K101" s="10" t="s">
        <v>5</v>
      </c>
      <c r="L101" s="10" t="s">
        <v>16</v>
      </c>
      <c r="M101" s="10"/>
      <c r="N101" s="10"/>
      <c r="O101" s="10"/>
      <c r="P101" s="12"/>
      <c r="Q101" s="12"/>
    </row>
    <row r="102" customFormat="false" ht="15" hidden="false" customHeight="false" outlineLevel="0" collapsed="false">
      <c r="A102" s="10" t="n">
        <v>98</v>
      </c>
      <c r="B102" s="10" t="s">
        <v>679</v>
      </c>
      <c r="C102" s="11" t="s">
        <v>680</v>
      </c>
      <c r="D102" s="10" t="s">
        <v>11</v>
      </c>
      <c r="E102" s="10" t="s">
        <v>681</v>
      </c>
      <c r="F102" s="10" t="s">
        <v>157</v>
      </c>
      <c r="G102" s="10" t="s">
        <v>187</v>
      </c>
      <c r="H102" s="10" t="s">
        <v>682</v>
      </c>
      <c r="I102" s="10" t="s">
        <v>683</v>
      </c>
      <c r="J102" s="10" t="s">
        <v>684</v>
      </c>
      <c r="K102" s="10" t="s">
        <v>5</v>
      </c>
      <c r="L102" s="10" t="s">
        <v>16</v>
      </c>
      <c r="M102" s="10"/>
      <c r="N102" s="10"/>
      <c r="O102" s="10"/>
      <c r="P102" s="12"/>
      <c r="Q102" s="12"/>
    </row>
    <row r="103" customFormat="false" ht="15" hidden="false" customHeight="false" outlineLevel="0" collapsed="false">
      <c r="A103" s="10" t="n">
        <v>99</v>
      </c>
      <c r="B103" s="10" t="s">
        <v>685</v>
      </c>
      <c r="C103" s="11" t="s">
        <v>686</v>
      </c>
      <c r="D103" s="10" t="s">
        <v>11</v>
      </c>
      <c r="E103" s="10" t="s">
        <v>687</v>
      </c>
      <c r="F103" s="10" t="s">
        <v>114</v>
      </c>
      <c r="G103" s="10" t="s">
        <v>57</v>
      </c>
      <c r="H103" s="10" t="s">
        <v>159</v>
      </c>
      <c r="I103" s="10" t="s">
        <v>688</v>
      </c>
      <c r="J103" s="10" t="s">
        <v>689</v>
      </c>
      <c r="K103" s="10" t="s">
        <v>5</v>
      </c>
      <c r="L103" s="10" t="s">
        <v>16</v>
      </c>
      <c r="M103" s="10"/>
      <c r="N103" s="10"/>
      <c r="O103" s="10"/>
      <c r="P103" s="12"/>
      <c r="Q103" s="12"/>
    </row>
    <row r="104" customFormat="false" ht="15" hidden="false" customHeight="false" outlineLevel="0" collapsed="false">
      <c r="A104" s="10" t="n">
        <v>100</v>
      </c>
      <c r="B104" s="10" t="s">
        <v>690</v>
      </c>
      <c r="C104" s="11" t="s">
        <v>691</v>
      </c>
      <c r="D104" s="10" t="s">
        <v>8</v>
      </c>
      <c r="E104" s="10" t="s">
        <v>46</v>
      </c>
      <c r="F104" s="10" t="s">
        <v>692</v>
      </c>
      <c r="G104" s="10" t="s">
        <v>693</v>
      </c>
      <c r="H104" s="10" t="s">
        <v>66</v>
      </c>
      <c r="I104" s="10" t="s">
        <v>694</v>
      </c>
      <c r="J104" s="10" t="s">
        <v>695</v>
      </c>
      <c r="K104" s="10" t="s">
        <v>5</v>
      </c>
      <c r="L104" s="10" t="s">
        <v>16</v>
      </c>
      <c r="M104" s="10"/>
      <c r="N104" s="10"/>
      <c r="O104" s="10"/>
      <c r="P104" s="12"/>
      <c r="Q104" s="12"/>
    </row>
    <row r="105" customFormat="false" ht="15" hidden="false" customHeight="false" outlineLevel="0" collapsed="false">
      <c r="A105" s="10" t="n">
        <v>101</v>
      </c>
      <c r="B105" s="10" t="s">
        <v>696</v>
      </c>
      <c r="C105" s="11" t="s">
        <v>697</v>
      </c>
      <c r="D105" s="10" t="s">
        <v>8</v>
      </c>
      <c r="E105" s="10" t="s">
        <v>698</v>
      </c>
      <c r="F105" s="10" t="s">
        <v>699</v>
      </c>
      <c r="G105" s="10" t="s">
        <v>700</v>
      </c>
      <c r="H105" s="10" t="s">
        <v>701</v>
      </c>
      <c r="I105" s="10" t="s">
        <v>702</v>
      </c>
      <c r="J105" s="10" t="s">
        <v>703</v>
      </c>
      <c r="K105" s="10" t="s">
        <v>5</v>
      </c>
      <c r="L105" s="10" t="s">
        <v>16</v>
      </c>
      <c r="M105" s="10"/>
      <c r="N105" s="10"/>
      <c r="O105" s="10"/>
      <c r="P105" s="12"/>
      <c r="Q105" s="12"/>
    </row>
    <row r="106" customFormat="false" ht="23.85" hidden="false" customHeight="false" outlineLevel="0" collapsed="false">
      <c r="A106" s="10" t="n">
        <v>102</v>
      </c>
      <c r="B106" s="10" t="s">
        <v>704</v>
      </c>
      <c r="C106" s="11" t="s">
        <v>705</v>
      </c>
      <c r="D106" s="10" t="s">
        <v>8</v>
      </c>
      <c r="E106" s="10" t="s">
        <v>46</v>
      </c>
      <c r="F106" s="10" t="s">
        <v>706</v>
      </c>
      <c r="G106" s="10" t="s">
        <v>707</v>
      </c>
      <c r="H106" s="10" t="s">
        <v>66</v>
      </c>
      <c r="I106" s="10" t="s">
        <v>708</v>
      </c>
      <c r="J106" s="10" t="s">
        <v>709</v>
      </c>
      <c r="K106" s="10" t="s">
        <v>5</v>
      </c>
      <c r="L106" s="10" t="s">
        <v>16</v>
      </c>
      <c r="M106" s="10"/>
      <c r="N106" s="10"/>
      <c r="O106" s="10"/>
      <c r="P106" s="12"/>
      <c r="Q106" s="12"/>
    </row>
    <row r="107" customFormat="false" ht="15" hidden="false" customHeight="false" outlineLevel="0" collapsed="false">
      <c r="A107" s="10" t="n">
        <v>103</v>
      </c>
      <c r="B107" s="10" t="s">
        <v>710</v>
      </c>
      <c r="C107" s="11" t="s">
        <v>711</v>
      </c>
      <c r="D107" s="10" t="s">
        <v>8</v>
      </c>
      <c r="E107" s="10" t="s">
        <v>561</v>
      </c>
      <c r="F107" s="10" t="s">
        <v>712</v>
      </c>
      <c r="G107" s="10" t="s">
        <v>57</v>
      </c>
      <c r="H107" s="10" t="s">
        <v>66</v>
      </c>
      <c r="I107" s="10" t="s">
        <v>713</v>
      </c>
      <c r="J107" s="10" t="s">
        <v>714</v>
      </c>
      <c r="K107" s="10" t="s">
        <v>5</v>
      </c>
      <c r="L107" s="10" t="s">
        <v>16</v>
      </c>
      <c r="M107" s="10"/>
      <c r="N107" s="10"/>
      <c r="O107" s="10"/>
      <c r="P107" s="12"/>
      <c r="Q107" s="12"/>
    </row>
    <row r="108" customFormat="false" ht="23.85" hidden="false" customHeight="false" outlineLevel="0" collapsed="false">
      <c r="A108" s="10" t="n">
        <v>104</v>
      </c>
      <c r="B108" s="10" t="s">
        <v>715</v>
      </c>
      <c r="C108" s="11" t="s">
        <v>716</v>
      </c>
      <c r="D108" s="10" t="s">
        <v>8</v>
      </c>
      <c r="E108" s="10" t="s">
        <v>687</v>
      </c>
      <c r="F108" s="10" t="s">
        <v>717</v>
      </c>
      <c r="G108" s="10" t="s">
        <v>718</v>
      </c>
      <c r="H108" s="10" t="s">
        <v>66</v>
      </c>
      <c r="I108" s="10" t="s">
        <v>719</v>
      </c>
      <c r="J108" s="10" t="s">
        <v>720</v>
      </c>
      <c r="K108" s="10" t="s">
        <v>5</v>
      </c>
      <c r="L108" s="10" t="s">
        <v>16</v>
      </c>
      <c r="M108" s="10"/>
      <c r="N108" s="10"/>
      <c r="O108" s="10"/>
      <c r="P108" s="12"/>
      <c r="Q108" s="12"/>
    </row>
    <row r="109" customFormat="false" ht="15" hidden="false" customHeight="false" outlineLevel="0" collapsed="false">
      <c r="A109" s="10" t="n">
        <v>105</v>
      </c>
      <c r="B109" s="10" t="s">
        <v>721</v>
      </c>
      <c r="C109" s="11" t="s">
        <v>722</v>
      </c>
      <c r="D109" s="10" t="s">
        <v>8</v>
      </c>
      <c r="E109" s="10" t="s">
        <v>723</v>
      </c>
      <c r="F109" s="10" t="s">
        <v>724</v>
      </c>
      <c r="G109" s="10" t="s">
        <v>205</v>
      </c>
      <c r="H109" s="10" t="s">
        <v>725</v>
      </c>
      <c r="I109" s="10" t="s">
        <v>726</v>
      </c>
      <c r="J109" s="10" t="s">
        <v>727</v>
      </c>
      <c r="K109" s="10" t="s">
        <v>5</v>
      </c>
      <c r="L109" s="10" t="s">
        <v>16</v>
      </c>
      <c r="M109" s="10"/>
      <c r="N109" s="10"/>
      <c r="O109" s="10"/>
      <c r="P109" s="12"/>
      <c r="Q109" s="12"/>
    </row>
    <row r="110" customFormat="false" ht="15" hidden="false" customHeight="false" outlineLevel="0" collapsed="false">
      <c r="A110" s="10" t="n">
        <v>106</v>
      </c>
      <c r="B110" s="10" t="s">
        <v>728</v>
      </c>
      <c r="C110" s="11" t="s">
        <v>729</v>
      </c>
      <c r="D110" s="10" t="s">
        <v>8</v>
      </c>
      <c r="E110" s="10" t="s">
        <v>46</v>
      </c>
      <c r="F110" s="10" t="s">
        <v>252</v>
      </c>
      <c r="G110" s="10" t="s">
        <v>730</v>
      </c>
      <c r="H110" s="10" t="s">
        <v>66</v>
      </c>
      <c r="I110" s="10" t="s">
        <v>731</v>
      </c>
      <c r="J110" s="10" t="s">
        <v>732</v>
      </c>
      <c r="K110" s="10" t="s">
        <v>5</v>
      </c>
      <c r="L110" s="10" t="s">
        <v>16</v>
      </c>
      <c r="M110" s="10"/>
      <c r="N110" s="10"/>
      <c r="O110" s="10"/>
      <c r="P110" s="12"/>
      <c r="Q110" s="12"/>
    </row>
    <row r="111" customFormat="false" ht="15" hidden="false" customHeight="false" outlineLevel="0" collapsed="false">
      <c r="A111" s="10" t="n">
        <v>107</v>
      </c>
      <c r="B111" s="10" t="s">
        <v>733</v>
      </c>
      <c r="C111" s="11" t="s">
        <v>734</v>
      </c>
      <c r="D111" s="10" t="s">
        <v>8</v>
      </c>
      <c r="E111" s="10" t="s">
        <v>386</v>
      </c>
      <c r="F111" s="10" t="s">
        <v>735</v>
      </c>
      <c r="G111" s="10" t="s">
        <v>736</v>
      </c>
      <c r="H111" s="10" t="s">
        <v>66</v>
      </c>
      <c r="I111" s="10" t="s">
        <v>737</v>
      </c>
      <c r="J111" s="10" t="s">
        <v>738</v>
      </c>
      <c r="K111" s="10" t="s">
        <v>5</v>
      </c>
      <c r="L111" s="10" t="s">
        <v>16</v>
      </c>
      <c r="M111" s="10"/>
      <c r="N111" s="10"/>
      <c r="O111" s="10"/>
      <c r="P111" s="12"/>
      <c r="Q111" s="12"/>
    </row>
    <row r="112" customFormat="false" ht="15" hidden="false" customHeight="false" outlineLevel="0" collapsed="false">
      <c r="A112" s="10" t="n">
        <v>108</v>
      </c>
      <c r="B112" s="10" t="s">
        <v>739</v>
      </c>
      <c r="C112" s="11" t="s">
        <v>740</v>
      </c>
      <c r="D112" s="10" t="s">
        <v>8</v>
      </c>
      <c r="E112" s="10" t="s">
        <v>46</v>
      </c>
      <c r="F112" s="10" t="s">
        <v>252</v>
      </c>
      <c r="G112" s="10" t="s">
        <v>741</v>
      </c>
      <c r="H112" s="10" t="s">
        <v>66</v>
      </c>
      <c r="I112" s="10" t="s">
        <v>742</v>
      </c>
      <c r="J112" s="10" t="s">
        <v>743</v>
      </c>
      <c r="K112" s="10" t="s">
        <v>5</v>
      </c>
      <c r="L112" s="10" t="s">
        <v>16</v>
      </c>
      <c r="M112" s="10"/>
      <c r="N112" s="10"/>
      <c r="O112" s="10"/>
      <c r="P112" s="12"/>
      <c r="Q112" s="12"/>
    </row>
    <row r="113" customFormat="false" ht="15" hidden="false" customHeight="false" outlineLevel="0" collapsed="false">
      <c r="A113" s="10" t="n">
        <v>109</v>
      </c>
      <c r="B113" s="10" t="s">
        <v>744</v>
      </c>
      <c r="C113" s="11" t="s">
        <v>745</v>
      </c>
      <c r="D113" s="10" t="s">
        <v>8</v>
      </c>
      <c r="E113" s="10" t="s">
        <v>46</v>
      </c>
      <c r="F113" s="10" t="s">
        <v>746</v>
      </c>
      <c r="G113" s="10" t="s">
        <v>700</v>
      </c>
      <c r="H113" s="10" t="s">
        <v>66</v>
      </c>
      <c r="I113" s="10" t="s">
        <v>747</v>
      </c>
      <c r="J113" s="10" t="s">
        <v>748</v>
      </c>
      <c r="K113" s="10" t="s">
        <v>5</v>
      </c>
      <c r="L113" s="10" t="s">
        <v>16</v>
      </c>
      <c r="M113" s="10"/>
      <c r="N113" s="10"/>
      <c r="O113" s="10"/>
      <c r="P113" s="12"/>
      <c r="Q113" s="12"/>
    </row>
    <row r="114" customFormat="false" ht="15" hidden="false" customHeight="false" outlineLevel="0" collapsed="false">
      <c r="A114" s="10" t="n">
        <v>110</v>
      </c>
      <c r="B114" s="10" t="s">
        <v>749</v>
      </c>
      <c r="C114" s="11" t="s">
        <v>750</v>
      </c>
      <c r="D114" s="10" t="s">
        <v>8</v>
      </c>
      <c r="E114" s="10" t="s">
        <v>751</v>
      </c>
      <c r="F114" s="10" t="s">
        <v>752</v>
      </c>
      <c r="G114" s="10" t="s">
        <v>165</v>
      </c>
      <c r="H114" s="10" t="s">
        <v>66</v>
      </c>
      <c r="I114" s="10" t="s">
        <v>753</v>
      </c>
      <c r="J114" s="10" t="s">
        <v>754</v>
      </c>
      <c r="K114" s="10" t="s">
        <v>5</v>
      </c>
      <c r="L114" s="10" t="s">
        <v>16</v>
      </c>
      <c r="M114" s="10"/>
      <c r="N114" s="10"/>
      <c r="O114" s="10"/>
      <c r="P114" s="12"/>
      <c r="Q114" s="12"/>
    </row>
    <row r="115" customFormat="false" ht="15" hidden="false" customHeight="false" outlineLevel="0" collapsed="false">
      <c r="A115" s="10" t="n">
        <v>111</v>
      </c>
      <c r="B115" s="10" t="s">
        <v>755</v>
      </c>
      <c r="C115" s="11" t="s">
        <v>756</v>
      </c>
      <c r="D115" s="10" t="s">
        <v>8</v>
      </c>
      <c r="E115" s="10" t="s">
        <v>46</v>
      </c>
      <c r="F115" s="10" t="s">
        <v>757</v>
      </c>
      <c r="G115" s="10" t="s">
        <v>758</v>
      </c>
      <c r="H115" s="10" t="s">
        <v>49</v>
      </c>
      <c r="I115" s="10" t="s">
        <v>759</v>
      </c>
      <c r="J115" s="10" t="s">
        <v>760</v>
      </c>
      <c r="K115" s="10" t="s">
        <v>5</v>
      </c>
      <c r="L115" s="10" t="s">
        <v>16</v>
      </c>
      <c r="M115" s="10"/>
      <c r="N115" s="10"/>
      <c r="O115" s="10"/>
      <c r="P115" s="12"/>
      <c r="Q115" s="12"/>
    </row>
    <row r="116" customFormat="false" ht="15" hidden="false" customHeight="false" outlineLevel="0" collapsed="false">
      <c r="A116" s="10" t="n">
        <v>112</v>
      </c>
      <c r="B116" s="10" t="s">
        <v>761</v>
      </c>
      <c r="C116" s="11" t="s">
        <v>762</v>
      </c>
      <c r="D116" s="10" t="s">
        <v>10</v>
      </c>
      <c r="E116" s="10" t="s">
        <v>46</v>
      </c>
      <c r="F116" s="10" t="s">
        <v>706</v>
      </c>
      <c r="G116" s="10" t="s">
        <v>763</v>
      </c>
      <c r="H116" s="10" t="s">
        <v>49</v>
      </c>
      <c r="I116" s="10" t="s">
        <v>764</v>
      </c>
      <c r="J116" s="10" t="s">
        <v>765</v>
      </c>
      <c r="K116" s="10" t="s">
        <v>5</v>
      </c>
      <c r="L116" s="10" t="s">
        <v>16</v>
      </c>
      <c r="M116" s="10"/>
      <c r="N116" s="10"/>
      <c r="O116" s="10"/>
      <c r="P116" s="12"/>
      <c r="Q116" s="12"/>
    </row>
    <row r="117" customFormat="false" ht="15" hidden="false" customHeight="false" outlineLevel="0" collapsed="false">
      <c r="A117" s="10" t="n">
        <v>113</v>
      </c>
      <c r="B117" s="10" t="s">
        <v>766</v>
      </c>
      <c r="C117" s="11" t="s">
        <v>767</v>
      </c>
      <c r="D117" s="10" t="s">
        <v>10</v>
      </c>
      <c r="E117" s="10" t="s">
        <v>259</v>
      </c>
      <c r="F117" s="10" t="s">
        <v>768</v>
      </c>
      <c r="G117" s="10" t="s">
        <v>769</v>
      </c>
      <c r="H117" s="10" t="s">
        <v>293</v>
      </c>
      <c r="I117" s="10" t="s">
        <v>770</v>
      </c>
      <c r="J117" s="10" t="s">
        <v>771</v>
      </c>
      <c r="K117" s="10" t="s">
        <v>5</v>
      </c>
      <c r="L117" s="10" t="s">
        <v>16</v>
      </c>
      <c r="M117" s="10"/>
      <c r="N117" s="10"/>
      <c r="O117" s="10"/>
      <c r="P117" s="12"/>
      <c r="Q117" s="12"/>
    </row>
    <row r="118" customFormat="false" ht="15" hidden="false" customHeight="false" outlineLevel="0" collapsed="false">
      <c r="A118" s="10" t="n">
        <v>114</v>
      </c>
      <c r="B118" s="10" t="s">
        <v>772</v>
      </c>
      <c r="C118" s="11" t="s">
        <v>773</v>
      </c>
      <c r="D118" s="10" t="s">
        <v>10</v>
      </c>
      <c r="E118" s="10" t="s">
        <v>46</v>
      </c>
      <c r="F118" s="10" t="s">
        <v>774</v>
      </c>
      <c r="G118" s="10" t="s">
        <v>775</v>
      </c>
      <c r="H118" s="10" t="s">
        <v>66</v>
      </c>
      <c r="I118" s="10" t="s">
        <v>776</v>
      </c>
      <c r="J118" s="10" t="s">
        <v>777</v>
      </c>
      <c r="K118" s="10" t="s">
        <v>5</v>
      </c>
      <c r="L118" s="10" t="s">
        <v>16</v>
      </c>
      <c r="M118" s="10"/>
      <c r="N118" s="10"/>
      <c r="O118" s="10"/>
      <c r="P118" s="12"/>
      <c r="Q118" s="12"/>
    </row>
    <row r="119" customFormat="false" ht="15" hidden="false" customHeight="false" outlineLevel="0" collapsed="false">
      <c r="A119" s="10" t="n">
        <v>115</v>
      </c>
      <c r="B119" s="10" t="s">
        <v>778</v>
      </c>
      <c r="C119" s="11" t="s">
        <v>779</v>
      </c>
      <c r="D119" s="10" t="s">
        <v>10</v>
      </c>
      <c r="E119" s="10" t="s">
        <v>780</v>
      </c>
      <c r="F119" s="10" t="s">
        <v>781</v>
      </c>
      <c r="G119" s="10" t="s">
        <v>782</v>
      </c>
      <c r="H119" s="10" t="s">
        <v>66</v>
      </c>
      <c r="I119" s="10" t="s">
        <v>783</v>
      </c>
      <c r="J119" s="10" t="s">
        <v>784</v>
      </c>
      <c r="K119" s="10" t="s">
        <v>5</v>
      </c>
      <c r="L119" s="10" t="s">
        <v>16</v>
      </c>
      <c r="M119" s="10"/>
      <c r="N119" s="10"/>
      <c r="O119" s="10"/>
      <c r="P119" s="12"/>
      <c r="Q119" s="12"/>
    </row>
    <row r="120" customFormat="false" ht="35.05" hidden="false" customHeight="false" outlineLevel="0" collapsed="false">
      <c r="A120" s="10" t="n">
        <v>116</v>
      </c>
      <c r="B120" s="10" t="s">
        <v>785</v>
      </c>
      <c r="C120" s="11" t="s">
        <v>786</v>
      </c>
      <c r="D120" s="10" t="s">
        <v>10</v>
      </c>
      <c r="E120" s="10" t="s">
        <v>787</v>
      </c>
      <c r="F120" s="10" t="s">
        <v>788</v>
      </c>
      <c r="G120" s="10" t="s">
        <v>789</v>
      </c>
      <c r="H120" s="10" t="s">
        <v>790</v>
      </c>
      <c r="I120" s="10" t="s">
        <v>791</v>
      </c>
      <c r="J120" s="10" t="s">
        <v>792</v>
      </c>
      <c r="K120" s="10" t="s">
        <v>5</v>
      </c>
      <c r="L120" s="10" t="s">
        <v>16</v>
      </c>
      <c r="M120" s="10"/>
      <c r="N120" s="10"/>
      <c r="O120" s="10"/>
      <c r="P120" s="12"/>
      <c r="Q120" s="12"/>
    </row>
    <row r="121" customFormat="false" ht="15" hidden="false" customHeight="false" outlineLevel="0" collapsed="false">
      <c r="A121" s="10" t="n">
        <v>117</v>
      </c>
      <c r="B121" s="10" t="s">
        <v>793</v>
      </c>
      <c r="C121" s="11" t="s">
        <v>794</v>
      </c>
      <c r="D121" s="10" t="s">
        <v>10</v>
      </c>
      <c r="E121" s="10" t="s">
        <v>46</v>
      </c>
      <c r="F121" s="10" t="s">
        <v>795</v>
      </c>
      <c r="G121" s="10" t="s">
        <v>796</v>
      </c>
      <c r="H121" s="10" t="s">
        <v>66</v>
      </c>
      <c r="I121" s="10" t="s">
        <v>797</v>
      </c>
      <c r="J121" s="10" t="s">
        <v>517</v>
      </c>
      <c r="K121" s="10" t="s">
        <v>5</v>
      </c>
      <c r="L121" s="10" t="s">
        <v>16</v>
      </c>
      <c r="M121" s="10"/>
      <c r="N121" s="10"/>
      <c r="O121" s="10"/>
      <c r="P121" s="12"/>
      <c r="Q121" s="12"/>
    </row>
    <row r="122" customFormat="false" ht="15" hidden="false" customHeight="false" outlineLevel="0" collapsed="false">
      <c r="A122" s="10" t="n">
        <v>118</v>
      </c>
      <c r="B122" s="10" t="s">
        <v>798</v>
      </c>
      <c r="C122" s="11" t="s">
        <v>799</v>
      </c>
      <c r="D122" s="10" t="s">
        <v>10</v>
      </c>
      <c r="E122" s="10" t="s">
        <v>46</v>
      </c>
      <c r="F122" s="10" t="s">
        <v>800</v>
      </c>
      <c r="G122" s="10" t="s">
        <v>801</v>
      </c>
      <c r="H122" s="10" t="s">
        <v>66</v>
      </c>
      <c r="I122" s="10" t="s">
        <v>802</v>
      </c>
      <c r="J122" s="10" t="s">
        <v>720</v>
      </c>
      <c r="K122" s="10" t="s">
        <v>5</v>
      </c>
      <c r="L122" s="10" t="s">
        <v>16</v>
      </c>
      <c r="M122" s="10"/>
      <c r="N122" s="10"/>
      <c r="O122" s="10" t="s">
        <v>803</v>
      </c>
      <c r="P122" s="12"/>
      <c r="Q122" s="12"/>
    </row>
    <row r="123" customFormat="false" ht="15" hidden="false" customHeight="false" outlineLevel="0" collapsed="false">
      <c r="A123" s="10" t="n">
        <v>119</v>
      </c>
      <c r="B123" s="10" t="s">
        <v>804</v>
      </c>
      <c r="C123" s="11" t="s">
        <v>805</v>
      </c>
      <c r="D123" s="10" t="s">
        <v>10</v>
      </c>
      <c r="E123" s="10" t="s">
        <v>46</v>
      </c>
      <c r="F123" s="10" t="s">
        <v>781</v>
      </c>
      <c r="G123" s="10" t="s">
        <v>806</v>
      </c>
      <c r="H123" s="10" t="s">
        <v>402</v>
      </c>
      <c r="I123" s="10" t="s">
        <v>807</v>
      </c>
      <c r="J123" s="10" t="s">
        <v>808</v>
      </c>
      <c r="K123" s="10" t="s">
        <v>5</v>
      </c>
      <c r="L123" s="10" t="s">
        <v>16</v>
      </c>
      <c r="M123" s="10"/>
      <c r="N123" s="10"/>
      <c r="O123" s="10"/>
      <c r="P123" s="12"/>
      <c r="Q123" s="12"/>
    </row>
    <row r="124" customFormat="false" ht="15" hidden="false" customHeight="false" outlineLevel="0" collapsed="false">
      <c r="A124" s="10" t="n">
        <v>120</v>
      </c>
      <c r="B124" s="10" t="s">
        <v>809</v>
      </c>
      <c r="C124" s="11" t="s">
        <v>810</v>
      </c>
      <c r="D124" s="10" t="s">
        <v>10</v>
      </c>
      <c r="E124" s="10" t="s">
        <v>46</v>
      </c>
      <c r="F124" s="10" t="s">
        <v>811</v>
      </c>
      <c r="G124" s="10" t="s">
        <v>812</v>
      </c>
      <c r="H124" s="10" t="s">
        <v>813</v>
      </c>
      <c r="I124" s="10" t="s">
        <v>814</v>
      </c>
      <c r="J124" s="10" t="s">
        <v>815</v>
      </c>
      <c r="K124" s="10" t="s">
        <v>5</v>
      </c>
      <c r="L124" s="10" t="s">
        <v>16</v>
      </c>
      <c r="M124" s="10"/>
      <c r="N124" s="10"/>
      <c r="O124" s="10"/>
      <c r="P124" s="12"/>
      <c r="Q124" s="12"/>
    </row>
    <row r="125" customFormat="false" ht="23.85" hidden="false" customHeight="false" outlineLevel="0" collapsed="false">
      <c r="A125" s="10" t="n">
        <v>121</v>
      </c>
      <c r="B125" s="10" t="s">
        <v>816</v>
      </c>
      <c r="C125" s="11" t="s">
        <v>817</v>
      </c>
      <c r="D125" s="10" t="s">
        <v>10</v>
      </c>
      <c r="E125" s="10" t="s">
        <v>818</v>
      </c>
      <c r="F125" s="10" t="s">
        <v>819</v>
      </c>
      <c r="G125" s="10" t="s">
        <v>820</v>
      </c>
      <c r="H125" s="10" t="s">
        <v>821</v>
      </c>
      <c r="I125" s="10" t="s">
        <v>822</v>
      </c>
      <c r="J125" s="10" t="s">
        <v>823</v>
      </c>
      <c r="K125" s="10" t="s">
        <v>5</v>
      </c>
      <c r="L125" s="10" t="s">
        <v>16</v>
      </c>
      <c r="M125" s="10"/>
      <c r="N125" s="10"/>
      <c r="O125" s="10"/>
      <c r="P125" s="12"/>
      <c r="Q125" s="12"/>
    </row>
    <row r="126" customFormat="false" ht="23.85" hidden="false" customHeight="false" outlineLevel="0" collapsed="false">
      <c r="A126" s="10" t="n">
        <v>122</v>
      </c>
      <c r="B126" s="10" t="s">
        <v>824</v>
      </c>
      <c r="C126" s="11" t="s">
        <v>825</v>
      </c>
      <c r="D126" s="10" t="s">
        <v>10</v>
      </c>
      <c r="E126" s="10" t="s">
        <v>386</v>
      </c>
      <c r="F126" s="10" t="s">
        <v>826</v>
      </c>
      <c r="G126" s="10" t="s">
        <v>827</v>
      </c>
      <c r="H126" s="10" t="s">
        <v>66</v>
      </c>
      <c r="I126" s="10" t="s">
        <v>828</v>
      </c>
      <c r="J126" s="10" t="s">
        <v>829</v>
      </c>
      <c r="K126" s="10" t="s">
        <v>5</v>
      </c>
      <c r="L126" s="10" t="s">
        <v>16</v>
      </c>
      <c r="M126" s="10"/>
      <c r="N126" s="10"/>
      <c r="O126" s="10"/>
      <c r="P126" s="12"/>
      <c r="Q126" s="12"/>
    </row>
    <row r="127" customFormat="false" ht="23.85" hidden="false" customHeight="false" outlineLevel="0" collapsed="false">
      <c r="A127" s="10" t="n">
        <v>123</v>
      </c>
      <c r="B127" s="10" t="s">
        <v>830</v>
      </c>
      <c r="C127" s="11" t="s">
        <v>831</v>
      </c>
      <c r="D127" s="10" t="s">
        <v>10</v>
      </c>
      <c r="E127" s="10" t="s">
        <v>832</v>
      </c>
      <c r="F127" s="10" t="s">
        <v>157</v>
      </c>
      <c r="G127" s="10" t="s">
        <v>833</v>
      </c>
      <c r="H127" s="10" t="s">
        <v>66</v>
      </c>
      <c r="I127" s="10" t="s">
        <v>834</v>
      </c>
      <c r="J127" s="10" t="s">
        <v>835</v>
      </c>
      <c r="K127" s="10" t="s">
        <v>5</v>
      </c>
      <c r="L127" s="10" t="s">
        <v>16</v>
      </c>
      <c r="M127" s="10"/>
      <c r="N127" s="10"/>
      <c r="O127" s="10"/>
      <c r="P127" s="12"/>
      <c r="Q127" s="12"/>
    </row>
  </sheetData>
  <autoFilter ref="A4:Q127"/>
  <conditionalFormatting sqref="K5:K127">
    <cfRule type="cellIs" priority="2" operator="equal" aboveAverage="0" equalAverage="0" bottom="0" percent="0" rank="0" text="" dxfId="8">
      <formula>"Alta"</formula>
    </cfRule>
    <cfRule type="cellIs" priority="3" operator="equal" aboveAverage="0" equalAverage="0" bottom="0" percent="0" rank="0" text="" dxfId="9">
      <formula>"Media"</formula>
    </cfRule>
  </conditionalFormatting>
  <conditionalFormatting sqref="L5:L127">
    <cfRule type="cellIs" priority="4" operator="equal" aboveAverage="0" equalAverage="0" bottom="0" percent="0" rank="0" text="" dxfId="10">
      <formula>"Sí"</formula>
    </cfRule>
  </conditionalFormatting>
  <dataValidations count="1">
    <dataValidation allowBlank="true" errorStyle="stop" operator="between" showDropDown="false" showErrorMessage="false" showInputMessage="false" sqref="P5:P127" type="list">
      <formula1>"Sí,No,Revisar"</formula1>
      <formula2>0</formula2>
    </dataValidation>
  </dataValidations>
  <hyperlinks>
    <hyperlink ref="C5" r:id="rId1" display="https://github.com/NLRWindSystems/LandBOSSE"/>
    <hyperlink ref="C6" r:id="rId2" display="https://github.com/numpy/numpy-financial"/>
    <hyperlink ref="C7" r:id="rId3" display="https://github.com/PhilipGriffith/AHPy"/>
    <hyperlink ref="C8" r:id="rId4" display="https://github.com/SilverDecisions/SilverDecisions"/>
    <hyperlink ref="C9" r:id="rId5" display="https://github.com/Valdecy/pyDecision"/>
    <hyperlink ref="C10" r:id="rId6" display="https://github.com/anthropics/financial-services"/>
    <hyperlink ref="C11" r:id="rId7" display="https://github.com/anthropics/skills/tree/main/skills/xlsx"/>
    <hyperlink ref="C12" r:id="rId8" display="https://github.com/jmcnamara/XlsxWriter"/>
    <hyperlink ref="C13" r:id="rId9" display="https://foss.heptapod.net/openpyxl/openpyxl"/>
    <hyperlink ref="C14" r:id="rId10" display="https://github.com/SALib/SALib"/>
    <hyperlink ref="C15" r:id="rId11" display="https://github.com/scanny/python-pptx"/>
    <hyperlink ref="C16" r:id="rId12" display="https://github.com/scottshambaugh/monaco"/>
    <hyperlink ref="C17" r:id="rId13" display="https://github.com/vinci1it2000/formulas"/>
    <hyperlink ref="C18" r:id="rId14" display="https://github.com/Chaimurat/exploration-campaign-optimizer"/>
    <hyperlink ref="C19" r:id="rId15" display="https://github.com/juansecorreapaez/RigGo"/>
    <hyperlink ref="C20" r:id="rId16" display="https://github.com/praveen-christuraj/Well-Costing"/>
    <hyperlink ref="C21" r:id="rId17" display="https://github.com/samarioexplorer/Guyana_Offshore_Drilling_Analytics"/>
    <hyperlink ref="C22" r:id="rId18" display="https://github.com/anthropics/skills"/>
    <hyperlink ref="C23" r:id="rId19" display="https://github.com/Belval/pdf2image"/>
    <hyperlink ref="C24" r:id="rId20" display="https://github.com/LibreOffice/core"/>
    <hyperlink ref="C25" r:id="rId21" display="https://github.com/likaku/Mck-ppt-design-skill"/>
    <hyperlink ref="C26" r:id="rId22" display="https://github.com/matplotlib/matplotlib"/>
    <hyperlink ref="C27" r:id="rId23" display="https://github.com/Netflix-Skunkworks/riskquant"/>
    <hyperlink ref="C28" r:id="rId24" display="https://github.com/pyscripter/XLRisk"/>
    <hyperlink ref="C29" r:id="rId25" display="https://github.com/Anexen/pyxirr"/>
    <hyperlink ref="C30" r:id="rId26" display="https://github.com/daniel-fink/rangekeeper"/>
    <hyperlink ref="C31" r:id="rId27" display="https://github.com/eikeluedeling/decisionSupport"/>
    <hyperlink ref="C32" r:id="rId28" display="https://github.com/NLRWindSystems/ORBIT"/>
    <hyperlink ref="C33" r:id="rId29" display="https://github.com/pbtamarona/OpenPyTEA"/>
    <hyperlink ref="C34" r:id="rId30" display="https://github.com/quatrope/scikit-criteria"/>
    <hyperlink ref="C35" r:id="rId31" display="https://github.com/bradbase/xlcalculator"/>
    <hyperlink ref="C36" r:id="rId32" display="https://github.com/dgorissen/pycel"/>
    <hyperlink ref="C37" r:id="rId33" display="https://github.com/ironcalc/IronCalc"/>
    <hyperlink ref="C38" r:id="rId34" display="https://github.com/na-ka-na/ExcelCompare"/>
    <hyperlink ref="C39" r:id="rId35" display="https://github.com/unoconv/unoserver"/>
    <hyperlink ref="C40" r:id="rId36" display="https://github.com/chinmoypaul8897/drillscribe"/>
    <hyperlink ref="C41" r:id="rId37" display="https://github.com/hzjken/multimodal-transportation-optimization"/>
    <hyperlink ref="C42" r:id="rId38" display="https://github.com/moheavyai/truckeros"/>
    <hyperlink ref="C43" r:id="rId39" display="https://github.com/NatLabRockies/T3CO"/>
    <hyperlink ref="C44" r:id="rId40" display="https://github.com/PyVRP/PyVRP"/>
    <hyperlink ref="C45" r:id="rId41" display="https://github.com/shivanireddyk/tcokit"/>
    <hyperlink ref="C46" r:id="rId42" display="https://github.com/son-n-pham/drillcost"/>
    <hyperlink ref="C47" r:id="rId43" display="https://github.com/gitbrent/PptxGenJS"/>
    <hyperlink ref="C48" r:id="rId44" display="https://github.com/m3dev/pptx-template"/>
    <hyperlink ref="C49" r:id="rId45" display="https://github.com/MartinPacker/md2pptx"/>
    <hyperlink ref="C50" r:id="rId46" display="https://github.com/microsoft/markitdown"/>
    <hyperlink ref="C51" r:id="rId47" display="https://github.com/singerla/pptx-automizer"/>
    <hyperlink ref="C52" r:id="rId48" display="https://github.com/Derive-Risk/pyfair"/>
    <hyperlink ref="C53" r:id="rId49" display="https://github.com/eggzec/mcerp"/>
    <hyperlink ref="C54" r:id="rId50" display="https://github.com/johan162/mcprojsim"/>
    <hyperlink ref="C55" r:id="rId51" display="https://github.com/MatthewReid854/reliability"/>
    <hyperlink ref="C56" r:id="rId52" display="https://github.com/paulgovan/PRA"/>
    <hyperlink ref="C57" r:id="rId53" display="https://github.com/peterhurford/squigglepy"/>
    <hyperlink ref="C58" r:id="rId54" display="https://github.com/pgmpy/pgmpy"/>
    <hyperlink ref="C59" r:id="rId55" display="https://github.com/plotly/plotly.py"/>
    <hyperlink ref="C60" r:id="rId56" display="https://github.com/pymc-devs/pymc"/>
    <hyperlink ref="C61" r:id="rId57" display="https://github.com/tadamcz/betapert"/>
    <hyperlink ref="C62" r:id="rId58" display="https://github.com/ahmed-khalil-hafsi/P2Predict"/>
    <hyperlink ref="C63" r:id="rId59" display="https://github.com/AnniceNajafi/RMCDA"/>
    <hyperlink ref="C64" r:id="rId60" display="https://github.com/causalincentives/pycid"/>
    <hyperlink ref="C65" r:id="rId61" display="https://github.com/CWWhitney/Decision_Analysis_Course"/>
    <hyperlink ref="C66" r:id="rId62" display="https://github.com/domokane/FinancePy"/>
    <hyperlink ref="C67" r:id="rId63" display="https://github.com/energyinpython/pyrepo-mcda"/>
    <hyperlink ref="C68" r:id="rId64" display="https://github.com/ManosV18/managers-lab"/>
    <hyperlink ref="C69" r:id="rId65" display="https://github.com/NatLabRockies/GEOPHIRES-X"/>
    <hyperlink ref="C70" r:id="rId66" display="https://github.com/NatLabRockies/SAM"/>
    <hyperlink ref="C71" r:id="rId67" display="https://github.com/Pegah-Ardehkhani/Multi-Criteria-Decision-Making"/>
    <hyperlink ref="C72" r:id="rId68" display="https://github.com/SURGroup/UQpy"/>
    <hyperlink ref="C73" r:id="rId69" display="https://github.com/anthill/koala"/>
    <hyperlink ref="C74" r:id="rId70" display="https://github.com/asemic-horizon/stanton"/>
    <hyperlink ref="C75" r:id="rId71" display="https://github.com/DeepSpace2/StyleFrame"/>
    <hyperlink ref="C76" r:id="rId72" display="https://github.com/exceljs/exceljs"/>
    <hyperlink ref="C77" r:id="rId73" display="https://github.com/handsontable/hyperformula"/>
    <hyperlink ref="C78" r:id="rId74" display="https://github.com/jmcnamara/rust_xlsxwriter"/>
    <hyperlink ref="C79" r:id="rId75" display="https://github.com/nickderobertis/sensitivity"/>
    <hyperlink ref="C80" r:id="rId76" display="https://github.com/qax-os/excelize"/>
    <hyperlink ref="C81" r:id="rId77" display="https://github.com/rhannay/pyproforma"/>
    <hyperlink ref="C82" r:id="rId78" display="https://github.com/SheetJS/sheetjs"/>
    <hyperlink ref="C83" r:id="rId79" display="https://github.com/stephenrauch/pycel"/>
    <hyperlink ref="C84" r:id="rId80" display="https://github.com/xlwings/git-xl"/>
    <hyperlink ref="C85" r:id="rId81" display="https://github.com/xlwings/xlwings"/>
    <hyperlink ref="C86" r:id="rId82" display="https://github.com/al-tabb/routingAPI"/>
    <hyperlink ref="C87" r:id="rId83" display="https://github.com/aligulhalepoto309-debug/DrillWise-AI"/>
    <hyperlink ref="C88" r:id="rId84" display="https://github.com/amandeepsinghs-cyber/rig-management"/>
    <hyperlink ref="C89" r:id="rId85" display="https://github.com/APMonitor/drilling"/>
    <hyperlink ref="C90" r:id="rId86" display="https://github.com/bayuraka/well-intervention-scheduling"/>
    <hyperlink ref="C91" r:id="rId87" display="https://github.com/bysarmad/Well-Data-Management-and-Visualization"/>
    <hyperlink ref="C92" r:id="rId88" display="https://github.com/CataBulu/FleetRoute"/>
    <hyperlink ref="C93" r:id="rId89" display="https://github.com/cog-imperial/drill-scheduling"/>
    <hyperlink ref="C94" r:id="rId90" display="https://github.com/Ero-Renaissance/drilling_sequence"/>
    <hyperlink ref="C95" r:id="rId91" display="https://github.com/FrancisFM/Smart-PAD-Scheduler"/>
    <hyperlink ref="C96" r:id="rId92" display="https://github.com/ishandutta2007/Awesome-Drilling-Operations-Management"/>
    <hyperlink ref="C97" r:id="rId93" display="https://github.com/jtellezs/Lane-Benchmark"/>
    <hyperlink ref="C98" r:id="rId94" display="https://github.com/KrishnasaiBitra/Electric-Truck-TCO-Fleet-Economics"/>
    <hyperlink ref="C99" r:id="rId95" display="https://github.com/omarafed/well-intervention-scheduling"/>
    <hyperlink ref="C100" r:id="rId96" display="https://github.com/pratyakshpatel/Heterogeneous-Truck-Fleet-Optimization-Using-MINLP-and-Genetic-Algorithm"/>
    <hyperlink ref="C101" r:id="rId97" display="https://github.com/SvSven/transport-cost-calculator"/>
    <hyperlink ref="C102" r:id="rId98" display="https://github.com/utkarshraj94/volve-npt-analysis"/>
    <hyperlink ref="C103" r:id="rId99" display="https://github.com/vijaybamini/SIH"/>
    <hyperlink ref="C104" r:id="rId100" display="https://github.com/duarteocarmo/think-cell"/>
    <hyperlink ref="C105" r:id="rId101" display="https://github.com/fsciuti/awesome-speaker"/>
    <hyperlink ref="C106" r:id="rId102" display="https://github.com/GongRzhe/Office-PowerPoint-MCP-Server"/>
    <hyperlink ref="C107" r:id="rId103" display="https://github.com/gotenberg/gotenberg"/>
    <hyperlink ref="C108" r:id="rId104" display="https://github.com/gramener/gramex"/>
    <hyperlink ref="C109" r:id="rId105" display="https://github.com/jgm/pandoc"/>
    <hyperlink ref="C110" r:id="rId106" display="https://github.com/kwlo/python-pptx-templater"/>
    <hyperlink ref="C111" r:id="rId107" display="https://github.com/marp-team/marp-cli"/>
    <hyperlink ref="C112" r:id="rId108" display="https://github.com/natter1/python_pptx_interface"/>
    <hyperlink ref="C113" r:id="rId109" display="https://github.com/Philistino/ThinkcellBuilder"/>
    <hyperlink ref="C114" r:id="rId110" display="https://github.com/slidevjs/slidev"/>
    <hyperlink ref="C115" r:id="rId111" display="https://github.com/ssine/pptx2md"/>
    <hyperlink ref="C116" r:id="rId112" display="https://github.com/arviz-devs/arviz"/>
    <hyperlink ref="C117" r:id="rId113" display="https://github.com/bertcarnell/tornado"/>
    <hyperlink ref="C118" r:id="rId114" display="https://github.com/CamDavidsonPilon/lifelines"/>
    <hyperlink ref="C119" r:id="rId115" display="https://github.com/danafitkowski/cpp-cpm-engine"/>
    <hyperlink ref="C120" r:id="rId116" display="https://github.com/datadrivenconstruction/DDC_Skills_for_AI_Agents_in_Construction"/>
    <hyperlink ref="C121" r:id="rId117" display="https://github.com/jonathf/chaospy"/>
    <hyperlink ref="C122" r:id="rId118" display="https://github.com/JustinTervala/ProjectPredict"/>
    <hyperlink ref="C123" r:id="rId119" display="https://github.com/leliel12/pert"/>
    <hyperlink ref="C124" r:id="rId120" display="https://github.com/lmfit/uncertainties"/>
    <hyperlink ref="C125" r:id="rId121" display="https://github.com/openturns/openturns"/>
    <hyperlink ref="C126" r:id="rId122" display="https://github.com/quantified-uncertainty/squiggle"/>
    <hyperlink ref="C127" r:id="rId123" display="https://github.com/rodmonic/Campagn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836</v>
      </c>
    </row>
    <row r="2" customFormat="false" ht="15" hidden="false" customHeight="false" outlineLevel="0" collapsed="false">
      <c r="A2" s="5" t="s">
        <v>837</v>
      </c>
    </row>
    <row r="4" customFormat="false" ht="15" hidden="false" customHeight="false" outlineLevel="0" collapsed="false">
      <c r="A4" s="2" t="s">
        <v>838</v>
      </c>
      <c r="B4" s="2" t="s">
        <v>28</v>
      </c>
      <c r="C4" s="2" t="s">
        <v>40</v>
      </c>
      <c r="D4" s="2" t="s">
        <v>34</v>
      </c>
      <c r="E4" s="2" t="s">
        <v>37</v>
      </c>
      <c r="F4" s="2" t="s">
        <v>42</v>
      </c>
    </row>
    <row r="5" customFormat="false" ht="23.85" hidden="false" customHeight="false" outlineLevel="0" collapsed="false">
      <c r="A5" s="10" t="s">
        <v>110</v>
      </c>
      <c r="B5" s="10" t="s">
        <v>103</v>
      </c>
      <c r="C5" s="13" t="str">
        <f aca="false">INDEX(Catalogo!$N$5:$N$127,MATCH($B5,Catalogo!$B$5:$B$127,0))</f>
        <v>Escribir el libro con fórmulas vivas, nombres, validaciones y gráficos nativos</v>
      </c>
      <c r="D5" s="13" t="str">
        <f aca="false">INDEX(Catalogo!$H$5:$H$127,MATCH($B5,Catalogo!$B$5:$B$127,0))</f>
        <v>BSD-2-Clause</v>
      </c>
      <c r="E5" s="13" t="str">
        <f aca="false">INDEX(Catalogo!$K$5:$K$127,MATCH($B5,Catalogo!$B$5:$B$127,0))</f>
        <v>Alta</v>
      </c>
      <c r="F5" s="13" t="str">
        <f aca="false">IF(INDEX(Catalogo!$P$5:$P$127,MATCH($B5,Catalogo!$B$5:$B$127,0))="","Pendiente",INDEX(Catalogo!$P$5:$P$127,MATCH($B5,Catalogo!$B$5:$B$127,0)))</f>
        <v>Pendiente</v>
      </c>
    </row>
    <row r="6" customFormat="false" ht="15" hidden="false" customHeight="false" outlineLevel="0" collapsed="false">
      <c r="A6" s="10" t="s">
        <v>110</v>
      </c>
      <c r="B6" s="10" t="s">
        <v>112</v>
      </c>
      <c r="C6" s="13" t="str">
        <f aca="false">INDEX(Catalogo!$N$5:$N$127,MATCH($B6,Catalogo!$B$5:$B$127,0))</f>
        <v>Releer, verificar y editar el libro (ya instalado)</v>
      </c>
      <c r="D6" s="13" t="str">
        <f aca="false">INDEX(Catalogo!$H$5:$H$127,MATCH($B6,Catalogo!$B$5:$B$127,0))</f>
        <v>MIT</v>
      </c>
      <c r="E6" s="13" t="str">
        <f aca="false">INDEX(Catalogo!$K$5:$K$127,MATCH($B6,Catalogo!$B$5:$B$127,0))</f>
        <v>Alta</v>
      </c>
      <c r="F6" s="13" t="str">
        <f aca="false">IF(INDEX(Catalogo!$P$5:$P$127,MATCH($B6,Catalogo!$B$5:$B$127,0))="","Pendiente",INDEX(Catalogo!$P$5:$P$127,MATCH($B6,Catalogo!$B$5:$B$127,0)))</f>
        <v>Pendiente</v>
      </c>
    </row>
    <row r="7" customFormat="false" ht="15" hidden="false" customHeight="false" outlineLevel="0" collapsed="false">
      <c r="A7" s="10" t="s">
        <v>94</v>
      </c>
      <c r="B7" s="10" t="s">
        <v>86</v>
      </c>
      <c r="C7" s="13" t="str">
        <f aca="false">INDEX(Catalogo!$N$5:$N$127,MATCH($B7,Catalogo!$B$5:$B$127,0))</f>
        <v>Checklist de auditoría (audit-xls) y convenciones de modelado</v>
      </c>
      <c r="D7" s="13" t="str">
        <f aca="false">INDEX(Catalogo!$H$5:$H$127,MATCH($B7,Catalogo!$B$5:$B$127,0))</f>
        <v>Apache-2.0</v>
      </c>
      <c r="E7" s="13" t="str">
        <f aca="false">INDEX(Catalogo!$K$5:$K$127,MATCH($B7,Catalogo!$B$5:$B$127,0))</f>
        <v>Alta</v>
      </c>
      <c r="F7" s="13" t="str">
        <f aca="false">IF(INDEX(Catalogo!$P$5:$P$127,MATCH($B7,Catalogo!$B$5:$B$127,0))="","Pendiente",INDEX(Catalogo!$P$5:$P$127,MATCH($B7,Catalogo!$B$5:$B$127,0)))</f>
        <v>Pendiente</v>
      </c>
    </row>
    <row r="8" customFormat="false" ht="15" hidden="false" customHeight="false" outlineLevel="0" collapsed="false">
      <c r="A8" s="10" t="s">
        <v>94</v>
      </c>
      <c r="B8" s="10" t="s">
        <v>96</v>
      </c>
      <c r="C8" s="13" t="str">
        <f aca="false">INDEX(Catalogo!$N$5:$N$127,MATCH($B8,Catalogo!$B$5:$B$127,0))</f>
        <v>Recalcular con LibreOffice y garantizar cero errores (ya disponible)</v>
      </c>
      <c r="D8" s="13" t="str">
        <f aca="false">INDEX(Catalogo!$H$5:$H$127,MATCH($B8,Catalogo!$B$5:$B$127,0))</f>
        <v>Source-available</v>
      </c>
      <c r="E8" s="13" t="str">
        <f aca="false">INDEX(Catalogo!$K$5:$K$127,MATCH($B8,Catalogo!$B$5:$B$127,0))</f>
        <v>Alta</v>
      </c>
      <c r="F8" s="13" t="str">
        <f aca="false">IF(INDEX(Catalogo!$P$5:$P$127,MATCH($B8,Catalogo!$B$5:$B$127,0))="","Pendiente",INDEX(Catalogo!$P$5:$P$127,MATCH($B8,Catalogo!$B$5:$B$127,0)))</f>
        <v>Pendiente</v>
      </c>
    </row>
    <row r="9" customFormat="false" ht="15" hidden="false" customHeight="false" outlineLevel="0" collapsed="false">
      <c r="A9" s="10" t="s">
        <v>94</v>
      </c>
      <c r="B9" s="10" t="s">
        <v>146</v>
      </c>
      <c r="C9" s="13" t="str">
        <f aca="false">INDEX(Catalogo!$N$5:$N$127,MATCH($B9,Catalogo!$B$5:$B$127,0))</f>
        <v>Segundo motor: recalcular sin Excel y probar celdas clave</v>
      </c>
      <c r="D9" s="13" t="str">
        <f aca="false">INDEX(Catalogo!$H$5:$H$127,MATCH($B9,Catalogo!$B$5:$B$127,0))</f>
        <v>EUPL-1.1+</v>
      </c>
      <c r="E9" s="13" t="str">
        <f aca="false">INDEX(Catalogo!$K$5:$K$127,MATCH($B9,Catalogo!$B$5:$B$127,0))</f>
        <v>Alta</v>
      </c>
      <c r="F9" s="13" t="str">
        <f aca="false">IF(INDEX(Catalogo!$P$5:$P$127,MATCH($B9,Catalogo!$B$5:$B$127,0))="","Pendiente",INDEX(Catalogo!$P$5:$P$127,MATCH($B9,Catalogo!$B$5:$B$127,0)))</f>
        <v>Pendiente</v>
      </c>
    </row>
    <row r="10" customFormat="false" ht="15" hidden="false" customHeight="false" outlineLevel="0" collapsed="false">
      <c r="A10" s="10" t="s">
        <v>52</v>
      </c>
      <c r="B10" s="10" t="s">
        <v>162</v>
      </c>
      <c r="C10" s="13" t="str">
        <f aca="false">INDEX(Catalogo!$N$5:$N$127,MATCH($B10,Catalogo!$B$5:$B$127,0))</f>
        <v>Estructura del inventario de cargas (solo estructura; sin licencia)</v>
      </c>
      <c r="D10" s="13" t="str">
        <f aca="false">INDEX(Catalogo!$H$5:$H$127,MATCH($B10,Catalogo!$B$5:$B$127,0))</f>
        <v>Sin licencia</v>
      </c>
      <c r="E10" s="13" t="str">
        <f aca="false">INDEX(Catalogo!$K$5:$K$127,MATCH($B10,Catalogo!$B$5:$B$127,0))</f>
        <v>Alta</v>
      </c>
      <c r="F10" s="13" t="str">
        <f aca="false">IF(INDEX(Catalogo!$P$5:$P$127,MATCH($B10,Catalogo!$B$5:$B$127,0))="","Pendiente",INDEX(Catalogo!$P$5:$P$127,MATCH($B10,Catalogo!$B$5:$B$127,0)))</f>
        <v>Pendiente</v>
      </c>
    </row>
    <row r="11" customFormat="false" ht="15" hidden="false" customHeight="false" outlineLevel="0" collapsed="false">
      <c r="A11" s="10" t="s">
        <v>52</v>
      </c>
      <c r="B11" s="10" t="s">
        <v>44</v>
      </c>
      <c r="C11" s="13" t="str">
        <f aca="false">INDEX(Catalogo!$N$5:$N$127,MATCH($B11,Catalogo!$B$5:$B$127,0))</f>
        <v>Referencia de rubros: transporte, grúas, gestión, demoras por clima</v>
      </c>
      <c r="D11" s="13" t="str">
        <f aca="false">INDEX(Catalogo!$H$5:$H$127,MATCH($B11,Catalogo!$B$5:$B$127,0))</f>
        <v>Apache-2.0</v>
      </c>
      <c r="E11" s="13" t="str">
        <f aca="false">INDEX(Catalogo!$K$5:$K$127,MATCH($B11,Catalogo!$B$5:$B$127,0))</f>
        <v>Alta</v>
      </c>
      <c r="F11" s="13" t="str">
        <f aca="false">IF(INDEX(Catalogo!$P$5:$P$127,MATCH($B11,Catalogo!$B$5:$B$127,0))="","Pendiente",INDEX(Catalogo!$P$5:$P$127,MATCH($B11,Catalogo!$B$5:$B$127,0)))</f>
        <v>Pendiente</v>
      </c>
    </row>
    <row r="12" customFormat="false" ht="15" hidden="false" customHeight="false" outlineLevel="0" collapsed="false">
      <c r="A12" s="10" t="s">
        <v>52</v>
      </c>
      <c r="B12" s="10" t="s">
        <v>54</v>
      </c>
      <c r="C12" s="13" t="str">
        <f aca="false">INDEX(Catalogo!$N$5:$N$127,MATCH($B12,Catalogo!$B$5:$B$127,0))</f>
        <v>Verificar VPN/TIR si se usan flujos en el tiempo</v>
      </c>
      <c r="D12" s="13" t="str">
        <f aca="false">INDEX(Catalogo!$H$5:$H$127,MATCH($B12,Catalogo!$B$5:$B$127,0))</f>
        <v>BSD-3</v>
      </c>
      <c r="E12" s="13" t="str">
        <f aca="false">INDEX(Catalogo!$K$5:$K$127,MATCH($B12,Catalogo!$B$5:$B$127,0))</f>
        <v>Alta</v>
      </c>
      <c r="F12" s="13" t="str">
        <f aca="false">IF(INDEX(Catalogo!$P$5:$P$127,MATCH($B12,Catalogo!$B$5:$B$127,0))="","Pendiente",INDEX(Catalogo!$P$5:$P$127,MATCH($B12,Catalogo!$B$5:$B$127,0)))</f>
        <v>Pendiente</v>
      </c>
    </row>
    <row r="13" customFormat="false" ht="23.85" hidden="false" customHeight="false" outlineLevel="0" collapsed="false">
      <c r="A13" s="10" t="s">
        <v>52</v>
      </c>
      <c r="B13" s="10" t="s">
        <v>62</v>
      </c>
      <c r="C13" s="13" t="str">
        <f aca="false">INDEX(Catalogo!$N$5:$N$127,MATCH($B13,Catalogo!$B$5:$B$127,0))</f>
        <v>Pesos de criterios cualitativos con consistencia (se replica en Excel)</v>
      </c>
      <c r="D13" s="13" t="str">
        <f aca="false">INDEX(Catalogo!$H$5:$H$127,MATCH($B13,Catalogo!$B$5:$B$127,0))</f>
        <v>MIT</v>
      </c>
      <c r="E13" s="13" t="str">
        <f aca="false">INDEX(Catalogo!$K$5:$K$127,MATCH($B13,Catalogo!$B$5:$B$127,0))</f>
        <v>Alta</v>
      </c>
      <c r="F13" s="13" t="str">
        <f aca="false">IF(INDEX(Catalogo!$P$5:$P$127,MATCH($B13,Catalogo!$B$5:$B$127,0))="","Pendiente",INDEX(Catalogo!$P$5:$P$127,MATCH($B13,Catalogo!$B$5:$B$127,0)))</f>
        <v>Pendiente</v>
      </c>
    </row>
    <row r="14" customFormat="false" ht="15" hidden="false" customHeight="false" outlineLevel="0" collapsed="false">
      <c r="A14" s="10" t="s">
        <v>52</v>
      </c>
      <c r="B14" s="10" t="s">
        <v>170</v>
      </c>
      <c r="C14" s="13" t="str">
        <f aca="false">INDEX(Catalogo!$N$5:$N$127,MATCH($B14,Catalogo!$B$5:$B$127,0))</f>
        <v>Estructura de rate card hora/día/único (solo estructura; sin licencia)</v>
      </c>
      <c r="D14" s="13" t="str">
        <f aca="false">INDEX(Catalogo!$H$5:$H$127,MATCH($B14,Catalogo!$B$5:$B$127,0))</f>
        <v>Sin licencia</v>
      </c>
      <c r="E14" s="13" t="str">
        <f aca="false">INDEX(Catalogo!$K$5:$K$127,MATCH($B14,Catalogo!$B$5:$B$127,0))</f>
        <v>Alta</v>
      </c>
      <c r="F14" s="13" t="str">
        <f aca="false">IF(INDEX(Catalogo!$P$5:$P$127,MATCH($B14,Catalogo!$B$5:$B$127,0))="","Pendiente",INDEX(Catalogo!$P$5:$P$127,MATCH($B14,Catalogo!$B$5:$B$127,0)))</f>
        <v>Pendiente</v>
      </c>
    </row>
    <row r="15" customFormat="false" ht="15" hidden="false" customHeight="false" outlineLevel="0" collapsed="false">
      <c r="A15" s="10" t="s">
        <v>127</v>
      </c>
      <c r="B15" s="10" t="s">
        <v>225</v>
      </c>
      <c r="C15" s="13" t="str">
        <f aca="false">INDEX(Catalogo!$N$5:$N$127,MATCH($B15,Catalogo!$B$5:$B$127,0))</f>
        <v>Patrón para convertir el registro de riesgos en dinero</v>
      </c>
      <c r="D15" s="13" t="str">
        <f aca="false">INDEX(Catalogo!$H$5:$H$127,MATCH($B15,Catalogo!$B$5:$B$127,0))</f>
        <v>Apache-2.0</v>
      </c>
      <c r="E15" s="13" t="str">
        <f aca="false">INDEX(Catalogo!$K$5:$K$127,MATCH($B15,Catalogo!$B$5:$B$127,0))</f>
        <v>Alta</v>
      </c>
      <c r="F15" s="13" t="str">
        <f aca="false">IF(INDEX(Catalogo!$P$5:$P$127,MATCH($B15,Catalogo!$B$5:$B$127,0))="","Pendiente",INDEX(Catalogo!$P$5:$P$127,MATCH($B15,Catalogo!$B$5:$B$127,0)))</f>
        <v>Pendiente</v>
      </c>
    </row>
    <row r="16" customFormat="false" ht="23.85" hidden="false" customHeight="false" outlineLevel="0" collapsed="false">
      <c r="A16" s="10" t="s">
        <v>127</v>
      </c>
      <c r="B16" s="10" t="s">
        <v>232</v>
      </c>
      <c r="C16" s="13" t="str">
        <f aca="false">INDEX(Catalogo!$N$5:$N$127,MATCH($B16,Catalogo!$B$5:$B$127,0))</f>
        <v>Opcional: que tú corras el Monte Carlo dentro de tu Excel de escritorio</v>
      </c>
      <c r="D16" s="13" t="str">
        <f aca="false">INDEX(Catalogo!$H$5:$H$127,MATCH($B16,Catalogo!$B$5:$B$127,0))</f>
        <v>MIT</v>
      </c>
      <c r="E16" s="13" t="str">
        <f aca="false">INDEX(Catalogo!$K$5:$K$127,MATCH($B16,Catalogo!$B$5:$B$127,0))</f>
        <v>Alta</v>
      </c>
      <c r="F16" s="13" t="str">
        <f aca="false">IF(INDEX(Catalogo!$P$5:$P$127,MATCH($B16,Catalogo!$B$5:$B$127,0))="","Pendiente",INDEX(Catalogo!$P$5:$P$127,MATCH($B16,Catalogo!$B$5:$B$127,0)))</f>
        <v>Pendiente</v>
      </c>
    </row>
    <row r="17" customFormat="false" ht="15" hidden="false" customHeight="false" outlineLevel="0" collapsed="false">
      <c r="A17" s="10" t="s">
        <v>127</v>
      </c>
      <c r="B17" s="10" t="s">
        <v>120</v>
      </c>
      <c r="C17" s="13" t="str">
        <f aca="false">INDEX(Catalogo!$N$5:$N$127,MATCH($B17,Catalogo!$B$5:$B$127,0))</f>
        <v>Ranking de variables que mueven la diferencia A − B</v>
      </c>
      <c r="D17" s="13" t="str">
        <f aca="false">INDEX(Catalogo!$H$5:$H$127,MATCH($B17,Catalogo!$B$5:$B$127,0))</f>
        <v>MIT</v>
      </c>
      <c r="E17" s="13" t="str">
        <f aca="false">INDEX(Catalogo!$K$5:$K$127,MATCH($B17,Catalogo!$B$5:$B$127,0))</f>
        <v>Alta</v>
      </c>
      <c r="F17" s="13" t="str">
        <f aca="false">IF(INDEX(Catalogo!$P$5:$P$127,MATCH($B17,Catalogo!$B$5:$B$127,0))="","Pendiente",INDEX(Catalogo!$P$5:$P$127,MATCH($B17,Catalogo!$B$5:$B$127,0)))</f>
        <v>Pendiente</v>
      </c>
    </row>
    <row r="18" customFormat="false" ht="15" hidden="false" customHeight="false" outlineLevel="0" collapsed="false">
      <c r="A18" s="10" t="s">
        <v>127</v>
      </c>
      <c r="B18" s="10" t="s">
        <v>139</v>
      </c>
      <c r="C18" s="13" t="str">
        <f aca="false">INDEX(Catalogo!$N$5:$N$127,MATCH($B18,Catalogo!$B$5:$B$127,0))</f>
        <v>Monte Carlo de costo y plazo: P10/P50/P90 y P(B &lt; A)</v>
      </c>
      <c r="D18" s="13" t="str">
        <f aca="false">INDEX(Catalogo!$H$5:$H$127,MATCH($B18,Catalogo!$B$5:$B$127,0))</f>
        <v>MIT</v>
      </c>
      <c r="E18" s="13" t="str">
        <f aca="false">INDEX(Catalogo!$K$5:$K$127,MATCH($B18,Catalogo!$B$5:$B$127,0))</f>
        <v>Alta</v>
      </c>
      <c r="F18" s="13" t="str">
        <f aca="false">IF(INDEX(Catalogo!$P$5:$P$127,MATCH($B18,Catalogo!$B$5:$B$127,0))="","Pendiente",INDEX(Catalogo!$P$5:$P$127,MATCH($B18,Catalogo!$B$5:$B$127,0)))</f>
        <v>Pendiente</v>
      </c>
    </row>
    <row r="19" customFormat="false" ht="15" hidden="false" customHeight="false" outlineLevel="0" collapsed="false">
      <c r="A19" s="10" t="s">
        <v>127</v>
      </c>
      <c r="B19" s="10" t="s">
        <v>448</v>
      </c>
      <c r="C19" s="13" t="str">
        <f aca="false">INDEX(Catalogo!$N$5:$N$127,MATCH($B19,Catalogo!$B$5:$B$127,0))</f>
        <v>Distribuciones PERT de 3 puntos (mín/probable/máx)</v>
      </c>
      <c r="D19" s="13" t="str">
        <f aca="false">INDEX(Catalogo!$H$5:$H$127,MATCH($B19,Catalogo!$B$5:$B$127,0))</f>
        <v>no visible</v>
      </c>
      <c r="E19" s="13" t="str">
        <f aca="false">INDEX(Catalogo!$K$5:$K$127,MATCH($B19,Catalogo!$B$5:$B$127,0))</f>
        <v>Media</v>
      </c>
      <c r="F19" s="13" t="str">
        <f aca="false">IF(INDEX(Catalogo!$P$5:$P$127,MATCH($B19,Catalogo!$B$5:$B$127,0))="","Pendiente",INDEX(Catalogo!$P$5:$P$127,MATCH($B19,Catalogo!$B$5:$B$127,0)))</f>
        <v>Pendiente</v>
      </c>
    </row>
    <row r="20" customFormat="false" ht="23.85" hidden="false" customHeight="false" outlineLevel="0" collapsed="false">
      <c r="A20" s="10" t="s">
        <v>136</v>
      </c>
      <c r="B20" s="10" t="s">
        <v>183</v>
      </c>
      <c r="C20" s="13" t="str">
        <f aca="false">INDEX(Catalogo!$N$5:$N$127,MATCH($B20,Catalogo!$B$5:$B$127,0))</f>
        <v>Skill pptx de Claude: creación y QA visual (ya disponible)</v>
      </c>
      <c r="D20" s="13" t="str">
        <f aca="false">INDEX(Catalogo!$H$5:$H$127,MATCH($B20,Catalogo!$B$5:$B$127,0))</f>
        <v>Mixta (pptx/xlsx source-available)</v>
      </c>
      <c r="E20" s="13" t="str">
        <f aca="false">INDEX(Catalogo!$K$5:$K$127,MATCH($B20,Catalogo!$B$5:$B$127,0))</f>
        <v>Alta</v>
      </c>
      <c r="F20" s="13" t="str">
        <f aca="false">IF(INDEX(Catalogo!$P$5:$P$127,MATCH($B20,Catalogo!$B$5:$B$127,0))="","Pendiente",INDEX(Catalogo!$P$5:$P$127,MATCH($B20,Catalogo!$B$5:$B$127,0)))</f>
        <v>Pendiente</v>
      </c>
    </row>
    <row r="21" customFormat="false" ht="15" hidden="false" customHeight="false" outlineLevel="0" collapsed="false">
      <c r="A21" s="10" t="s">
        <v>136</v>
      </c>
      <c r="B21" s="10" t="s">
        <v>210</v>
      </c>
      <c r="C21" s="13" t="str">
        <f aca="false">INDEX(Catalogo!$N$5:$N$127,MATCH($B21,Catalogo!$B$5:$B$127,0))</f>
        <v>Patrones de diseño estilo consultora para gerencia</v>
      </c>
      <c r="D21" s="13" t="str">
        <f aca="false">INDEX(Catalogo!$H$5:$H$127,MATCH($B21,Catalogo!$B$5:$B$127,0))</f>
        <v>Apache-2.0</v>
      </c>
      <c r="E21" s="13" t="str">
        <f aca="false">INDEX(Catalogo!$K$5:$K$127,MATCH($B21,Catalogo!$B$5:$B$127,0))</f>
        <v>Alta</v>
      </c>
      <c r="F21" s="13" t="str">
        <f aca="false">IF(INDEX(Catalogo!$P$5:$P$127,MATCH($B21,Catalogo!$B$5:$B$127,0))="","Pendiente",INDEX(Catalogo!$P$5:$P$127,MATCH($B21,Catalogo!$B$5:$B$127,0)))</f>
        <v>Pendiente</v>
      </c>
    </row>
    <row r="22" customFormat="false" ht="15" hidden="false" customHeight="false" outlineLevel="0" collapsed="false">
      <c r="A22" s="10" t="s">
        <v>136</v>
      </c>
      <c r="B22" s="10" t="s">
        <v>217</v>
      </c>
      <c r="C22" s="13" t="str">
        <f aca="false">INDEX(Catalogo!$N$5:$N$127,MATCH($B22,Catalogo!$B$5:$B$127,0))</f>
        <v>Matriz de riesgos 5×5 e histogramas como imagen</v>
      </c>
      <c r="D22" s="13" t="str">
        <f aca="false">INDEX(Catalogo!$H$5:$H$127,MATCH($B22,Catalogo!$B$5:$B$127,0))</f>
        <v>Matplotlib (PSF)</v>
      </c>
      <c r="E22" s="13" t="str">
        <f aca="false">INDEX(Catalogo!$K$5:$K$127,MATCH($B22,Catalogo!$B$5:$B$127,0))</f>
        <v>Alta</v>
      </c>
      <c r="F22" s="13" t="str">
        <f aca="false">IF(INDEX(Catalogo!$P$5:$P$127,MATCH($B22,Catalogo!$B$5:$B$127,0))="","Pendiente",INDEX(Catalogo!$P$5:$P$127,MATCH($B22,Catalogo!$B$5:$B$127,0)))</f>
        <v>Pendiente</v>
      </c>
    </row>
    <row r="23" customFormat="false" ht="15" hidden="false" customHeight="false" outlineLevel="0" collapsed="false">
      <c r="A23" s="10" t="s">
        <v>136</v>
      </c>
      <c r="B23" s="10" t="s">
        <v>130</v>
      </c>
      <c r="C23" s="13" t="str">
        <f aca="false">INDEX(Catalogo!$N$5:$N$127,MATCH($B23,Catalogo!$B$5:$B$127,0))</f>
        <v>Generar el deck con gráficos nativos editables</v>
      </c>
      <c r="D23" s="13" t="str">
        <f aca="false">INDEX(Catalogo!$H$5:$H$127,MATCH($B23,Catalogo!$B$5:$B$127,0))</f>
        <v>MIT</v>
      </c>
      <c r="E23" s="13" t="str">
        <f aca="false">INDEX(Catalogo!$K$5:$K$127,MATCH($B23,Catalogo!$B$5:$B$127,0))</f>
        <v>Alta</v>
      </c>
      <c r="F23" s="13" t="str">
        <f aca="false">IF(INDEX(Catalogo!$P$5:$P$127,MATCH($B23,Catalogo!$B$5:$B$127,0))="","Pendiente",INDEX(Catalogo!$P$5:$P$127,MATCH($B23,Catalogo!$B$5:$B$127,0)))</f>
        <v>Pendiente</v>
      </c>
    </row>
    <row r="24" customFormat="false" ht="15" hidden="false" customHeight="false" outlineLevel="0" collapsed="false">
      <c r="A24" s="10" t="s">
        <v>199</v>
      </c>
      <c r="B24" s="10" t="s">
        <v>193</v>
      </c>
      <c r="C24" s="13" t="str">
        <f aca="false">INDEX(Catalogo!$N$5:$N$127,MATCH($B24,Catalogo!$B$5:$B$127,0))</f>
        <v>PDF a imágenes para revisar cada diapositiva</v>
      </c>
      <c r="D24" s="13" t="str">
        <f aca="false">INDEX(Catalogo!$H$5:$H$127,MATCH($B24,Catalogo!$B$5:$B$127,0))</f>
        <v>MIT</v>
      </c>
      <c r="E24" s="13" t="str">
        <f aca="false">INDEX(Catalogo!$K$5:$K$127,MATCH($B24,Catalogo!$B$5:$B$127,0))</f>
        <v>Alta</v>
      </c>
      <c r="F24" s="13" t="str">
        <f aca="false">IF(INDEX(Catalogo!$P$5:$P$127,MATCH($B24,Catalogo!$B$5:$B$127,0))="","Pendiente",INDEX(Catalogo!$P$5:$P$127,MATCH($B24,Catalogo!$B$5:$B$127,0)))</f>
        <v>Pendiente</v>
      </c>
    </row>
    <row r="25" customFormat="false" ht="15" hidden="false" customHeight="false" outlineLevel="0" collapsed="false">
      <c r="A25" s="10" t="s">
        <v>199</v>
      </c>
      <c r="B25" s="10" t="s">
        <v>201</v>
      </c>
      <c r="C25" s="13" t="str">
        <f aca="false">INDEX(Catalogo!$N$5:$N$127,MATCH($B25,Catalogo!$B$5:$B$127,0))</f>
        <v>Convertir pptx/xlsx a PDF para revisión</v>
      </c>
      <c r="D25" s="13" t="str">
        <f aca="false">INDEX(Catalogo!$H$5:$H$127,MATCH($B25,Catalogo!$B$5:$B$127,0))</f>
        <v>GPL/LGPL/MPL</v>
      </c>
      <c r="E25" s="13" t="str">
        <f aca="false">INDEX(Catalogo!$K$5:$K$127,MATCH($B25,Catalogo!$B$5:$B$127,0))</f>
        <v>Alta</v>
      </c>
      <c r="F25" s="13" t="str">
        <f aca="false">IF(INDEX(Catalogo!$P$5:$P$127,MATCH($B25,Catalogo!$B$5:$B$127,0))="","Pendiente",INDEX(Catalogo!$P$5:$P$127,MATCH($B25,Catalogo!$B$5:$B$127,0)))</f>
        <v>Pendiente</v>
      </c>
    </row>
    <row r="26" customFormat="false" ht="15" hidden="false" customHeight="false" outlineLevel="0" collapsed="false">
      <c r="A26" s="10" t="s">
        <v>199</v>
      </c>
      <c r="B26" s="10" t="s">
        <v>377</v>
      </c>
      <c r="C26" s="13" t="str">
        <f aca="false">INDEX(Catalogo!$N$5:$N$127,MATCH($B26,Catalogo!$B$5:$B$127,0))</f>
        <v>Cruzar cifras del deck contra el Excel</v>
      </c>
      <c r="D26" s="13" t="str">
        <f aca="false">INDEX(Catalogo!$H$5:$H$127,MATCH($B26,Catalogo!$B$5:$B$127,0))</f>
        <v>MIT</v>
      </c>
      <c r="E26" s="13" t="str">
        <f aca="false">INDEX(Catalogo!$K$5:$K$127,MATCH($B26,Catalogo!$B$5:$B$127,0))</f>
        <v>Media</v>
      </c>
      <c r="F26" s="13" t="str">
        <f aca="false">IF(INDEX(Catalogo!$P$5:$P$127,MATCH($B26,Catalogo!$B$5:$B$127,0))="","Pendiente",INDEX(Catalogo!$P$5:$P$127,MATCH($B26,Catalogo!$B$5:$B$127,0)))</f>
        <v>Pendiente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2026-10-12T03:48:35Z</dcterms:created>
  <dc:creator>openpyxl</dc:creator>
  <dc:description/>
  <dc:language>en-US</dc:language>
  <cp:lastModifiedBy/>
  <dcterms:modified xsi:type="dcterms:W3CDTF">2026-10-12T03:48:35Z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